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praee/Desktop/CLAUDE/YC Inventory Analysis/"/>
    </mc:Choice>
  </mc:AlternateContent>
  <xr:revisionPtr revIDLastSave="0" documentId="11_CDBEF0B1FF9EFB221B53F1A7CB709766F83C6BB7" xr6:coauthVersionLast="47" xr6:coauthVersionMax="47" xr10:uidLastSave="{00000000-0000-0000-0000-000000000000}"/>
  <bookViews>
    <workbookView xWindow="0" yWindow="660" windowWidth="29380" windowHeight="17200" activeTab="1" xr2:uid="{00000000-000D-0000-FFFF-FFFF00000000}"/>
  </bookViews>
  <sheets>
    <sheet name="บันทึกสต็อครายวัน" sheetId="1" r:id="rId1"/>
    <sheet name="📝 กรอกข้อมูล" sheetId="2" r:id="rId2"/>
    <sheet name="บันทึกยอดขาย" sheetId="3" r:id="rId3"/>
    <sheet name="ฐานข้อมูลสะสม" sheetId="4" r:id="rId4"/>
    <sheet name="คู่มือการใช้งาน" sheetId="5" r:id="rId5"/>
  </sheets>
  <definedNames>
    <definedName name="_xlnm._FilterDatabase" localSheetId="3" hidden="1">ฐานข้อมูลสะสม!$A$3:$R$503</definedName>
    <definedName name="_xlnm._FilterDatabase" localSheetId="0" hidden="1">บันทึกสต็อครายวัน!$A$3:$R$117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0" i="3" l="1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48" i="3"/>
  <c r="E35" i="3"/>
  <c r="A34" i="3"/>
  <c r="A33" i="3"/>
  <c r="A32" i="3"/>
  <c r="A31" i="3"/>
  <c r="A30" i="3"/>
  <c r="A29" i="3"/>
  <c r="A28" i="3"/>
  <c r="A27" i="3"/>
  <c r="A26" i="3"/>
  <c r="H25" i="3"/>
  <c r="G25" i="3"/>
  <c r="I25" i="3" s="1"/>
  <c r="A25" i="3"/>
  <c r="A24" i="3"/>
  <c r="A23" i="3"/>
  <c r="A22" i="3"/>
  <c r="A21" i="3"/>
  <c r="A20" i="3"/>
  <c r="A19" i="3"/>
  <c r="I18" i="3"/>
  <c r="F18" i="3"/>
  <c r="J18" i="3" s="1"/>
  <c r="A18" i="3"/>
  <c r="I17" i="3"/>
  <c r="F17" i="3"/>
  <c r="J17" i="3" s="1"/>
  <c r="A17" i="3"/>
  <c r="I16" i="3"/>
  <c r="F16" i="3"/>
  <c r="J16" i="3" s="1"/>
  <c r="A16" i="3"/>
  <c r="I15" i="3"/>
  <c r="A15" i="3"/>
  <c r="A14" i="3"/>
  <c r="A13" i="3"/>
  <c r="A12" i="3"/>
  <c r="A11" i="3"/>
  <c r="A10" i="3"/>
  <c r="A9" i="3"/>
  <c r="A8" i="3"/>
  <c r="A7" i="3"/>
  <c r="A6" i="3"/>
  <c r="A5" i="3"/>
  <c r="A4" i="3"/>
  <c r="P89" i="1"/>
  <c r="R88" i="1"/>
  <c r="R87" i="1"/>
  <c r="P59" i="1"/>
  <c r="L116" i="2"/>
  <c r="K116" i="2"/>
  <c r="J116" i="2"/>
  <c r="I116" i="2"/>
  <c r="H116" i="2"/>
  <c r="G116" i="2"/>
  <c r="F116" i="2"/>
  <c r="E116" i="2"/>
  <c r="D116" i="2"/>
  <c r="L115" i="2"/>
  <c r="K115" i="2"/>
  <c r="J115" i="2"/>
  <c r="I115" i="2"/>
  <c r="H115" i="2"/>
  <c r="G115" i="2"/>
  <c r="F115" i="2"/>
  <c r="E115" i="2"/>
  <c r="D115" i="2"/>
  <c r="L114" i="2"/>
  <c r="K114" i="2"/>
  <c r="J114" i="2"/>
  <c r="I114" i="2"/>
  <c r="H114" i="2"/>
  <c r="G114" i="2"/>
  <c r="F114" i="2"/>
  <c r="E114" i="2"/>
  <c r="D114" i="2"/>
  <c r="L113" i="2"/>
  <c r="K113" i="2"/>
  <c r="J113" i="2"/>
  <c r="I113" i="2"/>
  <c r="H113" i="2"/>
  <c r="G113" i="2"/>
  <c r="F113" i="2"/>
  <c r="E113" i="2"/>
  <c r="D113" i="2"/>
  <c r="L112" i="2"/>
  <c r="K112" i="2"/>
  <c r="J112" i="2"/>
  <c r="I112" i="2"/>
  <c r="H112" i="2"/>
  <c r="G112" i="2"/>
  <c r="F112" i="2"/>
  <c r="E112" i="2"/>
  <c r="D112" i="2"/>
  <c r="L111" i="2"/>
  <c r="K111" i="2"/>
  <c r="J111" i="2"/>
  <c r="I111" i="2"/>
  <c r="H111" i="2"/>
  <c r="G111" i="2"/>
  <c r="F111" i="2"/>
  <c r="E111" i="2"/>
  <c r="D111" i="2"/>
  <c r="L110" i="2"/>
  <c r="K110" i="2"/>
  <c r="J110" i="2"/>
  <c r="I110" i="2"/>
  <c r="H110" i="2"/>
  <c r="G110" i="2"/>
  <c r="F110" i="2"/>
  <c r="E110" i="2"/>
  <c r="D110" i="2"/>
  <c r="L109" i="2"/>
  <c r="K109" i="2"/>
  <c r="J109" i="2"/>
  <c r="I109" i="2"/>
  <c r="H109" i="2"/>
  <c r="G109" i="2"/>
  <c r="F109" i="2"/>
  <c r="E109" i="2"/>
  <c r="D109" i="2"/>
  <c r="L108" i="2"/>
  <c r="K108" i="2"/>
  <c r="J108" i="2"/>
  <c r="I108" i="2"/>
  <c r="H108" i="2"/>
  <c r="G108" i="2"/>
  <c r="F108" i="2"/>
  <c r="E108" i="2"/>
  <c r="D108" i="2"/>
  <c r="L107" i="2"/>
  <c r="K107" i="2"/>
  <c r="J107" i="2"/>
  <c r="I107" i="2"/>
  <c r="H107" i="2"/>
  <c r="G107" i="2"/>
  <c r="F107" i="2"/>
  <c r="E107" i="2"/>
  <c r="D107" i="2"/>
  <c r="L106" i="2"/>
  <c r="K106" i="2"/>
  <c r="J106" i="2"/>
  <c r="I106" i="2"/>
  <c r="H106" i="2"/>
  <c r="G106" i="2"/>
  <c r="F106" i="2"/>
  <c r="E106" i="2"/>
  <c r="D106" i="2"/>
  <c r="L105" i="2"/>
  <c r="K105" i="2"/>
  <c r="J105" i="2"/>
  <c r="I105" i="2"/>
  <c r="H105" i="2"/>
  <c r="G105" i="2"/>
  <c r="F105" i="2"/>
  <c r="E105" i="2"/>
  <c r="D105" i="2"/>
  <c r="L104" i="2"/>
  <c r="K104" i="2"/>
  <c r="J104" i="2"/>
  <c r="I104" i="2"/>
  <c r="H104" i="2"/>
  <c r="G104" i="2"/>
  <c r="F104" i="2"/>
  <c r="E104" i="2"/>
  <c r="D104" i="2"/>
  <c r="L103" i="2"/>
  <c r="K103" i="2"/>
  <c r="J103" i="2"/>
  <c r="I103" i="2"/>
  <c r="H103" i="2"/>
  <c r="G103" i="2"/>
  <c r="F103" i="2"/>
  <c r="E103" i="2"/>
  <c r="D103" i="2"/>
  <c r="L102" i="2"/>
  <c r="K102" i="2"/>
  <c r="J102" i="2"/>
  <c r="I102" i="2"/>
  <c r="H102" i="2"/>
  <c r="G102" i="2"/>
  <c r="F102" i="2"/>
  <c r="E102" i="2"/>
  <c r="D102" i="2"/>
  <c r="L101" i="2"/>
  <c r="K101" i="2"/>
  <c r="J101" i="2"/>
  <c r="I101" i="2"/>
  <c r="H101" i="2"/>
  <c r="G101" i="2"/>
  <c r="F101" i="2"/>
  <c r="E101" i="2"/>
  <c r="D101" i="2"/>
  <c r="L100" i="2"/>
  <c r="K100" i="2"/>
  <c r="J100" i="2"/>
  <c r="I100" i="2"/>
  <c r="H100" i="2"/>
  <c r="G100" i="2"/>
  <c r="F100" i="2"/>
  <c r="E100" i="2"/>
  <c r="D100" i="2"/>
  <c r="L99" i="2"/>
  <c r="K99" i="2"/>
  <c r="J99" i="2"/>
  <c r="I99" i="2"/>
  <c r="H99" i="2"/>
  <c r="G99" i="2"/>
  <c r="F99" i="2"/>
  <c r="E99" i="2"/>
  <c r="D99" i="2"/>
  <c r="L98" i="2"/>
  <c r="K98" i="2"/>
  <c r="J98" i="2"/>
  <c r="I98" i="2"/>
  <c r="H98" i="2"/>
  <c r="G98" i="2"/>
  <c r="F98" i="2"/>
  <c r="E98" i="2"/>
  <c r="D98" i="2"/>
  <c r="L97" i="2"/>
  <c r="K97" i="2"/>
  <c r="J97" i="2"/>
  <c r="I97" i="2"/>
  <c r="H97" i="2"/>
  <c r="G97" i="2"/>
  <c r="F97" i="2"/>
  <c r="E97" i="2"/>
  <c r="D97" i="2"/>
  <c r="L96" i="2"/>
  <c r="K96" i="2"/>
  <c r="J96" i="2"/>
  <c r="I96" i="2"/>
  <c r="H96" i="2"/>
  <c r="G96" i="2"/>
  <c r="F96" i="2"/>
  <c r="E96" i="2"/>
  <c r="D96" i="2"/>
  <c r="L95" i="2"/>
  <c r="K95" i="2"/>
  <c r="J95" i="2"/>
  <c r="I95" i="2"/>
  <c r="H95" i="2"/>
  <c r="G95" i="2"/>
  <c r="F95" i="2"/>
  <c r="E95" i="2"/>
  <c r="D95" i="2"/>
  <c r="L94" i="2"/>
  <c r="K94" i="2"/>
  <c r="J94" i="2"/>
  <c r="I94" i="2"/>
  <c r="H94" i="2"/>
  <c r="G94" i="2"/>
  <c r="F94" i="2"/>
  <c r="E94" i="2"/>
  <c r="D94" i="2"/>
  <c r="L93" i="2"/>
  <c r="K93" i="2"/>
  <c r="J93" i="2"/>
  <c r="I93" i="2"/>
  <c r="H93" i="2"/>
  <c r="G93" i="2"/>
  <c r="F93" i="2"/>
  <c r="E93" i="2"/>
  <c r="D93" i="2"/>
  <c r="L92" i="2"/>
  <c r="K92" i="2"/>
  <c r="J92" i="2"/>
  <c r="I92" i="2"/>
  <c r="H92" i="2"/>
  <c r="G92" i="2"/>
  <c r="F92" i="2"/>
  <c r="E92" i="2"/>
  <c r="D92" i="2"/>
  <c r="L91" i="2"/>
  <c r="K91" i="2"/>
  <c r="J91" i="2"/>
  <c r="I91" i="2"/>
  <c r="H91" i="2"/>
  <c r="G91" i="2"/>
  <c r="F91" i="2"/>
  <c r="E91" i="2"/>
  <c r="D91" i="2"/>
  <c r="L90" i="2"/>
  <c r="K90" i="2"/>
  <c r="J90" i="2"/>
  <c r="I90" i="2"/>
  <c r="H90" i="2"/>
  <c r="G90" i="2"/>
  <c r="F90" i="2"/>
  <c r="E90" i="2"/>
  <c r="D90" i="2"/>
  <c r="L89" i="2"/>
  <c r="K89" i="2"/>
  <c r="J89" i="2"/>
  <c r="I89" i="2"/>
  <c r="H89" i="2"/>
  <c r="G89" i="2"/>
  <c r="F89" i="2"/>
  <c r="E89" i="2"/>
  <c r="D89" i="2"/>
  <c r="L88" i="2"/>
  <c r="K88" i="2"/>
  <c r="J88" i="2"/>
  <c r="I88" i="2"/>
  <c r="H88" i="2"/>
  <c r="G88" i="2"/>
  <c r="F88" i="2"/>
  <c r="E88" i="2"/>
  <c r="D88" i="2"/>
  <c r="L87" i="2"/>
  <c r="K87" i="2"/>
  <c r="J87" i="2"/>
  <c r="I87" i="2"/>
  <c r="H87" i="2"/>
  <c r="G87" i="2"/>
  <c r="F87" i="2"/>
  <c r="E87" i="2"/>
  <c r="D87" i="2"/>
  <c r="L86" i="2"/>
  <c r="K86" i="2"/>
  <c r="J86" i="2"/>
  <c r="I86" i="2"/>
  <c r="H86" i="2"/>
  <c r="G86" i="2"/>
  <c r="F86" i="2"/>
  <c r="E86" i="2"/>
  <c r="D86" i="2"/>
  <c r="L85" i="2"/>
  <c r="K85" i="2"/>
  <c r="J85" i="2"/>
  <c r="I85" i="2"/>
  <c r="H85" i="2"/>
  <c r="G85" i="2"/>
  <c r="F85" i="2"/>
  <c r="E85" i="2"/>
  <c r="D85" i="2"/>
  <c r="L84" i="2"/>
  <c r="K84" i="2"/>
  <c r="J84" i="2"/>
  <c r="I84" i="2"/>
  <c r="H84" i="2"/>
  <c r="G84" i="2"/>
  <c r="F84" i="2"/>
  <c r="E84" i="2"/>
  <c r="D84" i="2"/>
  <c r="L83" i="2"/>
  <c r="K83" i="2"/>
  <c r="J83" i="2"/>
  <c r="I83" i="2"/>
  <c r="H83" i="2"/>
  <c r="G83" i="2"/>
  <c r="F83" i="2"/>
  <c r="E83" i="2"/>
  <c r="D83" i="2"/>
  <c r="L82" i="2"/>
  <c r="K82" i="2"/>
  <c r="J82" i="2"/>
  <c r="I82" i="2"/>
  <c r="H82" i="2"/>
  <c r="G82" i="2"/>
  <c r="F82" i="2"/>
  <c r="E82" i="2"/>
  <c r="D82" i="2"/>
  <c r="L81" i="2"/>
  <c r="K81" i="2"/>
  <c r="J81" i="2"/>
  <c r="I81" i="2"/>
  <c r="H81" i="2"/>
  <c r="G81" i="2"/>
  <c r="F81" i="2"/>
  <c r="E81" i="2"/>
  <c r="D81" i="2"/>
  <c r="L80" i="2"/>
  <c r="K80" i="2"/>
  <c r="J80" i="2"/>
  <c r="I80" i="2"/>
  <c r="H80" i="2"/>
  <c r="G80" i="2"/>
  <c r="F80" i="2"/>
  <c r="E80" i="2"/>
  <c r="D80" i="2"/>
  <c r="L79" i="2"/>
  <c r="K79" i="2"/>
  <c r="J79" i="2"/>
  <c r="I79" i="2"/>
  <c r="H79" i="2"/>
  <c r="G79" i="2"/>
  <c r="F79" i="2"/>
  <c r="E79" i="2"/>
  <c r="D79" i="2"/>
  <c r="L78" i="2"/>
  <c r="K78" i="2"/>
  <c r="J78" i="2"/>
  <c r="I78" i="2"/>
  <c r="H78" i="2"/>
  <c r="G78" i="2"/>
  <c r="F78" i="2"/>
  <c r="E78" i="2"/>
  <c r="D78" i="2"/>
  <c r="L77" i="2"/>
  <c r="K77" i="2"/>
  <c r="J77" i="2"/>
  <c r="I77" i="2"/>
  <c r="H77" i="2"/>
  <c r="G77" i="2"/>
  <c r="F77" i="2"/>
  <c r="E77" i="2"/>
  <c r="D77" i="2"/>
  <c r="L76" i="2"/>
  <c r="K76" i="2"/>
  <c r="J76" i="2"/>
  <c r="I76" i="2"/>
  <c r="H76" i="2"/>
  <c r="G76" i="2"/>
  <c r="F76" i="2"/>
  <c r="E76" i="2"/>
  <c r="D76" i="2"/>
  <c r="L75" i="2"/>
  <c r="K75" i="2"/>
  <c r="J75" i="2"/>
  <c r="I75" i="2"/>
  <c r="H75" i="2"/>
  <c r="G75" i="2"/>
  <c r="F75" i="2"/>
  <c r="E75" i="2"/>
  <c r="D75" i="2"/>
  <c r="L74" i="2"/>
  <c r="K74" i="2"/>
  <c r="J74" i="2"/>
  <c r="I74" i="2"/>
  <c r="H74" i="2"/>
  <c r="G74" i="2"/>
  <c r="F74" i="2"/>
  <c r="E74" i="2"/>
  <c r="D74" i="2"/>
  <c r="L73" i="2"/>
  <c r="K73" i="2"/>
  <c r="J73" i="2"/>
  <c r="I73" i="2"/>
  <c r="H73" i="2"/>
  <c r="G73" i="2"/>
  <c r="F73" i="2"/>
  <c r="E73" i="2"/>
  <c r="D73" i="2"/>
  <c r="L72" i="2"/>
  <c r="K72" i="2"/>
  <c r="J72" i="2"/>
  <c r="I72" i="2"/>
  <c r="H72" i="2"/>
  <c r="G72" i="2"/>
  <c r="F72" i="2"/>
  <c r="E72" i="2"/>
  <c r="D72" i="2"/>
  <c r="L71" i="2"/>
  <c r="K71" i="2"/>
  <c r="J71" i="2"/>
  <c r="I71" i="2"/>
  <c r="H71" i="2"/>
  <c r="G71" i="2"/>
  <c r="F71" i="2"/>
  <c r="E71" i="2"/>
  <c r="D71" i="2"/>
  <c r="L70" i="2"/>
  <c r="K70" i="2"/>
  <c r="J70" i="2"/>
  <c r="I70" i="2"/>
  <c r="H70" i="2"/>
  <c r="G70" i="2"/>
  <c r="F70" i="2"/>
  <c r="E70" i="2"/>
  <c r="D70" i="2"/>
  <c r="L69" i="2"/>
  <c r="K69" i="2"/>
  <c r="J69" i="2"/>
  <c r="I69" i="2"/>
  <c r="H69" i="2"/>
  <c r="G69" i="2"/>
  <c r="F69" i="2"/>
  <c r="E69" i="2"/>
  <c r="D69" i="2"/>
  <c r="L68" i="2"/>
  <c r="K68" i="2"/>
  <c r="J68" i="2"/>
  <c r="I68" i="2"/>
  <c r="H68" i="2"/>
  <c r="G68" i="2"/>
  <c r="F68" i="2"/>
  <c r="E68" i="2"/>
  <c r="D68" i="2"/>
  <c r="L67" i="2"/>
  <c r="K67" i="2"/>
  <c r="J67" i="2"/>
  <c r="I67" i="2"/>
  <c r="H67" i="2"/>
  <c r="G67" i="2"/>
  <c r="F67" i="2"/>
  <c r="E67" i="2"/>
  <c r="D67" i="2"/>
  <c r="L66" i="2"/>
  <c r="K66" i="2"/>
  <c r="J66" i="2"/>
  <c r="I66" i="2"/>
  <c r="H66" i="2"/>
  <c r="G66" i="2"/>
  <c r="F66" i="2"/>
  <c r="E66" i="2"/>
  <c r="D66" i="2"/>
  <c r="L65" i="2"/>
  <c r="K65" i="2"/>
  <c r="J65" i="2"/>
  <c r="I65" i="2"/>
  <c r="H65" i="2"/>
  <c r="G65" i="2"/>
  <c r="F65" i="2"/>
  <c r="E65" i="2"/>
  <c r="D65" i="2"/>
  <c r="L64" i="2"/>
  <c r="K64" i="2"/>
  <c r="J64" i="2"/>
  <c r="I64" i="2"/>
  <c r="H64" i="2"/>
  <c r="G64" i="2"/>
  <c r="F64" i="2"/>
  <c r="E64" i="2"/>
  <c r="D64" i="2"/>
  <c r="L63" i="2"/>
  <c r="K63" i="2"/>
  <c r="J63" i="2"/>
  <c r="I63" i="2"/>
  <c r="H63" i="2"/>
  <c r="G63" i="2"/>
  <c r="F63" i="2"/>
  <c r="E63" i="2"/>
  <c r="D63" i="2"/>
  <c r="L62" i="2"/>
  <c r="K62" i="2"/>
  <c r="J62" i="2"/>
  <c r="I62" i="2"/>
  <c r="H62" i="2"/>
  <c r="G62" i="2"/>
  <c r="F62" i="2"/>
  <c r="E62" i="2"/>
  <c r="D62" i="2"/>
  <c r="L61" i="2"/>
  <c r="K61" i="2"/>
  <c r="J61" i="2"/>
  <c r="I61" i="2"/>
  <c r="H61" i="2"/>
  <c r="G61" i="2"/>
  <c r="F61" i="2"/>
  <c r="E61" i="2"/>
  <c r="D61" i="2"/>
  <c r="L59" i="2"/>
  <c r="K59" i="2"/>
  <c r="J59" i="2"/>
  <c r="I59" i="2"/>
  <c r="H59" i="2"/>
  <c r="G59" i="2"/>
  <c r="F59" i="2"/>
  <c r="E59" i="2"/>
  <c r="D59" i="2"/>
  <c r="L58" i="2"/>
  <c r="K58" i="2"/>
  <c r="J58" i="2"/>
  <c r="I58" i="2"/>
  <c r="H58" i="2"/>
  <c r="G58" i="2"/>
  <c r="F58" i="2"/>
  <c r="E58" i="2"/>
  <c r="D58" i="2"/>
  <c r="L57" i="2"/>
  <c r="K57" i="2"/>
  <c r="J57" i="2"/>
  <c r="I57" i="2"/>
  <c r="H57" i="2"/>
  <c r="G57" i="2"/>
  <c r="F57" i="2"/>
  <c r="E57" i="2"/>
  <c r="D57" i="2"/>
  <c r="L56" i="2"/>
  <c r="K56" i="2"/>
  <c r="J56" i="2"/>
  <c r="I56" i="2"/>
  <c r="H56" i="2"/>
  <c r="G56" i="2"/>
  <c r="F56" i="2"/>
  <c r="E56" i="2"/>
  <c r="D56" i="2"/>
  <c r="L55" i="2"/>
  <c r="K55" i="2"/>
  <c r="J55" i="2"/>
  <c r="I55" i="2"/>
  <c r="H55" i="2"/>
  <c r="G55" i="2"/>
  <c r="F55" i="2"/>
  <c r="E55" i="2"/>
  <c r="D55" i="2"/>
  <c r="L54" i="2"/>
  <c r="K54" i="2"/>
  <c r="J54" i="2"/>
  <c r="I54" i="2"/>
  <c r="H54" i="2"/>
  <c r="G54" i="2"/>
  <c r="F54" i="2"/>
  <c r="E54" i="2"/>
  <c r="D54" i="2"/>
  <c r="L53" i="2"/>
  <c r="K53" i="2"/>
  <c r="J53" i="2"/>
  <c r="I53" i="2"/>
  <c r="H53" i="2"/>
  <c r="G53" i="2"/>
  <c r="F53" i="2"/>
  <c r="E53" i="2"/>
  <c r="D53" i="2"/>
  <c r="L52" i="2"/>
  <c r="K52" i="2"/>
  <c r="J52" i="2"/>
  <c r="I52" i="2"/>
  <c r="H52" i="2"/>
  <c r="G52" i="2"/>
  <c r="F52" i="2"/>
  <c r="E52" i="2"/>
  <c r="D52" i="2"/>
  <c r="L51" i="2"/>
  <c r="K51" i="2"/>
  <c r="J51" i="2"/>
  <c r="I51" i="2"/>
  <c r="H51" i="2"/>
  <c r="G51" i="2"/>
  <c r="F51" i="2"/>
  <c r="E51" i="2"/>
  <c r="D51" i="2"/>
  <c r="L50" i="2"/>
  <c r="K50" i="2"/>
  <c r="J50" i="2"/>
  <c r="I50" i="2"/>
  <c r="H50" i="2"/>
  <c r="G50" i="2"/>
  <c r="F50" i="2"/>
  <c r="E50" i="2"/>
  <c r="D50" i="2"/>
  <c r="L49" i="2"/>
  <c r="K49" i="2"/>
  <c r="J49" i="2"/>
  <c r="I49" i="2"/>
  <c r="H49" i="2"/>
  <c r="G49" i="2"/>
  <c r="F49" i="2"/>
  <c r="E49" i="2"/>
  <c r="D49" i="2"/>
  <c r="L48" i="2"/>
  <c r="K48" i="2"/>
  <c r="J48" i="2"/>
  <c r="I48" i="2"/>
  <c r="H48" i="2"/>
  <c r="G48" i="2"/>
  <c r="F48" i="2"/>
  <c r="E48" i="2"/>
  <c r="D48" i="2"/>
  <c r="L47" i="2"/>
  <c r="K47" i="2"/>
  <c r="J47" i="2"/>
  <c r="I47" i="2"/>
  <c r="H47" i="2"/>
  <c r="G47" i="2"/>
  <c r="F47" i="2"/>
  <c r="E47" i="2"/>
  <c r="D47" i="2"/>
  <c r="L46" i="2"/>
  <c r="K46" i="2"/>
  <c r="J46" i="2"/>
  <c r="I46" i="2"/>
  <c r="H46" i="2"/>
  <c r="G46" i="2"/>
  <c r="F46" i="2"/>
  <c r="E46" i="2"/>
  <c r="D46" i="2"/>
  <c r="L45" i="2"/>
  <c r="K45" i="2"/>
  <c r="J45" i="2"/>
  <c r="I45" i="2"/>
  <c r="H45" i="2"/>
  <c r="G45" i="2"/>
  <c r="F45" i="2"/>
  <c r="E45" i="2"/>
  <c r="D45" i="2"/>
  <c r="L44" i="2"/>
  <c r="K44" i="2"/>
  <c r="J44" i="2"/>
  <c r="I44" i="2"/>
  <c r="H44" i="2"/>
  <c r="G44" i="2"/>
  <c r="F44" i="2"/>
  <c r="E44" i="2"/>
  <c r="D44" i="2"/>
  <c r="L43" i="2"/>
  <c r="K43" i="2"/>
  <c r="J43" i="2"/>
  <c r="I43" i="2"/>
  <c r="H43" i="2"/>
  <c r="G43" i="2"/>
  <c r="F43" i="2"/>
  <c r="E43" i="2"/>
  <c r="D43" i="2"/>
  <c r="L42" i="2"/>
  <c r="K42" i="2"/>
  <c r="J42" i="2"/>
  <c r="I42" i="2"/>
  <c r="H42" i="2"/>
  <c r="G42" i="2"/>
  <c r="F42" i="2"/>
  <c r="E42" i="2"/>
  <c r="D42" i="2"/>
  <c r="L41" i="2"/>
  <c r="K41" i="2"/>
  <c r="J41" i="2"/>
  <c r="I41" i="2"/>
  <c r="H41" i="2"/>
  <c r="G41" i="2"/>
  <c r="F41" i="2"/>
  <c r="E41" i="2"/>
  <c r="D41" i="2"/>
  <c r="L40" i="2"/>
  <c r="K40" i="2"/>
  <c r="J40" i="2"/>
  <c r="I40" i="2"/>
  <c r="H40" i="2"/>
  <c r="G40" i="2"/>
  <c r="F40" i="2"/>
  <c r="E40" i="2"/>
  <c r="D40" i="2"/>
  <c r="L39" i="2"/>
  <c r="K39" i="2"/>
  <c r="J39" i="2"/>
  <c r="I39" i="2"/>
  <c r="H39" i="2"/>
  <c r="G39" i="2"/>
  <c r="F39" i="2"/>
  <c r="E39" i="2"/>
  <c r="D39" i="2"/>
  <c r="L38" i="2"/>
  <c r="K38" i="2"/>
  <c r="J38" i="2"/>
  <c r="I38" i="2"/>
  <c r="H38" i="2"/>
  <c r="G38" i="2"/>
  <c r="F38" i="2"/>
  <c r="E38" i="2"/>
  <c r="D38" i="2"/>
  <c r="L37" i="2"/>
  <c r="K37" i="2"/>
  <c r="J37" i="2"/>
  <c r="I37" i="2"/>
  <c r="H37" i="2"/>
  <c r="G37" i="2"/>
  <c r="F37" i="2"/>
  <c r="E37" i="2"/>
  <c r="D37" i="2"/>
  <c r="L36" i="2"/>
  <c r="K36" i="2"/>
  <c r="J36" i="2"/>
  <c r="I36" i="2"/>
  <c r="H36" i="2"/>
  <c r="G36" i="2"/>
  <c r="F36" i="2"/>
  <c r="E36" i="2"/>
  <c r="D36" i="2"/>
  <c r="L35" i="2"/>
  <c r="K35" i="2"/>
  <c r="J35" i="2"/>
  <c r="I35" i="2"/>
  <c r="H35" i="2"/>
  <c r="G35" i="2"/>
  <c r="F35" i="2"/>
  <c r="E35" i="2"/>
  <c r="D35" i="2"/>
  <c r="L34" i="2"/>
  <c r="K34" i="2"/>
  <c r="J34" i="2"/>
  <c r="I34" i="2"/>
  <c r="H34" i="2"/>
  <c r="G34" i="2"/>
  <c r="F34" i="2"/>
  <c r="E34" i="2"/>
  <c r="D34" i="2"/>
  <c r="L33" i="2"/>
  <c r="K33" i="2"/>
  <c r="J33" i="2"/>
  <c r="I33" i="2"/>
  <c r="H33" i="2"/>
  <c r="G33" i="2"/>
  <c r="F33" i="2"/>
  <c r="E33" i="2"/>
  <c r="D33" i="2"/>
  <c r="L32" i="2"/>
  <c r="K32" i="2"/>
  <c r="J32" i="2"/>
  <c r="I32" i="2"/>
  <c r="H32" i="2"/>
  <c r="G32" i="2"/>
  <c r="F32" i="2"/>
  <c r="E32" i="2"/>
  <c r="D32" i="2"/>
  <c r="L31" i="2"/>
  <c r="K31" i="2"/>
  <c r="J31" i="2"/>
  <c r="I31" i="2"/>
  <c r="H31" i="2"/>
  <c r="G31" i="2"/>
  <c r="F31" i="2"/>
  <c r="E31" i="2"/>
  <c r="D31" i="2"/>
  <c r="L30" i="2"/>
  <c r="K30" i="2"/>
  <c r="J30" i="2"/>
  <c r="I30" i="2"/>
  <c r="H30" i="2"/>
  <c r="G30" i="2"/>
  <c r="F30" i="2"/>
  <c r="E30" i="2"/>
  <c r="D30" i="2"/>
  <c r="L29" i="2"/>
  <c r="K29" i="2"/>
  <c r="J29" i="2"/>
  <c r="I29" i="2"/>
  <c r="H29" i="2"/>
  <c r="G29" i="2"/>
  <c r="F29" i="2"/>
  <c r="E29" i="2"/>
  <c r="D29" i="2"/>
  <c r="L28" i="2"/>
  <c r="K28" i="2"/>
  <c r="J28" i="2"/>
  <c r="I28" i="2"/>
  <c r="H28" i="2"/>
  <c r="G28" i="2"/>
  <c r="F28" i="2"/>
  <c r="E28" i="2"/>
  <c r="D28" i="2"/>
  <c r="L27" i="2"/>
  <c r="K27" i="2"/>
  <c r="J27" i="2"/>
  <c r="I27" i="2"/>
  <c r="H27" i="2"/>
  <c r="G27" i="2"/>
  <c r="F27" i="2"/>
  <c r="E27" i="2"/>
  <c r="D27" i="2"/>
  <c r="L26" i="2"/>
  <c r="K26" i="2"/>
  <c r="J26" i="2"/>
  <c r="I26" i="2"/>
  <c r="H26" i="2"/>
  <c r="G26" i="2"/>
  <c r="F26" i="2"/>
  <c r="E26" i="2"/>
  <c r="D26" i="2"/>
  <c r="L25" i="2"/>
  <c r="K25" i="2"/>
  <c r="J25" i="2"/>
  <c r="I25" i="2"/>
  <c r="H25" i="2"/>
  <c r="G25" i="2"/>
  <c r="F25" i="2"/>
  <c r="E25" i="2"/>
  <c r="D25" i="2"/>
  <c r="L24" i="2"/>
  <c r="K24" i="2"/>
  <c r="J24" i="2"/>
  <c r="I24" i="2"/>
  <c r="H24" i="2"/>
  <c r="G24" i="2"/>
  <c r="F24" i="2"/>
  <c r="E24" i="2"/>
  <c r="D24" i="2"/>
  <c r="L23" i="2"/>
  <c r="K23" i="2"/>
  <c r="J23" i="2"/>
  <c r="I23" i="2"/>
  <c r="H23" i="2"/>
  <c r="G23" i="2"/>
  <c r="F23" i="2"/>
  <c r="E23" i="2"/>
  <c r="D23" i="2"/>
  <c r="L22" i="2"/>
  <c r="K22" i="2"/>
  <c r="J22" i="2"/>
  <c r="I22" i="2"/>
  <c r="H22" i="2"/>
  <c r="G22" i="2"/>
  <c r="F22" i="2"/>
  <c r="E22" i="2"/>
  <c r="D22" i="2"/>
  <c r="L21" i="2"/>
  <c r="K21" i="2"/>
  <c r="J21" i="2"/>
  <c r="I21" i="2"/>
  <c r="H21" i="2"/>
  <c r="G21" i="2"/>
  <c r="F21" i="2"/>
  <c r="E21" i="2"/>
  <c r="D21" i="2"/>
  <c r="L20" i="2"/>
  <c r="K20" i="2"/>
  <c r="J20" i="2"/>
  <c r="I20" i="2"/>
  <c r="H20" i="2"/>
  <c r="G20" i="2"/>
  <c r="F20" i="2"/>
  <c r="E20" i="2"/>
  <c r="D20" i="2"/>
  <c r="L19" i="2"/>
  <c r="K19" i="2"/>
  <c r="J19" i="2"/>
  <c r="I19" i="2"/>
  <c r="H19" i="2"/>
  <c r="G19" i="2"/>
  <c r="F19" i="2"/>
  <c r="E19" i="2"/>
  <c r="D19" i="2"/>
  <c r="L18" i="2"/>
  <c r="K18" i="2"/>
  <c r="J18" i="2"/>
  <c r="I18" i="2"/>
  <c r="H18" i="2"/>
  <c r="G18" i="2"/>
  <c r="F18" i="2"/>
  <c r="E18" i="2"/>
  <c r="D18" i="2"/>
  <c r="L17" i="2"/>
  <c r="K17" i="2"/>
  <c r="J17" i="2"/>
  <c r="I17" i="2"/>
  <c r="H17" i="2"/>
  <c r="G17" i="2"/>
  <c r="F17" i="2"/>
  <c r="E17" i="2"/>
  <c r="D17" i="2"/>
  <c r="L16" i="2"/>
  <c r="K16" i="2"/>
  <c r="J16" i="2"/>
  <c r="I16" i="2"/>
  <c r="H16" i="2"/>
  <c r="G16" i="2"/>
  <c r="F16" i="2"/>
  <c r="E16" i="2"/>
  <c r="D16" i="2"/>
  <c r="L15" i="2"/>
  <c r="K15" i="2"/>
  <c r="J15" i="2"/>
  <c r="I15" i="2"/>
  <c r="H15" i="2"/>
  <c r="G15" i="2"/>
  <c r="F15" i="2"/>
  <c r="E15" i="2"/>
  <c r="D15" i="2"/>
  <c r="L14" i="2"/>
  <c r="K14" i="2"/>
  <c r="J14" i="2"/>
  <c r="I14" i="2"/>
  <c r="H14" i="2"/>
  <c r="G14" i="2"/>
  <c r="F14" i="2"/>
  <c r="E14" i="2"/>
  <c r="D14" i="2"/>
  <c r="L13" i="2"/>
  <c r="K13" i="2"/>
  <c r="J13" i="2"/>
  <c r="I13" i="2"/>
  <c r="H13" i="2"/>
  <c r="G13" i="2"/>
  <c r="F13" i="2"/>
  <c r="E13" i="2"/>
  <c r="D13" i="2"/>
  <c r="L12" i="2"/>
  <c r="K12" i="2"/>
  <c r="J12" i="2"/>
  <c r="I12" i="2"/>
  <c r="H12" i="2"/>
  <c r="G12" i="2"/>
  <c r="F12" i="2"/>
  <c r="E12" i="2"/>
  <c r="D12" i="2"/>
  <c r="L11" i="2"/>
  <c r="K11" i="2"/>
  <c r="J11" i="2"/>
  <c r="I11" i="2"/>
  <c r="H11" i="2"/>
  <c r="G11" i="2"/>
  <c r="F11" i="2"/>
  <c r="E11" i="2"/>
  <c r="D11" i="2"/>
  <c r="L10" i="2"/>
  <c r="K10" i="2"/>
  <c r="J10" i="2"/>
  <c r="I10" i="2"/>
  <c r="H10" i="2"/>
  <c r="G10" i="2"/>
  <c r="F10" i="2"/>
  <c r="E10" i="2"/>
  <c r="D10" i="2"/>
  <c r="L9" i="2"/>
  <c r="K9" i="2"/>
  <c r="J9" i="2"/>
  <c r="I9" i="2"/>
  <c r="H9" i="2"/>
  <c r="G9" i="2"/>
  <c r="F9" i="2"/>
  <c r="E9" i="2"/>
  <c r="D9" i="2"/>
  <c r="L8" i="2"/>
  <c r="K8" i="2"/>
  <c r="J8" i="2"/>
  <c r="I8" i="2"/>
  <c r="H8" i="2"/>
  <c r="G8" i="2"/>
  <c r="F8" i="2"/>
  <c r="E8" i="2"/>
  <c r="D8" i="2"/>
  <c r="L7" i="2"/>
  <c r="K7" i="2"/>
  <c r="J7" i="2"/>
  <c r="I7" i="2"/>
  <c r="H7" i="2"/>
  <c r="G7" i="2"/>
  <c r="F7" i="2"/>
  <c r="E7" i="2"/>
  <c r="D7" i="2"/>
  <c r="L6" i="2"/>
  <c r="K6" i="2"/>
  <c r="J6" i="2"/>
  <c r="I6" i="2"/>
  <c r="H6" i="2"/>
  <c r="G6" i="2"/>
  <c r="F6" i="2"/>
  <c r="E6" i="2"/>
  <c r="D6" i="2"/>
  <c r="L5" i="2"/>
  <c r="K5" i="2"/>
  <c r="J5" i="2"/>
  <c r="I5" i="2"/>
  <c r="H5" i="2"/>
  <c r="G5" i="2"/>
  <c r="F5" i="2"/>
  <c r="E5" i="2"/>
  <c r="D5" i="2"/>
  <c r="L4" i="2"/>
  <c r="K4" i="2"/>
  <c r="J4" i="2"/>
  <c r="I4" i="2"/>
  <c r="H4" i="2"/>
  <c r="G4" i="2"/>
  <c r="F4" i="2"/>
  <c r="E4" i="2"/>
  <c r="D4" i="2"/>
  <c r="H34" i="3" l="1"/>
  <c r="G34" i="3"/>
  <c r="I34" i="3" s="1"/>
  <c r="J34" i="3" s="1"/>
  <c r="H33" i="3"/>
  <c r="G33" i="3"/>
  <c r="I33" i="3" s="1"/>
  <c r="D33" i="3"/>
  <c r="C33" i="3"/>
  <c r="F33" i="3" s="1"/>
  <c r="J33" i="3" s="1"/>
  <c r="H32" i="3"/>
  <c r="G32" i="3"/>
  <c r="I32" i="3" s="1"/>
  <c r="D32" i="3"/>
  <c r="C32" i="3"/>
  <c r="F32" i="3" s="1"/>
  <c r="J32" i="3" s="1"/>
  <c r="H31" i="3"/>
  <c r="G31" i="3"/>
  <c r="I31" i="3" s="1"/>
  <c r="D31" i="3"/>
  <c r="C31" i="3"/>
  <c r="F31" i="3" s="1"/>
  <c r="J31" i="3" s="1"/>
  <c r="H30" i="3"/>
  <c r="G30" i="3"/>
  <c r="I30" i="3" s="1"/>
  <c r="D30" i="3"/>
  <c r="C30" i="3"/>
  <c r="F30" i="3" s="1"/>
  <c r="J30" i="3" s="1"/>
  <c r="H29" i="3"/>
  <c r="G29" i="3"/>
  <c r="I29" i="3" s="1"/>
  <c r="D29" i="3"/>
  <c r="C29" i="3"/>
  <c r="F29" i="3" s="1"/>
  <c r="J29" i="3" s="1"/>
  <c r="H28" i="3"/>
  <c r="G28" i="3"/>
  <c r="I28" i="3" s="1"/>
  <c r="D28" i="3"/>
  <c r="C28" i="3"/>
  <c r="F28" i="3" s="1"/>
  <c r="J28" i="3" s="1"/>
  <c r="H27" i="3"/>
  <c r="G27" i="3"/>
  <c r="D27" i="3"/>
  <c r="C27" i="3"/>
  <c r="F27" i="3" s="1"/>
  <c r="H26" i="3"/>
  <c r="G26" i="3"/>
  <c r="I26" i="3" s="1"/>
  <c r="D26" i="3"/>
  <c r="C26" i="3"/>
  <c r="F26" i="3" s="1"/>
  <c r="J26" i="3" s="1"/>
  <c r="D25" i="3"/>
  <c r="C25" i="3"/>
  <c r="H24" i="3"/>
  <c r="G24" i="3"/>
  <c r="I24" i="3" s="1"/>
  <c r="D24" i="3"/>
  <c r="C24" i="3"/>
  <c r="F24" i="3" s="1"/>
  <c r="J24" i="3" s="1"/>
  <c r="H23" i="3"/>
  <c r="G23" i="3"/>
  <c r="I23" i="3" s="1"/>
  <c r="D23" i="3"/>
  <c r="C23" i="3"/>
  <c r="H22" i="3"/>
  <c r="G22" i="3"/>
  <c r="I22" i="3" s="1"/>
  <c r="D22" i="3"/>
  <c r="C22" i="3"/>
  <c r="F22" i="3" s="1"/>
  <c r="J22" i="3" s="1"/>
  <c r="H21" i="3"/>
  <c r="G21" i="3"/>
  <c r="I21" i="3" s="1"/>
  <c r="D21" i="3"/>
  <c r="C21" i="3"/>
  <c r="H20" i="3"/>
  <c r="G20" i="3"/>
  <c r="I20" i="3" s="1"/>
  <c r="D20" i="3"/>
  <c r="C20" i="3"/>
  <c r="F20" i="3" s="1"/>
  <c r="J20" i="3" s="1"/>
  <c r="H19" i="3"/>
  <c r="G19" i="3"/>
  <c r="D19" i="3"/>
  <c r="C19" i="3"/>
  <c r="F19" i="3" s="1"/>
  <c r="D15" i="3"/>
  <c r="C15" i="3"/>
  <c r="F15" i="3" s="1"/>
  <c r="J15" i="3" s="1"/>
  <c r="H14" i="3"/>
  <c r="G14" i="3"/>
  <c r="I14" i="3" s="1"/>
  <c r="D14" i="3"/>
  <c r="C14" i="3"/>
  <c r="F14" i="3" s="1"/>
  <c r="J14" i="3" s="1"/>
  <c r="H13" i="3"/>
  <c r="G13" i="3"/>
  <c r="I13" i="3" s="1"/>
  <c r="D13" i="3"/>
  <c r="C13" i="3"/>
  <c r="F13" i="3" s="1"/>
  <c r="J13" i="3" s="1"/>
  <c r="H12" i="3"/>
  <c r="G12" i="3"/>
  <c r="I12" i="3" s="1"/>
  <c r="D12" i="3"/>
  <c r="C12" i="3"/>
  <c r="F12" i="3" s="1"/>
  <c r="J12" i="3" s="1"/>
  <c r="H11" i="3"/>
  <c r="G11" i="3"/>
  <c r="I11" i="3" s="1"/>
  <c r="D11" i="3"/>
  <c r="C11" i="3"/>
  <c r="F11" i="3" s="1"/>
  <c r="J11" i="3" s="1"/>
  <c r="H10" i="3"/>
  <c r="G10" i="3"/>
  <c r="I10" i="3" s="1"/>
  <c r="D10" i="3"/>
  <c r="C10" i="3"/>
  <c r="F10" i="3" s="1"/>
  <c r="J10" i="3" s="1"/>
  <c r="H9" i="3"/>
  <c r="G9" i="3"/>
  <c r="D9" i="3"/>
  <c r="C9" i="3"/>
  <c r="I9" i="3" l="1"/>
  <c r="I35" i="3" s="1"/>
  <c r="G35" i="3"/>
  <c r="F9" i="3"/>
  <c r="C35" i="3"/>
  <c r="I19" i="3"/>
  <c r="J19" i="3" s="1"/>
  <c r="D35" i="3"/>
  <c r="I27" i="3"/>
  <c r="J27" i="3" s="1"/>
  <c r="F25" i="3"/>
  <c r="J25" i="3" s="1"/>
  <c r="F21" i="3"/>
  <c r="J21" i="3" s="1"/>
  <c r="H35" i="3"/>
  <c r="F23" i="3"/>
  <c r="J23" i="3" s="1"/>
  <c r="J9" i="3" l="1"/>
  <c r="J35" i="3" s="1"/>
  <c r="F35" i="3"/>
</calcChain>
</file>

<file path=xl/sharedStrings.xml><?xml version="1.0" encoding="utf-8"?>
<sst xmlns="http://schemas.openxmlformats.org/spreadsheetml/2006/main" count="27040" uniqueCount="8958">
  <si>
    <t>📋 กรอกข้อมูลรายวัน</t>
  </si>
  <si>
    <t>SND</t>
  </si>
  <si>
    <t>YC STOCK — บันทึกสต็อครายวัน</t>
  </si>
  <si>
    <t>วันที่
(auto)</t>
  </si>
  <si>
    <t>สาขา
(auto)</t>
  </si>
  <si>
    <t>ชีต</t>
  </si>
  <si>
    <t>หมวด</t>
  </si>
  <si>
    <t>รายการ</t>
  </si>
  <si>
    <t>หน่วยบรรจุ</t>
  </si>
  <si>
    <t>ยกมา
(แพ็ค/กล่อง)</t>
  </si>
  <si>
    <t>ยกมา
(ชิ้น/กรัม)</t>
  </si>
  <si>
    <t>รับเข้า
(แพ็ค/กล่อง)</t>
  </si>
  <si>
    <t>รับเข้า
(ชิ้น/กรัม)</t>
  </si>
  <si>
    <t>ขายไป /
ใช้ไป</t>
  </si>
  <si>
    <t>คงเหลือ
(แพ็ค/กล่อง)</t>
  </si>
  <si>
    <t>คงเหลือ
(ชิ้น/กรัม)</t>
  </si>
  <si>
    <t>ส่งคืน</t>
  </si>
  <si>
    <t>หมายเหตุ</t>
  </si>
  <si>
    <t>ผลต่าง /
ปริมาณใช้</t>
  </si>
  <si>
    <t>Par Level
(สต็อคขั้นต่ำ)</t>
  </si>
  <si>
    <t>สถานะสต็อค</t>
  </si>
  <si>
    <t>#1</t>
  </si>
  <si>
    <t>Yogurt 1kg/Box</t>
  </si>
  <si>
    <t>Greek Yogurt 1kg</t>
  </si>
  <si>
    <t>1kg/Box</t>
  </si>
  <si>
    <t>✓ ปกติ</t>
  </si>
  <si>
    <t>Yuzu</t>
  </si>
  <si>
    <t>Kyoho</t>
  </si>
  <si>
    <t>Mint</t>
  </si>
  <si>
    <t>Vanilla</t>
  </si>
  <si>
    <t>Pineapple</t>
  </si>
  <si>
    <t>Biscoff</t>
  </si>
  <si>
    <t>Overnight oats biscoff</t>
  </si>
  <si>
    <t>Plain Yogurt (ธรรมชาติ)</t>
  </si>
  <si>
    <t>Yogurt 500g/Box</t>
  </si>
  <si>
    <t>Greek Yogurt 500g</t>
  </si>
  <si>
    <t>500g/Box</t>
  </si>
  <si>
    <t>Plain Yogurt 500g</t>
  </si>
  <si>
    <t>ACAI</t>
  </si>
  <si>
    <t>R-ACAI Bowl</t>
  </si>
  <si>
    <t>Bowl</t>
  </si>
  <si>
    <t>S-ACAI Cup (mini)</t>
  </si>
  <si>
    <t>Cup</t>
  </si>
  <si>
    <t>Soft Serve / Ice Cream</t>
  </si>
  <si>
    <t>น้ำ Ice cream / Soft Serve</t>
  </si>
  <si>
    <t>2kg/Bag</t>
  </si>
  <si>
    <t>Granola โรย Ice cream</t>
  </si>
  <si>
    <t>g.</t>
  </si>
  <si>
    <t>Softserve TH</t>
  </si>
  <si>
    <t>Softserve ถ้วยกระดาษ</t>
  </si>
  <si>
    <t>ถ้วย</t>
  </si>
  <si>
    <t>Shake แข็ง</t>
  </si>
  <si>
    <t>Shake (แช่แข็ง)</t>
  </si>
  <si>
    <t>Drink / แยมกระปุก</t>
  </si>
  <si>
    <t>Peanut Butter</t>
  </si>
  <si>
    <t>กระปุก</t>
  </si>
  <si>
    <t>Water น้ำดื่ม</t>
  </si>
  <si>
    <t>ขวด</t>
  </si>
  <si>
    <t>ถุงสตรอเบอรี่</t>
  </si>
  <si>
    <t>ถุง</t>
  </si>
  <si>
    <t>ถุงบลูเบอรี่</t>
  </si>
  <si>
    <t>ถุงธรรมชาติ</t>
  </si>
  <si>
    <t>ถุงลิ้นจี่</t>
  </si>
  <si>
    <t>ถุงยูส</t>
  </si>
  <si>
    <t>ถุงพีช</t>
  </si>
  <si>
    <t>Cereals</t>
  </si>
  <si>
    <t>Cornflakes Malt (M)</t>
  </si>
  <si>
    <t>Granola (M)</t>
  </si>
  <si>
    <t>Choc Chip Cookies</t>
  </si>
  <si>
    <t>#2</t>
  </si>
  <si>
    <t>Toppings</t>
  </si>
  <si>
    <t>Cookies Crumbs</t>
  </si>
  <si>
    <t>750g/pack</t>
  </si>
  <si>
    <t>Oreo</t>
  </si>
  <si>
    <t>454g/pack</t>
  </si>
  <si>
    <t>Choc Chips</t>
  </si>
  <si>
    <t>300g/pack</t>
  </si>
  <si>
    <t>Cornflakes (Topping)</t>
  </si>
  <si>
    <t>1,000g/box</t>
  </si>
  <si>
    <t>Granola (Topping)</t>
  </si>
  <si>
    <t>2,000g/box</t>
  </si>
  <si>
    <t>Almond</t>
  </si>
  <si>
    <t>400g/pack</t>
  </si>
  <si>
    <t>Pecan</t>
  </si>
  <si>
    <t>Walnut</t>
  </si>
  <si>
    <t>Coconut Chips</t>
  </si>
  <si>
    <t>130g/box</t>
  </si>
  <si>
    <t>Chia Seed</t>
  </si>
  <si>
    <t>Flax Seed</t>
  </si>
  <si>
    <t>Cacao Nibs</t>
  </si>
  <si>
    <t>Grape Jelly</t>
  </si>
  <si>
    <t>1,000g/pack</t>
  </si>
  <si>
    <t>Honey Jelly</t>
  </si>
  <si>
    <t>Fruits</t>
  </si>
  <si>
    <t>Strawberry (250g)</t>
  </si>
  <si>
    <t>250g/box</t>
  </si>
  <si>
    <t>Strawberry (500g)</t>
  </si>
  <si>
    <t>500g/box</t>
  </si>
  <si>
    <t>Blueberry (125g)</t>
  </si>
  <si>
    <t>125g/box</t>
  </si>
  <si>
    <t>Blueberry (500g)</t>
  </si>
  <si>
    <t>Apple Cinnamon</t>
  </si>
  <si>
    <t>500g/pack</t>
  </si>
  <si>
    <t>Banana</t>
  </si>
  <si>
    <t>ชิ้น</t>
  </si>
  <si>
    <t>Sauces</t>
  </si>
  <si>
    <t>Honey</t>
  </si>
  <si>
    <t>1,000g/bottle</t>
  </si>
  <si>
    <t>Caramel</t>
  </si>
  <si>
    <t>Peanut Butter Sauce</t>
  </si>
  <si>
    <t>#3</t>
  </si>
  <si>
    <t>CUP/ถ้วย</t>
  </si>
  <si>
    <t>Cup P (5oz)</t>
  </si>
  <si>
    <t>50/pack</t>
  </si>
  <si>
    <t>Cup S (9oz)</t>
  </si>
  <si>
    <t>Small Bowl</t>
  </si>
  <si>
    <t>Cup (14oz)</t>
  </si>
  <si>
    <t>🔢 รวมถ้วยทั้งหมด</t>
  </si>
  <si>
    <t>TOPPING CUP</t>
  </si>
  <si>
    <t>Cup 3oz (Topping)</t>
  </si>
  <si>
    <t>Cup+Lid (Big) 3oz</t>
  </si>
  <si>
    <t>Cup+Lid (Small) 1oz</t>
  </si>
  <si>
    <t>LID/ฝา</t>
  </si>
  <si>
    <t>Bowl Lid</t>
  </si>
  <si>
    <t>Smoothies Lid</t>
  </si>
  <si>
    <t>Lid S (92)</t>
  </si>
  <si>
    <t>Lid Top / Lid P (75)</t>
  </si>
  <si>
    <t>SPOON/ช้อน</t>
  </si>
  <si>
    <t>Wood Spoon in bag</t>
  </si>
  <si>
    <t>100/pack</t>
  </si>
  <si>
    <t>Wood Spoon</t>
  </si>
  <si>
    <t>Tester Spoon ช้อนชิม</t>
  </si>
  <si>
    <t>Short Spoon (ช้อนถ้วยP)</t>
  </si>
  <si>
    <t>Straw/หลอด - ใหญ่</t>
  </si>
  <si>
    <t>Straw/หลอด - เล็ก</t>
  </si>
  <si>
    <t>BAG/ถุง</t>
  </si>
  <si>
    <t>Fail Bag ถุงฟลอย</t>
  </si>
  <si>
    <t>ใบ</t>
  </si>
  <si>
    <t>ถุงกระดาษแก้วเดี่ยว</t>
  </si>
  <si>
    <t>ถุงกระดาษแก้วคู่</t>
  </si>
  <si>
    <t>ถุงกระดาษใหญ่</t>
  </si>
  <si>
    <t>กระดาษกันหก</t>
  </si>
  <si>
    <t>ห่อ (500ชิ้น)</t>
  </si>
  <si>
    <t>ฟอยล์แก้ว</t>
  </si>
  <si>
    <t>แพ็ค</t>
  </si>
  <si>
    <t>ฐานรองแก้วเดี่ยว</t>
  </si>
  <si>
    <t>อัน</t>
  </si>
  <si>
    <t>ฐานรองแก้ว (คู่)</t>
  </si>
  <si>
    <t>Zip Bag Small / ถุงซิป</t>
  </si>
  <si>
    <t>Pack</t>
  </si>
  <si>
    <t>Bag 4x14</t>
  </si>
  <si>
    <t>Bag 6x14</t>
  </si>
  <si>
    <t>Bag 8x14</t>
  </si>
  <si>
    <t>Bag 9x14</t>
  </si>
  <si>
    <t>STICKER</t>
  </si>
  <si>
    <t>Bag Sticker สติ๊กเกอร์ลิ้น</t>
  </si>
  <si>
    <t>Sheet</t>
  </si>
  <si>
    <t>Sticker Roll (สก๊อตเทป)</t>
  </si>
  <si>
    <t>Roll</t>
  </si>
  <si>
    <t>ของใช้</t>
  </si>
  <si>
    <t>Print Paper กระดาษปริ้น</t>
  </si>
  <si>
    <t>Gloves YG / ถุงมือ</t>
  </si>
  <si>
    <t>Box</t>
  </si>
  <si>
    <t>Black Bag 30x40 / ถุงขยะ</t>
  </si>
  <si>
    <t>Dry Tissue / ทิชชู่แห้ง</t>
  </si>
  <si>
    <t>Wet Tissue / ทิชชู่เปียก</t>
  </si>
  <si>
    <t>Tissue ทิชชู่ลูกค้า</t>
  </si>
  <si>
    <t>น้ำยาทำความสะอาด</t>
  </si>
  <si>
    <t>น้ำยาถูพื้น</t>
  </si>
  <si>
    <t>-</t>
  </si>
  <si>
    <t>น้ำยาตัดไขมัน</t>
  </si>
  <si>
    <t>น้ำยาล้างจาน</t>
  </si>
  <si>
    <t>น้ำยาอเนกประสงค์</t>
  </si>
  <si>
    <t>น้ำยาล้างเครื่องไอดิม</t>
  </si>
  <si>
    <t>#4</t>
  </si>
  <si>
    <t>Smoothies (Pre-packed)</t>
  </si>
  <si>
    <t>Wake up call (Banana)</t>
  </si>
  <si>
    <t>10ถุง/Pack</t>
  </si>
  <si>
    <t>Energy Sip (Straw+Banana)</t>
  </si>
  <si>
    <t>Yellow Madness (Pineapple+Mango+Passion)</t>
  </si>
  <si>
    <t>Ready to Glow (Straw+Blue+Banana)</t>
  </si>
  <si>
    <t>Yogurt Smoothies Powder</t>
  </si>
  <si>
    <t>ผงโกโก้ (COCOA)</t>
  </si>
  <si>
    <t>Bag</t>
  </si>
  <si>
    <t>ผงมาคิ (MAQUI)</t>
  </si>
  <si>
    <t>ผงคาม (CAMU)</t>
  </si>
  <si>
    <t>น้ำเชื่อม (Syrup)</t>
  </si>
  <si>
    <t>Bottle</t>
  </si>
  <si>
    <t>Yogurt Shake</t>
  </si>
  <si>
    <t>Biscoff Spread เล็ก</t>
  </si>
  <si>
    <t>Biscoff Spread ใหญ่</t>
  </si>
  <si>
    <t>ซอส Chocolate</t>
  </si>
  <si>
    <t>500/Bag</t>
  </si>
  <si>
    <t>ซอส Strawberry</t>
  </si>
  <si>
    <t>ปีโป้</t>
  </si>
  <si>
    <t>40 อัน/Bag</t>
  </si>
  <si>
    <t>ปีโป้ลิ้นจี่</t>
  </si>
  <si>
    <t>กล่อง</t>
  </si>
  <si>
    <t>Softserve Toppings</t>
  </si>
  <si>
    <t>พิสตาชิโอ้เครป</t>
  </si>
  <si>
    <t>พิสตาชิโอ้บัตเตอร์</t>
  </si>
  <si>
    <t>NVP</t>
  </si>
  <si>
    <t>พิสตาชิโอ้ท๊อปปิ้ง</t>
  </si>
  <si>
    <t>Blueberry (300g)</t>
  </si>
  <si>
    <t>📦 ฐานข้อมูลสต็อค — ใส่ข้อมูลวันใหม่ที่นี่ (วันที่ + สาขาล็อคกับข้อมูล)</t>
  </si>
  <si>
    <t>วันที่</t>
  </si>
  <si>
    <t>สาขา</t>
  </si>
  <si>
    <t>ยกมา(แพ็ค)</t>
  </si>
  <si>
    <t>ยกมา(g)</t>
  </si>
  <si>
    <t>รับเข้า(แพ็ค)</t>
  </si>
  <si>
    <t>รับเข้า(g)</t>
  </si>
  <si>
    <t>ขายไป/ใช้ไป</t>
  </si>
  <si>
    <t>คงเหลือ(แพ็ค)</t>
  </si>
  <si>
    <t>คงเหลือ(g)</t>
  </si>
  <si>
    <t>🔑 KEY (อย่าแก้)</t>
  </si>
  <si>
    <t>20260601|NVP|Greek Yogurt 1kg</t>
  </si>
  <si>
    <t>20260601|NVP|Yuzu</t>
  </si>
  <si>
    <t>20260601|NVP|Kyoho</t>
  </si>
  <si>
    <t>20260601|NVP|Mint</t>
  </si>
  <si>
    <t>20260601|NVP|Vanilla</t>
  </si>
  <si>
    <t>20260601|NVP|Pineapple</t>
  </si>
  <si>
    <t>20260601|NVP|Biscoff</t>
  </si>
  <si>
    <t>20260601|NVP|Overnight oats biscoff</t>
  </si>
  <si>
    <r>
      <rPr>
        <sz val="11"/>
        <color theme="1"/>
        <rFont val="Calibri"/>
        <family val="2"/>
        <charset val="1"/>
      </rPr>
      <t>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</si>
  <si>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20260601|NVP|Plain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</si>
  <si>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20260601|NVP|Greek Yogurt 500g</t>
  </si>
  <si>
    <t>20260601|NVP|Plain Yogurt 500g</t>
  </si>
  <si>
    <t>20260601|NVP|R-ACAI Bowl</t>
  </si>
  <si>
    <t>20260601|NVP|S-ACAI Cup (mini)</t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</si>
  <si>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</si>
  <si>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</si>
  <si>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20260601|NVP|Granola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</si>
  <si>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</si>
  <si>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 xml:space="preserve">20260601|NVP|Softserve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</si>
  <si>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</si>
  <si>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20260601|NVP|Shake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</si>
  <si>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20260601|NVP|Peanut Butter</t>
  </si>
  <si>
    <r>
      <rPr>
        <sz val="11"/>
        <color theme="1"/>
        <rFont val="Calibri"/>
        <family val="2"/>
        <charset val="1"/>
      </rPr>
      <t xml:space="preserve">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</si>
  <si>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 xml:space="preserve">20260601|NVP|Water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</si>
  <si>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</si>
  <si>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</si>
  <si>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</si>
  <si>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</si>
  <si>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</si>
  <si>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ถุงพีช</t>
    </r>
  </si>
  <si>
    <t>20260601|NVP|Cornflakes Malt (M)</t>
  </si>
  <si>
    <t>20260601|NVP|Granola (M)</t>
  </si>
  <si>
    <t>20260601|NVP|Choc Chip Cookies</t>
  </si>
  <si>
    <t>20260601|NVP|Cookies Crumbs</t>
  </si>
  <si>
    <t>20260601|NVP|Oreo</t>
  </si>
  <si>
    <t>20260601|NVP|Choc Chips</t>
  </si>
  <si>
    <t>20260601|NVP|Cornflakes (Topping)</t>
  </si>
  <si>
    <t>20260601|NVP|Granola (Topping)</t>
  </si>
  <si>
    <t>20260601|NVP|Almond</t>
  </si>
  <si>
    <t>20260601|NVP|Pecan</t>
  </si>
  <si>
    <t>20260601|NVP|Walnut</t>
  </si>
  <si>
    <t>20260601|NVP|Coconut Chips</t>
  </si>
  <si>
    <t>20260601|NVP|Chia Seed</t>
  </si>
  <si>
    <t>20260601|NVP|Flax Seed</t>
  </si>
  <si>
    <t>20260601|NVP|Cacao Nibs</t>
  </si>
  <si>
    <t>20260601|NVP|Grape Jelly</t>
  </si>
  <si>
    <t>20260601|NVP|Honey Jelly</t>
  </si>
  <si>
    <t>20260601|NVP|Strawberry (250g)</t>
  </si>
  <si>
    <t>20260601|NVP|Strawberry (500g)</t>
  </si>
  <si>
    <t>20260601|NVP|Blueberry (125g)</t>
  </si>
  <si>
    <t>20260601|NVP|Blueberry (500g)</t>
  </si>
  <si>
    <t>20260601|NVP|Apple Cinnamon</t>
  </si>
  <si>
    <t>20260601|NVP|Banana</t>
  </si>
  <si>
    <t>20260601|NVP|Honey</t>
  </si>
  <si>
    <t>20260601|NVP|Caramel</t>
  </si>
  <si>
    <t>20260601|NVP|Peanut Butter Sauce</t>
  </si>
  <si>
    <t>20260601|NVP|Cup P (5oz)</t>
  </si>
  <si>
    <t>20260601|NVP|Cup S (9oz)</t>
  </si>
  <si>
    <t>20260601|NVP|Small Bowl</t>
  </si>
  <si>
    <t>20260601|NVP|Cup (14oz)</t>
  </si>
  <si>
    <r>
      <rPr>
        <sz val="11"/>
        <color theme="1"/>
        <rFont val="Calibri"/>
        <family val="2"/>
        <charset val="1"/>
      </rPr>
      <t xml:space="preserve">20260601|NVP|🔢 </t>
    </r>
    <r>
      <rPr>
        <sz val="11"/>
        <color theme="1"/>
        <rFont val="DejaVu Sans"/>
        <family val="2"/>
      </rPr>
      <t>รวมถ้วยทั้งหมด</t>
    </r>
  </si>
  <si>
    <t>20260601|NVP|Cup 3oz (Topping)</t>
  </si>
  <si>
    <t>20260601|NVP|Cup+Lid (Big) 3oz</t>
  </si>
  <si>
    <t>20260601|NVP|Cup+Lid (Small) 1oz</t>
  </si>
  <si>
    <t>20260601|NVP|Bowl Lid</t>
  </si>
  <si>
    <t>20260601|NVP|Smoothies Lid</t>
  </si>
  <si>
    <t>20260601|NVP|Lid S (92)</t>
  </si>
  <si>
    <t>20260601|NVP|Lid Top / Lid P (75)</t>
  </si>
  <si>
    <t>20260601|NVP|Wood Spoon in bag</t>
  </si>
  <si>
    <t>20260601|NVP|Wood Spoon</t>
  </si>
  <si>
    <r>
      <rPr>
        <sz val="11"/>
        <color theme="1"/>
        <rFont val="Calibri"/>
        <family val="2"/>
        <charset val="1"/>
      </rPr>
      <t xml:space="preserve">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</si>
  <si>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 xml:space="preserve">20260601|NVP|Tester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</si>
  <si>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</si>
  <si>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20260601|NVP|Short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</si>
  <si>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</si>
  <si>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20260601|NVP|Straw/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</si>
  <si>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</si>
  <si>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20260601|NVP|Straw/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</si>
  <si>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</si>
  <si>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 xml:space="preserve">20260601|NVP|Fail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</si>
  <si>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</si>
  <si>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</si>
  <si>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</si>
  <si>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</si>
  <si>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</si>
  <si>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</si>
  <si>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</si>
  <si>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Zip Bag Small / </t>
    </r>
    <r>
      <rPr>
        <sz val="11"/>
        <color theme="1"/>
        <rFont val="DejaVu Sans"/>
        <family val="2"/>
      </rPr>
      <t>ถุงซิป</t>
    </r>
  </si>
  <si>
    <r>
      <rPr>
        <sz val="11"/>
        <color theme="1"/>
        <rFont val="Calibri"/>
        <family val="2"/>
        <charset val="1"/>
      </rPr>
      <t xml:space="preserve">20260601|NVP|Zip Bag Small / </t>
    </r>
    <r>
      <rPr>
        <sz val="11"/>
        <color theme="1"/>
        <rFont val="DejaVu Sans"/>
        <family val="2"/>
      </rPr>
      <t>ถุงซิป</t>
    </r>
  </si>
  <si>
    <t>20260601|NVP|Bag 4x14</t>
  </si>
  <si>
    <t>20260601|NVP|Bag 6x14</t>
  </si>
  <si>
    <t>20260601|NVP|Bag 8x14</t>
  </si>
  <si>
    <t>20260601|NVP|Bag 9x14</t>
  </si>
  <si>
    <r>
      <rPr>
        <sz val="11"/>
        <color theme="1"/>
        <rFont val="Calibri"/>
        <family val="2"/>
        <charset val="1"/>
      </rPr>
      <t xml:space="preserve">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</si>
  <si>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 xml:space="preserve">20260601|NVP|Bag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</si>
  <si>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</si>
  <si>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20260601|NVP|Sticker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</si>
  <si>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</si>
  <si>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20260601|NVP|Print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</si>
  <si>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</si>
  <si>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20260601|NVP|Gloves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</si>
  <si>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</si>
  <si>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20260601|NVP|Black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</si>
  <si>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</si>
  <si>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20260601|NVP|Dry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</si>
  <si>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</si>
  <si>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20260601|NVP|Wet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</si>
  <si>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</si>
  <si>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 xml:space="preserve">20260601|NVP|Tissue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</si>
  <si>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</si>
  <si>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</si>
  <si>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</si>
  <si>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</si>
  <si>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น้ำยาล้างเครื่องไอดิม</t>
    </r>
  </si>
  <si>
    <t>20260601|NVP|Wake up call (Banana)</t>
  </si>
  <si>
    <t>20260601|NVP|Energy Sip (Straw+Banana)</t>
  </si>
  <si>
    <t>20260601|NVP|Yellow Madness (Pineapple+Mango+Passion)</t>
  </si>
  <si>
    <t>20260601|NVP|Ready to Glow (Straw+Blue+Banana)</t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</si>
  <si>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</si>
  <si>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</si>
  <si>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</si>
  <si>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</si>
  <si>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</si>
  <si>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20260601|NVP|Biscoff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</si>
  <si>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</si>
  <si>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 xml:space="preserve">20260601|NVP|Biscoff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</si>
  <si>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</si>
  <si>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</si>
  <si>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</si>
  <si>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</si>
  <si>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</si>
  <si>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พิสตาชิโอ้บัตเตอร์</t>
    </r>
  </si>
  <si>
    <t>20260602|NVP|Greek Yogurt 1kg</t>
  </si>
  <si>
    <t>20260602|NVP|Yuzu</t>
  </si>
  <si>
    <t>20260602|NVP|Kyoho</t>
  </si>
  <si>
    <t>20260602|NVP|Mint</t>
  </si>
  <si>
    <t>20260602|NVP|Vanilla</t>
  </si>
  <si>
    <t>20260602|NVP|Pineapple</t>
  </si>
  <si>
    <t>20260602|NVP|Biscoff</t>
  </si>
  <si>
    <t>20260602|NVP|Overnight oats biscoff</t>
  </si>
  <si>
    <r>
      <rPr>
        <sz val="11"/>
        <color theme="1"/>
        <rFont val="Calibri"/>
        <family val="2"/>
        <charset val="1"/>
      </rPr>
      <t>20260602|NVP|Plain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</si>
  <si>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20260602|NVP|Greek Yogurt 500g</t>
  </si>
  <si>
    <t>20260602|NVP|Plain Yogurt 500g</t>
  </si>
  <si>
    <t>20260602|NVP|R-ACAI Bowl</t>
  </si>
  <si>
    <t>20260602|NVP|S-ACAI Cup (mini)</t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</si>
  <si>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</si>
  <si>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20260602|NVP|Granola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</si>
  <si>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20260602|NVP|Softserve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</si>
  <si>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20260602|NVP|Shake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</si>
  <si>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20260602|NVP|Peanut Butter</t>
  </si>
  <si>
    <r>
      <rPr>
        <sz val="11"/>
        <color theme="1"/>
        <rFont val="Calibri"/>
        <family val="2"/>
        <charset val="1"/>
      </rPr>
      <t xml:space="preserve">20260602|NVP|Water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</si>
  <si>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</si>
  <si>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</si>
  <si>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</si>
  <si>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</si>
  <si>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</si>
  <si>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ถุงพีช</t>
    </r>
  </si>
  <si>
    <t>20260602|NVP|Cornflakes Malt (M)</t>
  </si>
  <si>
    <t>20260602|NVP|Granola (M)</t>
  </si>
  <si>
    <t>20260602|NVP|Choc Chip Cookies</t>
  </si>
  <si>
    <t>20260602|NVP|Cookies Crumbs</t>
  </si>
  <si>
    <t>20260602|NVP|Oreo</t>
  </si>
  <si>
    <t>20260602|NVP|Choc Chips</t>
  </si>
  <si>
    <t>20260602|NVP|Cornflakes (Topping)</t>
  </si>
  <si>
    <t>20260602|NVP|Granola (Topping)</t>
  </si>
  <si>
    <t>20260602|NVP|Almond</t>
  </si>
  <si>
    <t>20260602|NVP|Pecan</t>
  </si>
  <si>
    <t>20260602|NVP|Walnut</t>
  </si>
  <si>
    <t>20260602|NVP|Coconut Chips</t>
  </si>
  <si>
    <t>20260602|NVP|Chia Seed</t>
  </si>
  <si>
    <t>20260602|NVP|Flax Seed</t>
  </si>
  <si>
    <t>20260602|NVP|Cacao Nibs</t>
  </si>
  <si>
    <t>20260602|NVP|Grape Jelly</t>
  </si>
  <si>
    <t>20260602|NVP|Honey Jelly</t>
  </si>
  <si>
    <t>20260602|NVP|Strawberry (250g)</t>
  </si>
  <si>
    <t>20260602|NVP|Strawberry (500g)</t>
  </si>
  <si>
    <t>20260602|NVP|Blueberry (125g)</t>
  </si>
  <si>
    <t>20260602|NVP|Blueberry (500g)</t>
  </si>
  <si>
    <t>20260602|NVP|Apple Cinnamon</t>
  </si>
  <si>
    <t>20260602|NVP|Banana</t>
  </si>
  <si>
    <t>20260602|NVP|Honey</t>
  </si>
  <si>
    <t>20260602|NVP|Caramel</t>
  </si>
  <si>
    <t>20260602|NVP|Peanut Butter Sauce</t>
  </si>
  <si>
    <t>20260602|NVP|Cup P (5oz)</t>
  </si>
  <si>
    <t>20260602|NVP|Cup S (9oz)</t>
  </si>
  <si>
    <t>20260602|NVP|Small Bowl</t>
  </si>
  <si>
    <t>20260602|NVP|Cup (14oz)</t>
  </si>
  <si>
    <t>20260602|NVP|Cup 3oz (Topping)</t>
  </si>
  <si>
    <t>20260602|NVP|Cup+Lid (Big) 3oz</t>
  </si>
  <si>
    <t>20260602|NVP|Cup+Lid (Small) 1oz</t>
  </si>
  <si>
    <t>20260602|NVP|Bowl Lid</t>
  </si>
  <si>
    <t>20260602|NVP|Smoothies Lid</t>
  </si>
  <si>
    <t>20260602|NVP|Lid S (92)</t>
  </si>
  <si>
    <t>20260602|NVP|Lid Top / Lid P (75)</t>
  </si>
  <si>
    <t>20260602|NVP|Wood Spoon in bag</t>
  </si>
  <si>
    <t>20260602|NVP|Wood Spoon</t>
  </si>
  <si>
    <r>
      <rPr>
        <sz val="11"/>
        <color theme="1"/>
        <rFont val="Calibri"/>
        <family val="2"/>
        <charset val="1"/>
      </rPr>
      <t xml:space="preserve">20260602|NVP|Tester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</si>
  <si>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20260602|NVP|Short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</si>
  <si>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20260602|NVP|Straw/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</si>
  <si>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20260602|NVP|Straw/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</si>
  <si>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20260602|NVP|Fail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</si>
  <si>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</si>
  <si>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</si>
  <si>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</si>
  <si>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</si>
  <si>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</si>
  <si>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</si>
  <si>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</si>
  <si>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20260602|NVP|Zip Bag Small / </t>
    </r>
    <r>
      <rPr>
        <sz val="11"/>
        <color theme="1"/>
        <rFont val="DejaVu Sans"/>
        <family val="2"/>
      </rPr>
      <t>ถุงซิป</t>
    </r>
  </si>
  <si>
    <t>20260602|NVP|Bag 4x14</t>
  </si>
  <si>
    <t>20260602|NVP|Bag 6x14</t>
  </si>
  <si>
    <t>20260602|NVP|Bag 8x14</t>
  </si>
  <si>
    <t>20260602|NVP|Bag 9x14</t>
  </si>
  <si>
    <r>
      <rPr>
        <sz val="11"/>
        <color theme="1"/>
        <rFont val="Calibri"/>
        <family val="2"/>
        <charset val="1"/>
      </rPr>
      <t xml:space="preserve">20260602|NVP|Bag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</si>
  <si>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20260602|NVP|Sticker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</si>
  <si>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20260602|NVP|Print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</si>
  <si>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20260602|NVP|Gloves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</si>
  <si>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20260602|NVP|Black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</si>
  <si>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20260602|NVP|Dry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</si>
  <si>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20260602|NVP|Wet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</si>
  <si>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20260602|NVP|Tissue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</si>
  <si>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</si>
  <si>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</si>
  <si>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</si>
  <si>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</si>
  <si>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น้ำยาล้างเครื่องไอดิม</t>
    </r>
  </si>
  <si>
    <t>20260602|NVP|Wake up call (Banana)</t>
  </si>
  <si>
    <t>20260602|NVP|Energy Sip (Straw+Banana)</t>
  </si>
  <si>
    <t>20260602|NVP|Yellow Madness (Pineapple+Mango+Passion)</t>
  </si>
  <si>
    <t>20260602|NVP|Ready to Glow (Straw+Blue+Banana)</t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</si>
  <si>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</si>
  <si>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</si>
  <si>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</si>
  <si>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</si>
  <si>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20260602|NVP|Biscoff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</si>
  <si>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20260602|NVP|Biscoff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</si>
  <si>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</si>
  <si>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</si>
  <si>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</si>
  <si>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</si>
  <si>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</si>
  <si>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</si>
  <si>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20260602|NVP|</t>
    </r>
    <r>
      <rPr>
        <sz val="11"/>
        <color theme="1"/>
        <rFont val="DejaVu Sans"/>
        <family val="2"/>
      </rPr>
      <t>พิสตาชิโอ้ท๊อปปิ้ง</t>
    </r>
  </si>
  <si>
    <t>20260603|NVP|Greek Yogurt 1kg</t>
  </si>
  <si>
    <t>20260603|NVP|Yuzu</t>
  </si>
  <si>
    <t>20260603|NVP|Kyoho</t>
  </si>
  <si>
    <t>20260603|NVP|Mint</t>
  </si>
  <si>
    <t>20260603|NVP|Vanilla</t>
  </si>
  <si>
    <t>20260603|NVP|Pineapple</t>
  </si>
  <si>
    <t>20260603|NVP|Biscoff</t>
  </si>
  <si>
    <t>20260603|NVP|Overnight oats biscoff</t>
  </si>
  <si>
    <r>
      <rPr>
        <sz val="11"/>
        <color theme="1"/>
        <rFont val="Calibri"/>
        <family val="2"/>
        <charset val="1"/>
      </rPr>
      <t xml:space="preserve">1kg </t>
    </r>
    <r>
      <rPr>
        <sz val="11"/>
        <color theme="1"/>
        <rFont val="DejaVu Sans"/>
        <family val="2"/>
      </rPr>
      <t xml:space="preserve">ดึงมาจาก </t>
    </r>
    <r>
      <rPr>
        <sz val="11"/>
        <color theme="1"/>
        <rFont val="Calibri"/>
        <family val="2"/>
        <charset val="1"/>
      </rPr>
      <t>Greek Yogurt 500x2</t>
    </r>
  </si>
  <si>
    <r>
      <rPr>
        <sz val="11"/>
        <color theme="1"/>
        <rFont val="Calibri"/>
        <family val="2"/>
        <charset val="1"/>
      </rPr>
      <t>20260603|NVP|Plain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</si>
  <si>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20260603|NVP|Greek Yogurt 500g</t>
  </si>
  <si>
    <r>
      <rPr>
        <sz val="11"/>
        <color theme="1"/>
        <rFont val="Calibri"/>
        <family val="2"/>
        <charset val="1"/>
      </rPr>
      <t xml:space="preserve">2box </t>
    </r>
    <r>
      <rPr>
        <sz val="11"/>
        <color theme="1"/>
        <rFont val="DejaVu Sans"/>
        <family val="2"/>
      </rPr>
      <t xml:space="preserve">ยกไปรับเข้า </t>
    </r>
    <r>
      <rPr>
        <sz val="11"/>
        <color theme="1"/>
        <rFont val="Calibri"/>
        <family val="2"/>
        <charset val="1"/>
      </rPr>
      <t>Greek Yogurt</t>
    </r>
  </si>
  <si>
    <t>20260603|NVP|Plain Yogurt 500g</t>
  </si>
  <si>
    <t>20260603|NVP|R-ACAI Bowl</t>
  </si>
  <si>
    <t>20260603|NVP|S-ACAI Cup (mini)</t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</si>
  <si>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</si>
  <si>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20260603|NVP|Granola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</si>
  <si>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20260603|NVP|Softserve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</si>
  <si>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20260603|NVP|Shake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</si>
  <si>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20260603|NVP|Peanut Butter</t>
  </si>
  <si>
    <r>
      <rPr>
        <sz val="11"/>
        <color theme="1"/>
        <rFont val="Calibri"/>
        <family val="2"/>
        <charset val="1"/>
      </rPr>
      <t xml:space="preserve">20260603|NVP|Water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</si>
  <si>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</si>
  <si>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</si>
  <si>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</si>
  <si>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</si>
  <si>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</si>
  <si>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ถุงพีช</t>
    </r>
  </si>
  <si>
    <t>20260603|NVP|Cornflakes Malt (M)</t>
  </si>
  <si>
    <t>20260603|NVP|Granola (M)</t>
  </si>
  <si>
    <t>20260603|NVP|Choc Chip Cookies</t>
  </si>
  <si>
    <t>20260603|NVP|Cookies Crumbs</t>
  </si>
  <si>
    <t>20260603|NVP|Oreo</t>
  </si>
  <si>
    <t>20260603|NVP|Choc Chips</t>
  </si>
  <si>
    <t>20260603|NVP|Cornflakes (Topping)</t>
  </si>
  <si>
    <t>20260603|NVP|Granola (Topping)</t>
  </si>
  <si>
    <t>20260603|NVP|Almond</t>
  </si>
  <si>
    <t>20260603|NVP|Pecan</t>
  </si>
  <si>
    <t>20260603|NVP|Walnut</t>
  </si>
  <si>
    <t>20260603|NVP|Coconut Chips</t>
  </si>
  <si>
    <t>20260603|NVP|Chia Seed</t>
  </si>
  <si>
    <t>20260603|NVP|Flax Seed</t>
  </si>
  <si>
    <t>20260603|NVP|Cacao Nibs</t>
  </si>
  <si>
    <t>20260603|NVP|Grape Jelly</t>
  </si>
  <si>
    <t>20260603|NVP|Honey Jelly</t>
  </si>
  <si>
    <t>20260603|NVP|Strawberry (250g)</t>
  </si>
  <si>
    <t>20260603|NVP|Strawberry (500g)</t>
  </si>
  <si>
    <t>20260603|NVP|Blueberry (125g)</t>
  </si>
  <si>
    <t>20260603|NVP|Blueberry (500g)</t>
  </si>
  <si>
    <t>20260603|NVP|Apple Cinnamon</t>
  </si>
  <si>
    <t>20260603|NVP|Banana</t>
  </si>
  <si>
    <t>20260603|NVP|Honey</t>
  </si>
  <si>
    <t>20260603|NVP|Caramel</t>
  </si>
  <si>
    <t>20260603|NVP|Peanut Butter Sauce</t>
  </si>
  <si>
    <t>20260603|NVP|Cup P (5oz)</t>
  </si>
  <si>
    <t>20260603|NVP|Cup S (9oz)</t>
  </si>
  <si>
    <t>20260603|NVP|Small Bowl</t>
  </si>
  <si>
    <t>20260603|NVP|Cup (14oz)</t>
  </si>
  <si>
    <t>20260603|NVP|Cup 3oz (Topping)</t>
  </si>
  <si>
    <t>20260603|NVP|Cup+Lid (Big) 3oz</t>
  </si>
  <si>
    <t>20260603|NVP|Cup+Lid (Small) 1oz</t>
  </si>
  <si>
    <t>20260603|NVP|Bowl Lid</t>
  </si>
  <si>
    <t>20260603|NVP|Smoothies Lid</t>
  </si>
  <si>
    <t>20260603|NVP|Lid S (92)</t>
  </si>
  <si>
    <t>20260603|NVP|Lid Top / Lid P (75)</t>
  </si>
  <si>
    <t>20260603|NVP|Wood Spoon in bag</t>
  </si>
  <si>
    <t>20260603|NVP|Wood Spoon</t>
  </si>
  <si>
    <r>
      <rPr>
        <sz val="11"/>
        <color theme="1"/>
        <rFont val="Calibri"/>
        <family val="2"/>
        <charset val="1"/>
      </rPr>
      <t xml:space="preserve">20260603|NVP|Tester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</si>
  <si>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20260603|NVP|Short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</si>
  <si>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20260603|NVP|Straw/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</si>
  <si>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20260603|NVP|Straw/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</si>
  <si>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20260603|NVP|Fail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</si>
  <si>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</si>
  <si>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</si>
  <si>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</si>
  <si>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</si>
  <si>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</si>
  <si>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</si>
  <si>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</si>
  <si>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20260603|NVP|Zip Bag Small / </t>
    </r>
    <r>
      <rPr>
        <sz val="11"/>
        <color theme="1"/>
        <rFont val="DejaVu Sans"/>
        <family val="2"/>
      </rPr>
      <t>ถุงซิป</t>
    </r>
  </si>
  <si>
    <t>20260603|NVP|Bag 4x14</t>
  </si>
  <si>
    <t>20260603|NVP|Bag 6x14</t>
  </si>
  <si>
    <t>20260603|NVP|Bag 8x14</t>
  </si>
  <si>
    <t>20260603|NVP|Bag 9x14</t>
  </si>
  <si>
    <r>
      <rPr>
        <sz val="11"/>
        <color theme="1"/>
        <rFont val="Calibri"/>
        <family val="2"/>
        <charset val="1"/>
      </rPr>
      <t xml:space="preserve">20260603|NVP|Bag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</si>
  <si>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20260603|NVP|Sticker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</si>
  <si>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20260603|NVP|Print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</si>
  <si>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20260603|NVP|Gloves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</si>
  <si>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20260603|NVP|Black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</si>
  <si>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20260603|NVP|Dry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</si>
  <si>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20260603|NVP|Wet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</si>
  <si>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20260603|NVP|Tissue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</si>
  <si>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</si>
  <si>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</si>
  <si>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</si>
  <si>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</si>
  <si>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น้ำยาล้างเครื่องไอดิม</t>
    </r>
  </si>
  <si>
    <t>20260603|NVP|Wake up call (Banana)</t>
  </si>
  <si>
    <t>20260603|NVP|Energy Sip (Straw+Banana)</t>
  </si>
  <si>
    <t>20260603|NVP|Yellow Madness (Pineapple+Mango+Passion)</t>
  </si>
  <si>
    <t>20260603|NVP|Ready to Glow (Straw+Blue+Banana)</t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</si>
  <si>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</si>
  <si>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</si>
  <si>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</si>
  <si>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</si>
  <si>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20260603|NVP|Biscoff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</si>
  <si>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20260603|NVP|Biscoff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</si>
  <si>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</si>
  <si>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</si>
  <si>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</si>
  <si>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</si>
  <si>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</si>
  <si>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</si>
  <si>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20260603|NVP|</t>
    </r>
    <r>
      <rPr>
        <sz val="11"/>
        <color theme="1"/>
        <rFont val="DejaVu Sans"/>
        <family val="2"/>
      </rPr>
      <t>พิสตาชิโอ้ท๊อปปิ้ง</t>
    </r>
  </si>
  <si>
    <t>20260604|NVP|Greek Yogurt 1kg</t>
  </si>
  <si>
    <t>20260604|NVP|Yuzu</t>
  </si>
  <si>
    <t>20260604|NVP|Kyoho</t>
  </si>
  <si>
    <t>20260604|NVP|Mint</t>
  </si>
  <si>
    <t>20260604|NVP|Vanilla</t>
  </si>
  <si>
    <t>20260604|NVP|Pineapple</t>
  </si>
  <si>
    <t>20260604|NVP|Biscoff</t>
  </si>
  <si>
    <t>20260604|NVP|Overnight oats biscoff</t>
  </si>
  <si>
    <r>
      <rPr>
        <sz val="11"/>
        <color theme="1"/>
        <rFont val="Calibri"/>
        <family val="2"/>
        <charset val="1"/>
      </rPr>
      <t>20260604|NVP|Plain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</si>
  <si>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20260604|NVP|Greek Yogurt 500g</t>
  </si>
  <si>
    <t>20260604|NVP|Plain Yogurt 500g</t>
  </si>
  <si>
    <t>20260604|NVP|R-ACAI Bowl</t>
  </si>
  <si>
    <t>20260604|NVP|S-ACAI Cup (mini)</t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</si>
  <si>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</si>
  <si>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20260604|NVP|Granola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</si>
  <si>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20260604|NVP|Softserve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</si>
  <si>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20260604|NVP|Shake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</si>
  <si>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20260604|NVP|Peanut Butter</t>
  </si>
  <si>
    <r>
      <rPr>
        <sz val="11"/>
        <color theme="1"/>
        <rFont val="Calibri"/>
        <family val="2"/>
        <charset val="1"/>
      </rPr>
      <t xml:space="preserve">20260604|NVP|Water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</si>
  <si>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</si>
  <si>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</si>
  <si>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</si>
  <si>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</si>
  <si>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</si>
  <si>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ถุงพีช</t>
    </r>
  </si>
  <si>
    <t>20260604|NVP|Cornflakes Malt (M)</t>
  </si>
  <si>
    <t>20260604|NVP|Granola (M)</t>
  </si>
  <si>
    <t>20260604|NVP|Choc Chip Cookies</t>
  </si>
  <si>
    <t>20260604|NVP|Cookies Crumbs</t>
  </si>
  <si>
    <t>20260604|NVP|Oreo</t>
  </si>
  <si>
    <t>20260604|NVP|Choc Chips</t>
  </si>
  <si>
    <t>20260604|NVP|Cornflakes (Topping)</t>
  </si>
  <si>
    <t>20260604|NVP|Granola (Topping)</t>
  </si>
  <si>
    <t>20260604|NVP|Almond</t>
  </si>
  <si>
    <t>20260604|NVP|Pecan</t>
  </si>
  <si>
    <t>20260604|NVP|Walnut</t>
  </si>
  <si>
    <t>20260604|NVP|Coconut Chips</t>
  </si>
  <si>
    <t>20260604|NVP|Chia Seed</t>
  </si>
  <si>
    <t>20260604|NVP|Flax Seed</t>
  </si>
  <si>
    <t>20260604|NVP|Cacao Nibs</t>
  </si>
  <si>
    <t>20260604|NVP|Grape Jelly</t>
  </si>
  <si>
    <t>20260604|NVP|Honey Jelly</t>
  </si>
  <si>
    <t>20260604|NVP|Strawberry (250g)</t>
  </si>
  <si>
    <t>20260604|NVP|Strawberry (500g)</t>
  </si>
  <si>
    <t>20260604|NVP|Blueberry (125g)</t>
  </si>
  <si>
    <t>20260604|NVP|Blueberry (300g)</t>
  </si>
  <si>
    <t>20260604|NVP|Blueberry (500g)</t>
  </si>
  <si>
    <t>20260604|NVP|Apple Cinnamon</t>
  </si>
  <si>
    <t>20260604|NVP|Banana</t>
  </si>
  <si>
    <t>20260604|NVP|Honey</t>
  </si>
  <si>
    <t>20260604|NVP|Caramel</t>
  </si>
  <si>
    <t>20260604|NVP|Peanut Butter Sauce</t>
  </si>
  <si>
    <t>20260604|NVP|Cup P (5oz)</t>
  </si>
  <si>
    <t>20260604|NVP|Cup S (9oz)</t>
  </si>
  <si>
    <t>20260604|NVP|Small Bowl</t>
  </si>
  <si>
    <t>20260604|NVP|Cup (14oz)</t>
  </si>
  <si>
    <t>20260604|NVP|Cup 3oz (Topping)</t>
  </si>
  <si>
    <t>20260604|NVP|Cup+Lid (Big) 3oz</t>
  </si>
  <si>
    <t>20260604|NVP|Cup+Lid (Small) 1oz</t>
  </si>
  <si>
    <t>20260604|NVP|Bowl Lid</t>
  </si>
  <si>
    <t>20260604|NVP|Smoothies Lid</t>
  </si>
  <si>
    <t>20260604|NVP|Lid S (92)</t>
  </si>
  <si>
    <t>20260604|NVP|Lid Top / Lid P (75)</t>
  </si>
  <si>
    <t>20260604|NVP|Wood Spoon in bag</t>
  </si>
  <si>
    <t>20260604|NVP|Wood Spoon</t>
  </si>
  <si>
    <r>
      <rPr>
        <sz val="11"/>
        <color theme="1"/>
        <rFont val="Calibri"/>
        <family val="2"/>
        <charset val="1"/>
      </rPr>
      <t xml:space="preserve">20260604|NVP|Tester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</si>
  <si>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20260604|NVP|Short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</si>
  <si>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20260604|NVP|Straw/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</si>
  <si>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20260604|NVP|Straw/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</si>
  <si>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20260604|NVP|Fail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</si>
  <si>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</si>
  <si>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</si>
  <si>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</si>
  <si>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</si>
  <si>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</si>
  <si>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</si>
  <si>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</si>
  <si>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20260604|NVP|Zip Bag Small / </t>
    </r>
    <r>
      <rPr>
        <sz val="11"/>
        <color theme="1"/>
        <rFont val="DejaVu Sans"/>
        <family val="2"/>
      </rPr>
      <t>ถุงซิป</t>
    </r>
  </si>
  <si>
    <t>20260604|NVP|Bag 4x14</t>
  </si>
  <si>
    <t>20260604|NVP|Bag 6x14</t>
  </si>
  <si>
    <t>20260604|NVP|Bag 8x14</t>
  </si>
  <si>
    <t>20260604|NVP|Bag 9x14</t>
  </si>
  <si>
    <r>
      <rPr>
        <sz val="11"/>
        <color theme="1"/>
        <rFont val="Calibri"/>
        <family val="2"/>
        <charset val="1"/>
      </rPr>
      <t xml:space="preserve">20260604|NVP|Bag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</si>
  <si>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20260604|NVP|Sticker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</si>
  <si>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20260604|NVP|Print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</si>
  <si>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20260604|NVP|Gloves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</si>
  <si>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20260604|NVP|Black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</si>
  <si>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20260604|NVP|Dry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</si>
  <si>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20260604|NVP|Wet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</si>
  <si>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20260604|NVP|Tissue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</si>
  <si>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</si>
  <si>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</si>
  <si>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</si>
  <si>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</si>
  <si>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น้ำยาล้างเครื่องไอดิม</t>
    </r>
  </si>
  <si>
    <t>20260604|NVP|Wake up call (Banana)</t>
  </si>
  <si>
    <t>20260604|NVP|Energy Sip (Straw+Banana)</t>
  </si>
  <si>
    <t>20260604|NVP|Yellow Madness (Pineapple+Mango+Passion)</t>
  </si>
  <si>
    <t>20260604|NVP|Ready to Glow (Straw+Blue+Banana)</t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</si>
  <si>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</si>
  <si>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</si>
  <si>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</si>
  <si>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</si>
  <si>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20260604|NVP|Biscoff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</si>
  <si>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20260604|NVP|Biscoff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</si>
  <si>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</si>
  <si>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</si>
  <si>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</si>
  <si>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</si>
  <si>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</si>
  <si>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</si>
  <si>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20260604|NVP|</t>
    </r>
    <r>
      <rPr>
        <sz val="11"/>
        <color theme="1"/>
        <rFont val="DejaVu Sans"/>
        <family val="2"/>
      </rPr>
      <t>พิสตาชิโอ้ท๊อปปิ้ง</t>
    </r>
  </si>
  <si>
    <t>20260629|NVP|Greek Yogurt 1kg</t>
  </si>
  <si>
    <t>20260629|NVP|Yuzu</t>
  </si>
  <si>
    <t>20260629|NVP|Kyoho</t>
  </si>
  <si>
    <t>20260629|NVP|Mint</t>
  </si>
  <si>
    <t>20260629|NVP|Vanilla</t>
  </si>
  <si>
    <t>20260629|NVP|Pineapple</t>
  </si>
  <si>
    <t>20260629|NVP|Biscoff</t>
  </si>
  <si>
    <t>20260629|NVP|Overnight oats biscoff</t>
  </si>
  <si>
    <r>
      <rPr>
        <sz val="11"/>
        <color theme="1"/>
        <rFont val="Calibri"/>
        <family val="2"/>
        <charset val="1"/>
      </rPr>
      <t>20260629|NVP|Plain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</si>
  <si>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20260629|NVP|Greek Yogurt 500g</t>
  </si>
  <si>
    <t>20260629|NVP|Plain Yogurt 500g</t>
  </si>
  <si>
    <t>20260629|NVP|R-ACAI Bowl</t>
  </si>
  <si>
    <t>20260629|NVP|S-ACAI Cup (mini)</t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</si>
  <si>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</si>
  <si>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20260629|NVP|Granola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</si>
  <si>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20260629|NVP|Softserve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</si>
  <si>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20260629|NVP|Shake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</si>
  <si>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20260629|NVP|Water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</si>
  <si>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</si>
  <si>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</si>
  <si>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</si>
  <si>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</si>
  <si>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</si>
  <si>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ถุงพีช</t>
    </r>
  </si>
  <si>
    <t>20260629|NVP|Cornflakes Malt (M)</t>
  </si>
  <si>
    <t>20260629|NVP|Granola (M)</t>
  </si>
  <si>
    <t>20260629|NVP|Choc Chip Cookies</t>
  </si>
  <si>
    <t>20260629|NVP|Cookies Crumbs</t>
  </si>
  <si>
    <t>20260629|NVP|Oreo</t>
  </si>
  <si>
    <t>20260629|NVP|Choc Chips</t>
  </si>
  <si>
    <t>20260629|NVP|Cornflakes (Topping)</t>
  </si>
  <si>
    <t>20260629|NVP|Granola (Topping)</t>
  </si>
  <si>
    <t>20260629|NVP|Almond</t>
  </si>
  <si>
    <t>20260629|NVP|Pecan</t>
  </si>
  <si>
    <t>20260629|NVP|Walnut</t>
  </si>
  <si>
    <t>20260629|NVP|Coconut Chips</t>
  </si>
  <si>
    <t>20260629|NVP|Chia Seed</t>
  </si>
  <si>
    <t>20260629|NVP|Flax Seed</t>
  </si>
  <si>
    <t>20260629|NVP|Cacao Nibs</t>
  </si>
  <si>
    <t>20260629|NVP|Grape Jelly</t>
  </si>
  <si>
    <t>20260629|NVP|Honey Jelly</t>
  </si>
  <si>
    <t>20260629|NVP|Strawberry (250g)</t>
  </si>
  <si>
    <t>20260629|NVP|Blueberry (125g)</t>
  </si>
  <si>
    <t>20260629|NVP|Blueberry (300g)</t>
  </si>
  <si>
    <t>20260629|NVP|Apple Cinnamon</t>
  </si>
  <si>
    <t>20260629|NVP|Banana</t>
  </si>
  <si>
    <t>20260629|NVP|Honey</t>
  </si>
  <si>
    <t>20260629|NVP|Caramel</t>
  </si>
  <si>
    <t>20260629|NVP|Peanut Butter Sauce</t>
  </si>
  <si>
    <t>20260629|NVP|Cup P (5oz)</t>
  </si>
  <si>
    <t>20260629|NVP|Cup S (9oz)</t>
  </si>
  <si>
    <t>20260629|NVP|Small Bowl</t>
  </si>
  <si>
    <t>20260629|NVP|Cup (14oz)</t>
  </si>
  <si>
    <t>20260629|NVP|Cup 3oz (Topping)</t>
  </si>
  <si>
    <t>20260629|NVP|Cup+Lid (Small) 1oz</t>
  </si>
  <si>
    <t>20260629|NVP|Bowl Lid</t>
  </si>
  <si>
    <t>20260629|NVP|Smoothies Lid</t>
  </si>
  <si>
    <t>20260629|NVP|Lid S (92)</t>
  </si>
  <si>
    <t>20260629|NVP|Lid Top / Lid P (75)</t>
  </si>
  <si>
    <t>20260629|NVP|Wood Spoon in bag</t>
  </si>
  <si>
    <t>20260629|NVP|Wood Spoon</t>
  </si>
  <si>
    <r>
      <rPr>
        <sz val="11"/>
        <color theme="1"/>
        <rFont val="Calibri"/>
        <family val="2"/>
        <charset val="1"/>
      </rPr>
      <t xml:space="preserve">20260629|NVP|Tester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</si>
  <si>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20260629|NVP|Short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</si>
  <si>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20260629|NVP|Straw/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</si>
  <si>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20260629|NVP|Straw/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</si>
  <si>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20260629|NVP|Fail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</si>
  <si>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</si>
  <si>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</si>
  <si>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</si>
  <si>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</si>
  <si>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</si>
  <si>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</si>
  <si>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</si>
  <si>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20260629|NVP|Zip Bag Small / </t>
    </r>
    <r>
      <rPr>
        <sz val="11"/>
        <color theme="1"/>
        <rFont val="DejaVu Sans"/>
        <family val="2"/>
      </rPr>
      <t>ถุงซิป</t>
    </r>
  </si>
  <si>
    <t>20260629|NVP|Bag 4x14</t>
  </si>
  <si>
    <t>20260629|NVP|Bag 6x14</t>
  </si>
  <si>
    <t>20260629|NVP|Bag 8x14</t>
  </si>
  <si>
    <t>20260629|NVP|Bag 9x14</t>
  </si>
  <si>
    <r>
      <rPr>
        <sz val="11"/>
        <color theme="1"/>
        <rFont val="Calibri"/>
        <family val="2"/>
        <charset val="1"/>
      </rPr>
      <t xml:space="preserve">20260629|NVP|Bag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</si>
  <si>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20260629|NVP|Sticker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</si>
  <si>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20260629|NVP|Print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</si>
  <si>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20260629|NVP|Gloves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</si>
  <si>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20260629|NVP|Black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</si>
  <si>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20260629|NVP|Dry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</si>
  <si>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20260629|NVP|Wet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</si>
  <si>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20260629|NVP|Tissue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</si>
  <si>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</si>
  <si>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</si>
  <si>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</si>
  <si>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</si>
  <si>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น้ำยาล้างเครื่องไอดิม</t>
    </r>
  </si>
  <si>
    <t>20260629|NVP|Wake up call (Banana)</t>
  </si>
  <si>
    <t>20260629|NVP|Energy Sip (Straw+Banana)</t>
  </si>
  <si>
    <t>20260629|NVP|Yellow Madness (Pineapple+Mango+Passion)</t>
  </si>
  <si>
    <t>20260629|NVP|Ready to Glow (Straw+Blue+Banana)</t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</si>
  <si>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</si>
  <si>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</si>
  <si>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</si>
  <si>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</si>
  <si>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20260629|NVP|Biscoff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</si>
  <si>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</si>
  <si>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</si>
  <si>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</si>
  <si>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</si>
  <si>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</si>
  <si>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</si>
  <si>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20260629|NVP|</t>
    </r>
    <r>
      <rPr>
        <sz val="11"/>
        <color theme="1"/>
        <rFont val="DejaVu Sans"/>
        <family val="2"/>
      </rPr>
      <t>พิสตาชิโอ้ท๊อปปิ้ง</t>
    </r>
  </si>
  <si>
    <t>20260629|NVP|Cup+Lid (Big) 3oz</t>
  </si>
  <si>
    <t>20260601|SND|Greek Yogurt 1kg</t>
  </si>
  <si>
    <t>20260601|SND|Yuzu</t>
  </si>
  <si>
    <t>20260601|SND|Kyoho</t>
  </si>
  <si>
    <t>20260601|SND|Vanilla</t>
  </si>
  <si>
    <t>20260601|SND|Pineapple</t>
  </si>
  <si>
    <t>20260601|SND|Biscoff</t>
  </si>
  <si>
    <t>20260601|SND|Overnight oats biscoff</t>
  </si>
  <si>
    <r>
      <rPr>
        <sz val="11"/>
        <color theme="1"/>
        <rFont val="Calibri"/>
        <family val="2"/>
        <charset val="1"/>
      </rPr>
      <t>20260601|SND|Plain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</si>
  <si>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20260601|SND|Greek Yogurt 500g</t>
  </si>
  <si>
    <t>20260601|SND|Plain Yogurt 500g</t>
  </si>
  <si>
    <t>20260601|SND|R-ACAI Bowl</t>
  </si>
  <si>
    <t>20260601|SND|S-ACAI Cup (mini)</t>
  </si>
  <si>
    <r>
      <rPr>
        <sz val="11"/>
        <color theme="1"/>
        <rFont val="Calibri"/>
        <family val="2"/>
        <charset val="1"/>
      </rPr>
      <t xml:space="preserve">20260601|SND|Softserve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</si>
  <si>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20260601|SND|Shake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</si>
  <si>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20260601|SND|Water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</si>
  <si>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</si>
  <si>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</si>
  <si>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</si>
  <si>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</si>
  <si>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ถุงพีช</t>
    </r>
  </si>
  <si>
    <t>20260601|SND|Cornflakes Malt (M)</t>
  </si>
  <si>
    <t>20260601|SND|Granola (M)</t>
  </si>
  <si>
    <t>20260601|SND|Cookies Crumbs</t>
  </si>
  <si>
    <t>20260601|SND|Oreo</t>
  </si>
  <si>
    <t>20260601|SND|Choc Chips</t>
  </si>
  <si>
    <t>20260601|SND|Cornflakes (Topping)</t>
  </si>
  <si>
    <t>20260601|SND|Granola (Topping)</t>
  </si>
  <si>
    <t>20260601|SND|Almond</t>
  </si>
  <si>
    <t>20260601|SND|Pecan</t>
  </si>
  <si>
    <t>20260601|SND|Walnut</t>
  </si>
  <si>
    <t>20260601|SND|Coconut Chips</t>
  </si>
  <si>
    <t>20260601|SND|Chia Seed</t>
  </si>
  <si>
    <t>20260601|SND|Flax Seed</t>
  </si>
  <si>
    <t>20260601|SND|Cacao Nibs</t>
  </si>
  <si>
    <t>20260601|SND|Grape Jelly</t>
  </si>
  <si>
    <t>20260601|SND|Honey Jelly</t>
  </si>
  <si>
    <t>20260601|SND|Strawberry (250g)</t>
  </si>
  <si>
    <t>20260601|SND|Strawberry (500g)</t>
  </si>
  <si>
    <t>20260601|SND|Blueberry (125g)</t>
  </si>
  <si>
    <t>20260601|SND|Blueberry (500g)</t>
  </si>
  <si>
    <t>20260601|SND|Apple Cinnamon</t>
  </si>
  <si>
    <t>20260601|SND|Banana</t>
  </si>
  <si>
    <t>20260601|SND|Honey</t>
  </si>
  <si>
    <t>20260601|SND|Caramel</t>
  </si>
  <si>
    <t>20260601|SND|Peanut Butter Sauce</t>
  </si>
  <si>
    <t>20260601|SND|Cup P (5oz)</t>
  </si>
  <si>
    <t>20260601|SND|Cup S (9oz)</t>
  </si>
  <si>
    <t>20260601|SND|Small Bowl</t>
  </si>
  <si>
    <t>20260601|SND|Cup (14oz)</t>
  </si>
  <si>
    <t>20260601|SND|Cup 3oz (Topping)</t>
  </si>
  <si>
    <t>20260601|SND|Cup+Lid (Big) 3oz</t>
  </si>
  <si>
    <t>20260601|SND|Cup+Lid (Small) 1oz</t>
  </si>
  <si>
    <t>20260601|SND|Bowl Lid</t>
  </si>
  <si>
    <t>20260601|SND|Smoothies Lid</t>
  </si>
  <si>
    <t>20260601|SND|Lid S (92)</t>
  </si>
  <si>
    <t>20260601|SND|Lid Top / Lid P (75)</t>
  </si>
  <si>
    <t>20260601|SND|Wood Spoon in bag</t>
  </si>
  <si>
    <t>20260601|SND|Wood Spoon</t>
  </si>
  <si>
    <r>
      <rPr>
        <sz val="11"/>
        <color theme="1"/>
        <rFont val="Calibri"/>
        <family val="2"/>
        <charset val="1"/>
      </rPr>
      <t xml:space="preserve">20260601|SND|Tester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</si>
  <si>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20260601|SND|Short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</si>
  <si>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20260601|SND|Straw/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</si>
  <si>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20260601|SND|Straw/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</si>
  <si>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20260601|SND|Fail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</si>
  <si>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</si>
  <si>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</si>
  <si>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</si>
  <si>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</si>
  <si>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</si>
  <si>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</si>
  <si>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20260601|SND|Zip Bag Small / </t>
    </r>
    <r>
      <rPr>
        <sz val="11"/>
        <color theme="1"/>
        <rFont val="DejaVu Sans"/>
        <family val="2"/>
      </rPr>
      <t>ถุงซิป</t>
    </r>
  </si>
  <si>
    <t>20260601|SND|Bag 4x14</t>
  </si>
  <si>
    <t>20260601|SND|Bag 6x14</t>
  </si>
  <si>
    <t>20260601|SND|Bag 8x14</t>
  </si>
  <si>
    <t>20260601|SND|Bag 9x14</t>
  </si>
  <si>
    <r>
      <rPr>
        <sz val="11"/>
        <color theme="1"/>
        <rFont val="Calibri"/>
        <family val="2"/>
        <charset val="1"/>
      </rPr>
      <t xml:space="preserve">20260601|SND|Bag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</si>
  <si>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20260601|SND|Sticker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</si>
  <si>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20260601|SND|Print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</si>
  <si>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20260601|SND|Gloves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</si>
  <si>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20260601|SND|Black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</si>
  <si>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20260601|SND|Dry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</si>
  <si>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20260601|SND|Wet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</si>
  <si>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</si>
  <si>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</si>
  <si>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</si>
  <si>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น้ำยาอเนกประสงค์</t>
    </r>
  </si>
  <si>
    <t>20260601|SND|Wake up call (Banana)</t>
  </si>
  <si>
    <t>20260601|SND|Energy Sip (Straw+Banana)</t>
  </si>
  <si>
    <t>20260601|SND|Yellow Madness (Pineapple+Mango+Passion)</t>
  </si>
  <si>
    <t>20260601|SND|Ready to Glow (Straw+Blue+Banana)</t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</si>
  <si>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</si>
  <si>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</si>
  <si>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</si>
  <si>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</si>
  <si>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20260601|SND|Biscoff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</si>
  <si>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</si>
  <si>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</si>
  <si>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</si>
  <si>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20260601|SND|</t>
    </r>
    <r>
      <rPr>
        <sz val="11"/>
        <color theme="1"/>
        <rFont val="DejaVu Sans"/>
        <family val="2"/>
      </rPr>
      <t>ปีโป้ลิ้นจี่</t>
    </r>
  </si>
  <si>
    <t>20260602|SND|Greek Yogurt 1kg</t>
  </si>
  <si>
    <t>20260602|SND|Yuzu</t>
  </si>
  <si>
    <t>20260602|SND|Kyoho</t>
  </si>
  <si>
    <t>20260602|SND|Vanilla</t>
  </si>
  <si>
    <t>20260602|SND|Pineapple</t>
  </si>
  <si>
    <t>20260602|SND|Biscoff</t>
  </si>
  <si>
    <t>20260602|SND|Overnight oats biscoff</t>
  </si>
  <si>
    <r>
      <rPr>
        <sz val="11"/>
        <color theme="1"/>
        <rFont val="Calibri"/>
        <family val="2"/>
        <charset val="1"/>
      </rPr>
      <t>20260602|SND|Plain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</si>
  <si>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20260602|SND|Greek Yogurt 500g</t>
  </si>
  <si>
    <t>20260602|SND|Plain Yogurt 500g</t>
  </si>
  <si>
    <t>20260602|SND|R-ACAI Bowl</t>
  </si>
  <si>
    <t>20260602|SND|S-ACAI Cup (mini)</t>
  </si>
  <si>
    <r>
      <rPr>
        <sz val="11"/>
        <color theme="1"/>
        <rFont val="Calibri"/>
        <family val="2"/>
        <charset val="1"/>
      </rPr>
      <t xml:space="preserve">20260602|SND|Softserve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</si>
  <si>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20260602|SND|Shake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</si>
  <si>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20260602|SND|Water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</si>
  <si>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</si>
  <si>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</si>
  <si>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</si>
  <si>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</si>
  <si>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ถุงพีช</t>
    </r>
  </si>
  <si>
    <t>20260602|SND|Cornflakes Malt (M)</t>
  </si>
  <si>
    <t>20260602|SND|Granola (M)</t>
  </si>
  <si>
    <t>20260602|SND|Cookies Crumbs</t>
  </si>
  <si>
    <t>20260602|SND|Oreo</t>
  </si>
  <si>
    <t>20260602|SND|Choc Chips</t>
  </si>
  <si>
    <t>20260602|SND|Cornflakes (Topping)</t>
  </si>
  <si>
    <t>20260602|SND|Granola (Topping)</t>
  </si>
  <si>
    <t>20260602|SND|Almond</t>
  </si>
  <si>
    <t>20260602|SND|Pecan</t>
  </si>
  <si>
    <t>20260602|SND|Walnut</t>
  </si>
  <si>
    <t>20260602|SND|Coconut Chips</t>
  </si>
  <si>
    <t>20260602|SND|Chia Seed</t>
  </si>
  <si>
    <t>20260602|SND|Flax Seed</t>
  </si>
  <si>
    <t>20260602|SND|Cacao Nibs</t>
  </si>
  <si>
    <t>20260602|SND|Grape Jelly</t>
  </si>
  <si>
    <t>20260602|SND|Honey Jelly</t>
  </si>
  <si>
    <t>20260602|SND|Strawberry (250g)</t>
  </si>
  <si>
    <t>20260602|SND|Strawberry (500g)</t>
  </si>
  <si>
    <t>20260602|SND|Blueberry (125g)</t>
  </si>
  <si>
    <t xml:space="preserve"> </t>
  </si>
  <si>
    <t>20260602|SND|Blueberry (300g)</t>
  </si>
  <si>
    <t>20260602|SND|Blueberry (500g)</t>
  </si>
  <si>
    <t>20260602|SND|Apple Cinnamon</t>
  </si>
  <si>
    <t>20260602|SND|Banana</t>
  </si>
  <si>
    <t>20260602|SND|Honey</t>
  </si>
  <si>
    <t>20260602|SND|Caramel</t>
  </si>
  <si>
    <t>20260602|SND|Peanut Butter Sauce</t>
  </si>
  <si>
    <t>20260602|SND|Cup P (5oz)</t>
  </si>
  <si>
    <t>20260602|SND|Cup S (9oz)</t>
  </si>
  <si>
    <t>20260602|SND|Small Bowl</t>
  </si>
  <si>
    <t>20260602|SND|Cup (14oz)</t>
  </si>
  <si>
    <t>20260602|SND|Cup 3oz (Topping)</t>
  </si>
  <si>
    <t>20260602|SND|Cup+Lid (Big) 3oz</t>
  </si>
  <si>
    <t>20260602|SND|Cup+Lid (Small) 1oz</t>
  </si>
  <si>
    <t>20260602|SND|Bowl Lid</t>
  </si>
  <si>
    <t>20260602|SND|Smoothies Lid</t>
  </si>
  <si>
    <t>20260602|SND|Lid S (92)</t>
  </si>
  <si>
    <t>20260602|SND|Lid Top / Lid P (75)</t>
  </si>
  <si>
    <t>20260602|SND|Wood Spoon in bag</t>
  </si>
  <si>
    <t>20260602|SND|Wood Spoon</t>
  </si>
  <si>
    <r>
      <rPr>
        <sz val="11"/>
        <color theme="1"/>
        <rFont val="Calibri"/>
        <family val="2"/>
        <charset val="1"/>
      </rPr>
      <t xml:space="preserve">20260602|SND|Tester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</si>
  <si>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20260602|SND|Short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</si>
  <si>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20260602|SND|Straw/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</si>
  <si>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20260602|SND|Straw/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</si>
  <si>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20260602|SND|Fail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</si>
  <si>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</si>
  <si>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</si>
  <si>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</si>
  <si>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</si>
  <si>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</si>
  <si>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</si>
  <si>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20260602|SND|Zip Bag Small / </t>
    </r>
    <r>
      <rPr>
        <sz val="11"/>
        <color theme="1"/>
        <rFont val="DejaVu Sans"/>
        <family val="2"/>
      </rPr>
      <t>ถุงซิป</t>
    </r>
  </si>
  <si>
    <t>20260602|SND|Bag 4x14</t>
  </si>
  <si>
    <t>20260602|SND|Bag 6x14</t>
  </si>
  <si>
    <t>20260602|SND|Bag 8x14</t>
  </si>
  <si>
    <t>20260602|SND|Bag 9x14</t>
  </si>
  <si>
    <r>
      <rPr>
        <sz val="11"/>
        <color theme="1"/>
        <rFont val="Calibri"/>
        <family val="2"/>
        <charset val="1"/>
      </rPr>
      <t xml:space="preserve">20260602|SND|Bag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</si>
  <si>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20260602|SND|Sticker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</si>
  <si>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20260602|SND|Print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</si>
  <si>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20260602|SND|Gloves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</si>
  <si>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20260602|SND|Black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</si>
  <si>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20260602|SND|Dry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</si>
  <si>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20260602|SND|Wet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</si>
  <si>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</si>
  <si>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</si>
  <si>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</si>
  <si>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น้ำยาอเนกประสงค์</t>
    </r>
  </si>
  <si>
    <t>20260602|SND|Wake up call (Banana)</t>
  </si>
  <si>
    <t>20260602|SND|Energy Sip (Straw+Banana)</t>
  </si>
  <si>
    <t>20260602|SND|Yellow Madness (Pineapple+Mango+Passion)</t>
  </si>
  <si>
    <t>20260602|SND|Ready to Glow (Straw+Blue+Banana)</t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</si>
  <si>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</si>
  <si>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</si>
  <si>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</si>
  <si>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</si>
  <si>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20260602|SND|Biscoff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</si>
  <si>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</si>
  <si>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</si>
  <si>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</si>
  <si>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20260602|SND|</t>
    </r>
    <r>
      <rPr>
        <sz val="11"/>
        <color theme="1"/>
        <rFont val="DejaVu Sans"/>
        <family val="2"/>
      </rPr>
      <t>ปีโป้ลิ้นจี่</t>
    </r>
  </si>
  <si>
    <t>20260603|SND|Greek Yogurt 1kg</t>
  </si>
  <si>
    <t>20260603|SND|Yuzu</t>
  </si>
  <si>
    <t>20260603|SND|Kyoho</t>
  </si>
  <si>
    <t>20260603|SND|Vanilla</t>
  </si>
  <si>
    <t>20260603|SND|Pineapple</t>
  </si>
  <si>
    <t>20260603|SND|Biscoff</t>
  </si>
  <si>
    <t>20260603|SND|Overnight oats biscoff</t>
  </si>
  <si>
    <r>
      <rPr>
        <sz val="11"/>
        <color theme="1"/>
        <rFont val="Calibri"/>
        <family val="2"/>
        <charset val="1"/>
      </rPr>
      <t>20260603|SND|Plain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</si>
  <si>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20260603|SND|Greek Yogurt 500g</t>
  </si>
  <si>
    <t>20260603|SND|Plain Yogurt 500g</t>
  </si>
  <si>
    <t>20260603|SND|R-ACAI Bowl</t>
  </si>
  <si>
    <t>20260603|SND|S-ACAI Cup (mini)</t>
  </si>
  <si>
    <r>
      <rPr>
        <sz val="11"/>
        <color theme="1"/>
        <rFont val="Calibri"/>
        <family val="2"/>
        <charset val="1"/>
      </rPr>
      <t xml:space="preserve">20260603|SND|Softserve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</si>
  <si>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20260603|SND|Shake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</si>
  <si>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20260603|SND|Water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</si>
  <si>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</si>
  <si>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</si>
  <si>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</si>
  <si>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</si>
  <si>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</si>
  <si>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ถุงพีช</t>
    </r>
  </si>
  <si>
    <t>20260603|SND|Cornflakes Malt (M)</t>
  </si>
  <si>
    <t>20260603|SND|Granola (M)</t>
  </si>
  <si>
    <t>20260603|SND|Cookies Crumbs</t>
  </si>
  <si>
    <t>20260603|SND|Oreo</t>
  </si>
  <si>
    <t>20260603|SND|Choc Chips</t>
  </si>
  <si>
    <t>20260603|SND|Cornflakes (Topping)</t>
  </si>
  <si>
    <t>20260603|SND|Granola (Topping)</t>
  </si>
  <si>
    <t>20260603|SND|Almond</t>
  </si>
  <si>
    <t>20260603|SND|Pecan</t>
  </si>
  <si>
    <t>20260603|SND|Walnut</t>
  </si>
  <si>
    <t>20260603|SND|Coconut Chips</t>
  </si>
  <si>
    <t>20260603|SND|Chia Seed</t>
  </si>
  <si>
    <t>20260603|SND|Flax Seed</t>
  </si>
  <si>
    <t>20260603|SND|Cacao Nibs</t>
  </si>
  <si>
    <t>20260603|SND|Grape Jelly</t>
  </si>
  <si>
    <t>20260603|SND|Honey Jelly</t>
  </si>
  <si>
    <t>20260603|SND|Strawberry (250g)</t>
  </si>
  <si>
    <t>20260603|SND|Strawberry (500g)</t>
  </si>
  <si>
    <t>20260603|SND|Blueberry (125g)</t>
  </si>
  <si>
    <t>20260603|SND|Blueberry (300g)</t>
  </si>
  <si>
    <t>20260603|SND|Blueberry (500g)</t>
  </si>
  <si>
    <t>20260603|SND|Apple Cinnamon</t>
  </si>
  <si>
    <t>20260603|SND|Banana</t>
  </si>
  <si>
    <t>20260603|SND|Honey</t>
  </si>
  <si>
    <t>20260603|SND|Caramel</t>
  </si>
  <si>
    <t>20260603|SND|Peanut Butter Sauce</t>
  </si>
  <si>
    <t>20260603|SND|Cup P (5oz)</t>
  </si>
  <si>
    <t>20260603|SND|Cup S (9oz)</t>
  </si>
  <si>
    <t>20260603|SND|Small Bowl</t>
  </si>
  <si>
    <t>20260603|SND|Cup (14oz)</t>
  </si>
  <si>
    <t>20260603|SND|Cup 3oz (Topping)</t>
  </si>
  <si>
    <t>20260603|SND|Cup+Lid (Big) 3oz</t>
  </si>
  <si>
    <t>20260603|SND|Cup+Lid (Small) 1oz</t>
  </si>
  <si>
    <t>20260603|SND|Bowl Lid</t>
  </si>
  <si>
    <t>20260603|SND|Smoothies Lid</t>
  </si>
  <si>
    <t>20260603|SND|Lid S (92)</t>
  </si>
  <si>
    <t>20260603|SND|Lid Top / Lid P (75)</t>
  </si>
  <si>
    <t>20260603|SND|Wood Spoon in bag</t>
  </si>
  <si>
    <t>20260603|SND|Wood Spoon</t>
  </si>
  <si>
    <r>
      <rPr>
        <sz val="11"/>
        <color theme="1"/>
        <rFont val="Calibri"/>
        <family val="2"/>
        <charset val="1"/>
      </rPr>
      <t xml:space="preserve">20260603|SND|Tester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</si>
  <si>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20260603|SND|Short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</si>
  <si>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20260603|SND|Straw/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</si>
  <si>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20260603|SND|Straw/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</si>
  <si>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20260603|SND|Fail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</si>
  <si>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</si>
  <si>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</si>
  <si>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</si>
  <si>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</si>
  <si>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</si>
  <si>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</si>
  <si>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20260603|SND|Zip Bag Small / </t>
    </r>
    <r>
      <rPr>
        <sz val="11"/>
        <color theme="1"/>
        <rFont val="DejaVu Sans"/>
        <family val="2"/>
      </rPr>
      <t>ถุงซิป</t>
    </r>
  </si>
  <si>
    <t>20260603|SND|Bag 4x14</t>
  </si>
  <si>
    <t>20260603|SND|Bag 6x14</t>
  </si>
  <si>
    <t>20260603|SND|Bag 8x14</t>
  </si>
  <si>
    <t>20260603|SND|Bag 9x14</t>
  </si>
  <si>
    <r>
      <rPr>
        <sz val="11"/>
        <color theme="1"/>
        <rFont val="Calibri"/>
        <family val="2"/>
        <charset val="1"/>
      </rPr>
      <t xml:space="preserve">20260603|SND|Bag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</si>
  <si>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20260603|SND|Sticker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</si>
  <si>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20260603|SND|Print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</si>
  <si>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20260603|SND|Gloves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</si>
  <si>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20260603|SND|Black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</si>
  <si>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20260603|SND|Dry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</si>
  <si>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20260603|SND|Wet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</si>
  <si>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</si>
  <si>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</si>
  <si>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</si>
  <si>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น้ำยาอเนกประสงค์</t>
    </r>
  </si>
  <si>
    <t>20260603|SND|Wake up call (Banana)</t>
  </si>
  <si>
    <t>20260603|SND|Energy Sip (Straw+Banana)</t>
  </si>
  <si>
    <t>20260603|SND|Yellow Madness (Pineapple+Mango+Passion)</t>
  </si>
  <si>
    <t>20260603|SND|Ready to Glow (Straw+Blue+Banana)</t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</si>
  <si>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</si>
  <si>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</si>
  <si>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</si>
  <si>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</si>
  <si>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20260603|SND|Biscoff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</si>
  <si>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</si>
  <si>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</si>
  <si>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</si>
  <si>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20260603|SND|</t>
    </r>
    <r>
      <rPr>
        <sz val="11"/>
        <color theme="1"/>
        <rFont val="DejaVu Sans"/>
        <family val="2"/>
      </rPr>
      <t>ปีโป้ลิ้นจี่</t>
    </r>
  </si>
  <si>
    <t>20260604|SND|Greek Yogurt 1kg</t>
  </si>
  <si>
    <t>20260604|SND|Yuzu</t>
  </si>
  <si>
    <t>20260604|SND|Kyoho</t>
  </si>
  <si>
    <t>20260604|SND|Vanilla</t>
  </si>
  <si>
    <t>20260604|SND|Pineapple</t>
  </si>
  <si>
    <t>20260604|SND|Biscoff</t>
  </si>
  <si>
    <t>20260604|SND|Overnight oats biscoff</t>
  </si>
  <si>
    <r>
      <rPr>
        <sz val="11"/>
        <color theme="1"/>
        <rFont val="Calibri"/>
        <family val="2"/>
        <charset val="1"/>
      </rPr>
      <t>20260604|SND|Plain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</si>
  <si>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20260604|SND|Greek Yogurt 500g</t>
  </si>
  <si>
    <t>20260604|SND|Plain Yogurt 500g</t>
  </si>
  <si>
    <t>20260604|SND|R-ACAI Bowl</t>
  </si>
  <si>
    <t>20260604|SND|S-ACAI Cup (mini)</t>
  </si>
  <si>
    <r>
      <rPr>
        <sz val="11"/>
        <color theme="1"/>
        <rFont val="Calibri"/>
        <family val="2"/>
        <charset val="1"/>
      </rPr>
      <t xml:space="preserve">20260604|SND|Softserve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</si>
  <si>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20260604|SND|Shake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</si>
  <si>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20260604|SND|Water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</si>
  <si>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</si>
  <si>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</si>
  <si>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</si>
  <si>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</si>
  <si>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</si>
  <si>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ถุงพีช</t>
    </r>
  </si>
  <si>
    <t>20260604|SND|Cornflakes Malt (M)</t>
  </si>
  <si>
    <t>20260604|SND|Granola (M)</t>
  </si>
  <si>
    <t>20260604|SND|Cookies Crumbs</t>
  </si>
  <si>
    <t>20260604|SND|Oreo</t>
  </si>
  <si>
    <t>20260604|SND|Choc Chips</t>
  </si>
  <si>
    <t>20260604|SND|Cornflakes (Topping)</t>
  </si>
  <si>
    <t>20260604|SND|Granola (Topping)</t>
  </si>
  <si>
    <t>20260604|SND|Almond</t>
  </si>
  <si>
    <t>20260604|SND|Pecan</t>
  </si>
  <si>
    <t>20260604|SND|Walnut</t>
  </si>
  <si>
    <t>20260604|SND|Coconut Chips</t>
  </si>
  <si>
    <t>20260604|SND|Chia Seed</t>
  </si>
  <si>
    <t>20260604|SND|Flax Seed</t>
  </si>
  <si>
    <t>20260604|SND|Cacao Nibs</t>
  </si>
  <si>
    <t>20260604|SND|Grape Jelly</t>
  </si>
  <si>
    <t>20260604|SND|Honey Jelly</t>
  </si>
  <si>
    <t>20260604|SND|Strawberry (250g)</t>
  </si>
  <si>
    <t>20260604|SND|Strawberry (500g)</t>
  </si>
  <si>
    <t>20260604|SND|Blueberry (125g)</t>
  </si>
  <si>
    <t>20260604|SND|Blueberry (300g)</t>
  </si>
  <si>
    <t>20260604|SND|Blueberry (500g)</t>
  </si>
  <si>
    <t>20260604|SND|Apple Cinnamon</t>
  </si>
  <si>
    <t>20260604|SND|Banana</t>
  </si>
  <si>
    <t>20260604|SND|Honey</t>
  </si>
  <si>
    <t>20260604|SND|Caramel</t>
  </si>
  <si>
    <t>20260604|SND|Peanut Butter Sauce</t>
  </si>
  <si>
    <t>20260604|SND|Cup P (5oz)</t>
  </si>
  <si>
    <t>20260604|SND|Cup S (9oz)</t>
  </si>
  <si>
    <t>20260604|SND|Small Bowl</t>
  </si>
  <si>
    <t>20260604|SND|Cup (14oz)</t>
  </si>
  <si>
    <t>20260604|SND|Cup 3oz (Topping)</t>
  </si>
  <si>
    <t>20260604|SND|Cup+Lid (Big) 3oz</t>
  </si>
  <si>
    <t>20260604|SND|Cup+Lid (Small) 1oz</t>
  </si>
  <si>
    <t>20260604|SND|Bowl Lid</t>
  </si>
  <si>
    <t>20260604|SND|Smoothies Lid</t>
  </si>
  <si>
    <t>20260604|SND|Lid S (92)</t>
  </si>
  <si>
    <t>20260604|SND|Lid Top / Lid P (75)</t>
  </si>
  <si>
    <t>20260604|SND|Wood Spoon in bag</t>
  </si>
  <si>
    <t>20260604|SND|Wood Spoon</t>
  </si>
  <si>
    <r>
      <rPr>
        <sz val="11"/>
        <color theme="1"/>
        <rFont val="Calibri"/>
        <family val="2"/>
        <charset val="1"/>
      </rPr>
      <t xml:space="preserve">20260604|SND|Tester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</si>
  <si>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20260604|SND|Short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</si>
  <si>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20260604|SND|Straw/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</si>
  <si>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20260604|SND|Straw/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</si>
  <si>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20260604|SND|Fail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</si>
  <si>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</si>
  <si>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</si>
  <si>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</si>
  <si>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</si>
  <si>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</si>
  <si>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</si>
  <si>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20260604|SND|Zip Bag Small / </t>
    </r>
    <r>
      <rPr>
        <sz val="11"/>
        <color theme="1"/>
        <rFont val="DejaVu Sans"/>
        <family val="2"/>
      </rPr>
      <t>ถุงซิป</t>
    </r>
  </si>
  <si>
    <t>20260604|SND|Bag 4x14</t>
  </si>
  <si>
    <t>20260604|SND|Bag 6x14</t>
  </si>
  <si>
    <t>20260604|SND|Bag 8x14</t>
  </si>
  <si>
    <t>20260604|SND|Bag 9x14</t>
  </si>
  <si>
    <r>
      <rPr>
        <sz val="11"/>
        <color theme="1"/>
        <rFont val="Calibri"/>
        <family val="2"/>
        <charset val="1"/>
      </rPr>
      <t xml:space="preserve">20260604|SND|Bag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</si>
  <si>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20260604|SND|Sticker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</si>
  <si>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20260604|SND|Print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</si>
  <si>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20260604|SND|Gloves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</si>
  <si>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20260604|SND|Black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</si>
  <si>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20260604|SND|Dry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</si>
  <si>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20260604|SND|Wet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</si>
  <si>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</si>
  <si>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</si>
  <si>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</si>
  <si>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น้ำยาอเนกประสงค์</t>
    </r>
  </si>
  <si>
    <t>20260604|SND|Wake up call (Banana)</t>
  </si>
  <si>
    <t>20260604|SND|Energy Sip (Straw+Banana)</t>
  </si>
  <si>
    <t>20260604|SND|Yellow Madness (Pineapple+Mango+Passion)</t>
  </si>
  <si>
    <t>20260604|SND|Ready to Glow (Straw+Blue+Banana)</t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</si>
  <si>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</si>
  <si>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</si>
  <si>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</si>
  <si>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</si>
  <si>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20260604|SND|Biscoff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</si>
  <si>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</si>
  <si>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</si>
  <si>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</si>
  <si>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20260604|SND|</t>
    </r>
    <r>
      <rPr>
        <sz val="11"/>
        <color theme="1"/>
        <rFont val="DejaVu Sans"/>
        <family val="2"/>
      </rPr>
      <t>ปีโป้ลิ้นจี่</t>
    </r>
  </si>
  <si>
    <t>20260605|SND|Greek Yogurt 1kg</t>
  </si>
  <si>
    <t>20260605|SND|Yuzu</t>
  </si>
  <si>
    <t>20260605|SND|Kyoho</t>
  </si>
  <si>
    <t>20260605|SND|Vanilla</t>
  </si>
  <si>
    <t>20260605|SND|Pineapple</t>
  </si>
  <si>
    <t>20260605|SND|Biscoff</t>
  </si>
  <si>
    <t>20260605|SND|Overnight oats biscoff</t>
  </si>
  <si>
    <r>
      <rPr>
        <sz val="11"/>
        <color theme="1"/>
        <rFont val="Calibri"/>
        <family val="2"/>
        <charset val="1"/>
      </rPr>
      <t>20260605|SND|Plain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</si>
  <si>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20260605|SND|Greek Yogurt 500g</t>
  </si>
  <si>
    <t>20260605|SND|Plain Yogurt 500g</t>
  </si>
  <si>
    <t>20260605|SND|R-ACAI Bowl</t>
  </si>
  <si>
    <t>20260605|SND|S-ACAI Cup (mini)</t>
  </si>
  <si>
    <r>
      <rPr>
        <sz val="11"/>
        <color theme="1"/>
        <rFont val="Calibri"/>
        <family val="2"/>
        <charset val="1"/>
      </rPr>
      <t xml:space="preserve">20260605|SND|Softserve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</si>
  <si>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20260605|SND|Shake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</si>
  <si>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20260605|SND|Water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</si>
  <si>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</si>
  <si>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</si>
  <si>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</si>
  <si>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</si>
  <si>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</si>
  <si>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ถุงพีช</t>
    </r>
  </si>
  <si>
    <t>20260605|SND|Cornflakes Malt (M)</t>
  </si>
  <si>
    <t>20260605|SND|Granola (M)</t>
  </si>
  <si>
    <t>20260605|SND|Cookies Crumbs</t>
  </si>
  <si>
    <t>20260605|SND|Oreo</t>
  </si>
  <si>
    <t>20260605|SND|Choc Chips</t>
  </si>
  <si>
    <t>20260605|SND|Cornflakes (Topping)</t>
  </si>
  <si>
    <t>20260605|SND|Granola (Topping)</t>
  </si>
  <si>
    <t>20260605|SND|Almond</t>
  </si>
  <si>
    <t>20260605|SND|Pecan</t>
  </si>
  <si>
    <t>20260605|SND|Walnut</t>
  </si>
  <si>
    <t>20260605|SND|Coconut Chips</t>
  </si>
  <si>
    <t>20260605|SND|Chia Seed</t>
  </si>
  <si>
    <t>20260605|SND|Flax Seed</t>
  </si>
  <si>
    <t>20260605|SND|Cacao Nibs</t>
  </si>
  <si>
    <t>20260605|SND|Grape Jelly</t>
  </si>
  <si>
    <t>20260605|SND|Honey Jelly</t>
  </si>
  <si>
    <t>20260605|SND|Strawberry (250g)</t>
  </si>
  <si>
    <t>20260605|SND|Strawberry (500g)</t>
  </si>
  <si>
    <t>20260605|SND|Blueberry (125g)</t>
  </si>
  <si>
    <t>20260605|SND|Blueberry (300g)</t>
  </si>
  <si>
    <t>20260605|SND|Blueberry (500g)</t>
  </si>
  <si>
    <t>20260605|SND|Apple Cinnamon</t>
  </si>
  <si>
    <t>20260605|SND|Banana</t>
  </si>
  <si>
    <t>20260605|SND|Honey</t>
  </si>
  <si>
    <t>20260605|SND|Caramel</t>
  </si>
  <si>
    <t>20260605|SND|Peanut Butter Sauce</t>
  </si>
  <si>
    <t>20260605|SND|Cup P (5oz)</t>
  </si>
  <si>
    <t>20260605|SND|Cup S (9oz)</t>
  </si>
  <si>
    <t>20260605|SND|Small Bowl</t>
  </si>
  <si>
    <t>20260605|SND|Cup (14oz)</t>
  </si>
  <si>
    <t>20260605|SND|Cup 3oz (Topping)</t>
  </si>
  <si>
    <t>20260605|SND|Cup+Lid (Big) 3oz</t>
  </si>
  <si>
    <t>20260605|SND|Cup+Lid (Small) 1oz</t>
  </si>
  <si>
    <t>20260605|SND|Bowl Lid</t>
  </si>
  <si>
    <t>20260605|SND|Smoothies Lid</t>
  </si>
  <si>
    <t>20260605|SND|Lid S (92)</t>
  </si>
  <si>
    <t>20260605|SND|Lid Top / Lid P (75)</t>
  </si>
  <si>
    <t>20260605|SND|Wood Spoon in bag</t>
  </si>
  <si>
    <t>20260605|SND|Wood Spoon</t>
  </si>
  <si>
    <r>
      <rPr>
        <sz val="11"/>
        <color theme="1"/>
        <rFont val="Calibri"/>
        <family val="2"/>
        <charset val="1"/>
      </rPr>
      <t xml:space="preserve">20260605|SND|Tester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</si>
  <si>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20260605|SND|Short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</si>
  <si>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20260605|SND|Straw/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</si>
  <si>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20260605|SND|Straw/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</si>
  <si>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20260605|SND|Fail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</si>
  <si>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</si>
  <si>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</si>
  <si>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</si>
  <si>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</si>
  <si>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</si>
  <si>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</si>
  <si>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20260605|SND|Zip Bag Small / </t>
    </r>
    <r>
      <rPr>
        <sz val="11"/>
        <color theme="1"/>
        <rFont val="DejaVu Sans"/>
        <family val="2"/>
      </rPr>
      <t>ถุงซิป</t>
    </r>
  </si>
  <si>
    <t>20260605|SND|Bag 4x14</t>
  </si>
  <si>
    <t>20260605|SND|Bag 6x14</t>
  </si>
  <si>
    <t>20260605|SND|Bag 8x14</t>
  </si>
  <si>
    <t>20260605|SND|Bag 9x14</t>
  </si>
  <si>
    <r>
      <rPr>
        <sz val="11"/>
        <color theme="1"/>
        <rFont val="Calibri"/>
        <family val="2"/>
        <charset val="1"/>
      </rPr>
      <t xml:space="preserve">20260605|SND|Bag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</si>
  <si>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20260605|SND|Sticker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</si>
  <si>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20260605|SND|Print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</si>
  <si>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20260605|SND|Gloves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</si>
  <si>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20260605|SND|Black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</si>
  <si>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20260605|SND|Dry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</si>
  <si>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20260605|SND|Wet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</si>
  <si>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</si>
  <si>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</si>
  <si>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</si>
  <si>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น้ำยาอเนกประสงค์</t>
    </r>
  </si>
  <si>
    <t>20260605|SND|Wake up call (Banana)</t>
  </si>
  <si>
    <t>20260605|SND|Energy Sip (Straw+Banana)</t>
  </si>
  <si>
    <t>20260605|SND|Yellow Madness (Pineapple+Mango+Passion)</t>
  </si>
  <si>
    <t>20260605|SND|Ready to Glow (Straw+Blue+Banana)</t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</si>
  <si>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</si>
  <si>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</si>
  <si>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</si>
  <si>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</si>
  <si>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20260605|SND|Biscoff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</si>
  <si>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</si>
  <si>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</si>
  <si>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</si>
  <si>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20260605|SND|</t>
    </r>
    <r>
      <rPr>
        <sz val="11"/>
        <color theme="1"/>
        <rFont val="DejaVu Sans"/>
        <family val="2"/>
      </rPr>
      <t>ปีโป้ลิ้นจี่</t>
    </r>
  </si>
  <si>
    <t>20260606|SND|Greek Yogurt 1kg</t>
  </si>
  <si>
    <t>20260606|SND|Yuzu</t>
  </si>
  <si>
    <t>20260606|SND|Kyoho</t>
  </si>
  <si>
    <t>20260606|SND|Vanilla</t>
  </si>
  <si>
    <t>20260606|SND|Pineapple</t>
  </si>
  <si>
    <t>20260606|SND|Biscoff</t>
  </si>
  <si>
    <t>20260606|SND|Overnight oats biscoff</t>
  </si>
  <si>
    <r>
      <rPr>
        <sz val="11"/>
        <color theme="1"/>
        <rFont val="Calibri"/>
        <family val="2"/>
        <charset val="1"/>
      </rPr>
      <t>20260606|SND|Plain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</si>
  <si>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20260606|SND|Greek Yogurt 500g</t>
  </si>
  <si>
    <t>20260606|SND|Plain Yogurt 500g</t>
  </si>
  <si>
    <t>20260606|SND|R-ACAI Bowl</t>
  </si>
  <si>
    <t>20260606|SND|S-ACAI Cup (mini)</t>
  </si>
  <si>
    <r>
      <rPr>
        <sz val="11"/>
        <color theme="1"/>
        <rFont val="Calibri"/>
        <family val="2"/>
        <charset val="1"/>
      </rPr>
      <t xml:space="preserve">20260606|SND|Softserve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</si>
  <si>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20260606|SND|Shake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</si>
  <si>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20260606|SND|Water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</si>
  <si>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</si>
  <si>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</si>
  <si>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</si>
  <si>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</si>
  <si>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</si>
  <si>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ถุงพีช</t>
    </r>
  </si>
  <si>
    <t>20260606|SND|Cornflakes Malt (M)</t>
  </si>
  <si>
    <t>20260606|SND|Granola (M)</t>
  </si>
  <si>
    <t>20260606|SND|Cookies Crumbs</t>
  </si>
  <si>
    <t>20260606|SND|Oreo</t>
  </si>
  <si>
    <t>20260606|SND|Choc Chips</t>
  </si>
  <si>
    <t>20260606|SND|Cornflakes (Topping)</t>
  </si>
  <si>
    <t>20260606|SND|Granola (Topping)</t>
  </si>
  <si>
    <t>20260606|SND|Almond</t>
  </si>
  <si>
    <t>20260606|SND|Pecan</t>
  </si>
  <si>
    <t>20260606|SND|Walnut</t>
  </si>
  <si>
    <t>20260606|SND|Coconut Chips</t>
  </si>
  <si>
    <t>20260606|SND|Chia Seed</t>
  </si>
  <si>
    <t>20260606|SND|Flax Seed</t>
  </si>
  <si>
    <t>20260606|SND|Cacao Nibs</t>
  </si>
  <si>
    <t>20260606|SND|Grape Jelly</t>
  </si>
  <si>
    <t>20260606|SND|Honey Jelly</t>
  </si>
  <si>
    <t>20260606|SND|Strawberry (250g)</t>
  </si>
  <si>
    <t>20260606|SND|Strawberry (500g)</t>
  </si>
  <si>
    <t>20260606|SND|Blueberry (125g)</t>
  </si>
  <si>
    <t>20260606|SND|Blueberry (300g)</t>
  </si>
  <si>
    <t>20260606|SND|Blueberry (500g)</t>
  </si>
  <si>
    <t>20260606|SND|Apple Cinnamon</t>
  </si>
  <si>
    <t>20260606|SND|Banana</t>
  </si>
  <si>
    <t>20260606|SND|Honey</t>
  </si>
  <si>
    <t>20260606|SND|Caramel</t>
  </si>
  <si>
    <t>20260606|SND|Peanut Butter Sauce</t>
  </si>
  <si>
    <t>20260606|SND|Cup P (5oz)</t>
  </si>
  <si>
    <t>20260606|SND|Cup S (9oz)</t>
  </si>
  <si>
    <t>20260606|SND|Small Bowl</t>
  </si>
  <si>
    <t>20260606|SND|Cup (14oz)</t>
  </si>
  <si>
    <t>20260606|SND|Cup 3oz (Topping)</t>
  </si>
  <si>
    <t>20260606|SND|Cup+Lid (Big) 3oz</t>
  </si>
  <si>
    <t>20260606|SND|Cup+Lid (Small) 1oz</t>
  </si>
  <si>
    <t>20260606|SND|Bowl Lid</t>
  </si>
  <si>
    <t>20260606|SND|Smoothies Lid</t>
  </si>
  <si>
    <t>20260606|SND|Lid S (92)</t>
  </si>
  <si>
    <t>20260606|SND|Lid Top / Lid P (75)</t>
  </si>
  <si>
    <t>20260606|SND|Wood Spoon in bag</t>
  </si>
  <si>
    <t>20260606|SND|Wood Spoon</t>
  </si>
  <si>
    <r>
      <rPr>
        <sz val="11"/>
        <color theme="1"/>
        <rFont val="Calibri"/>
        <family val="2"/>
        <charset val="1"/>
      </rPr>
      <t xml:space="preserve">20260606|SND|Tester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</si>
  <si>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20260606|SND|Short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</si>
  <si>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20260606|SND|Straw/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</si>
  <si>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20260606|SND|Straw/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</si>
  <si>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20260606|SND|Fail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</si>
  <si>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</si>
  <si>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</si>
  <si>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</si>
  <si>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</si>
  <si>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</si>
  <si>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</si>
  <si>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20260606|SND|Zip Bag Small / </t>
    </r>
    <r>
      <rPr>
        <sz val="11"/>
        <color theme="1"/>
        <rFont val="DejaVu Sans"/>
        <family val="2"/>
      </rPr>
      <t>ถุงซิป</t>
    </r>
  </si>
  <si>
    <t>20260606|SND|Bag 4x14</t>
  </si>
  <si>
    <t>20260606|SND|Bag 6x14</t>
  </si>
  <si>
    <t>20260606|SND|Bag 8x14</t>
  </si>
  <si>
    <t>20260606|SND|Bag 9x14</t>
  </si>
  <si>
    <r>
      <rPr>
        <sz val="11"/>
        <color theme="1"/>
        <rFont val="Calibri"/>
        <family val="2"/>
        <charset val="1"/>
      </rPr>
      <t xml:space="preserve">20260606|SND|Bag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</si>
  <si>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20260606|SND|Sticker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</si>
  <si>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20260606|SND|Print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</si>
  <si>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20260606|SND|Gloves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</si>
  <si>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20260606|SND|Black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</si>
  <si>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20260606|SND|Dry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</si>
  <si>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20260606|SND|Wet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</si>
  <si>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</si>
  <si>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</si>
  <si>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</si>
  <si>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น้ำยาอเนกประสงค์</t>
    </r>
  </si>
  <si>
    <t>20260606|SND|Wake up call (Banana)</t>
  </si>
  <si>
    <t>20260606|SND|Energy Sip (Straw+Banana)</t>
  </si>
  <si>
    <t>20260606|SND|Yellow Madness (Pineapple+Mango+Passion)</t>
  </si>
  <si>
    <t>20260606|SND|Ready to Glow (Straw+Blue+Banana)</t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</si>
  <si>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</si>
  <si>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</si>
  <si>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</si>
  <si>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</si>
  <si>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20260606|SND|Biscoff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</si>
  <si>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</si>
  <si>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</si>
  <si>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</si>
  <si>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20260606|SND|</t>
    </r>
    <r>
      <rPr>
        <sz val="11"/>
        <color theme="1"/>
        <rFont val="DejaVu Sans"/>
        <family val="2"/>
      </rPr>
      <t>ปีโป้ลิ้นจี่</t>
    </r>
  </si>
  <si>
    <t>20260608|SND|Greek Yogurt 1kg</t>
  </si>
  <si>
    <t>20260608|SND|Yuzu</t>
  </si>
  <si>
    <t>20260608|SND|Kyoho</t>
  </si>
  <si>
    <t>20260608|SND|Vanilla</t>
  </si>
  <si>
    <t>20260608|SND|Pineapple</t>
  </si>
  <si>
    <t>20260608|SND|Biscoff</t>
  </si>
  <si>
    <t>20260608|SND|Overnight oats biscoff</t>
  </si>
  <si>
    <r>
      <rPr>
        <sz val="11"/>
        <color theme="1"/>
        <rFont val="Calibri"/>
        <family val="2"/>
        <charset val="1"/>
      </rPr>
      <t>20260608|SND|Plain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</si>
  <si>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20260608|SND|Greek Yogurt 500g</t>
  </si>
  <si>
    <t>20260608|SND|Plain Yogurt 500g</t>
  </si>
  <si>
    <t>20260608|SND|R-ACAI Bowl</t>
  </si>
  <si>
    <t>20260608|SND|S-ACAI Cup (mini)</t>
  </si>
  <si>
    <r>
      <rPr>
        <sz val="11"/>
        <color theme="1"/>
        <rFont val="Calibri"/>
        <family val="2"/>
        <charset val="1"/>
      </rPr>
      <t xml:space="preserve">20260608|SND|Softserve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</si>
  <si>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20260608|SND|Shake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</si>
  <si>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20260608|SND|Water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</si>
  <si>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</si>
  <si>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</si>
  <si>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</si>
  <si>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</si>
  <si>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</si>
  <si>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ถุงพีช</t>
    </r>
  </si>
  <si>
    <t>20260608|SND|Cornflakes Malt (M)</t>
  </si>
  <si>
    <t>20260608|SND|Granola (M)</t>
  </si>
  <si>
    <t>20260608|SND|Cookies Crumbs</t>
  </si>
  <si>
    <t>20260608|SND|Oreo</t>
  </si>
  <si>
    <t>20260608|SND|Choc Chips</t>
  </si>
  <si>
    <t>20260608|SND|Cornflakes (Topping)</t>
  </si>
  <si>
    <t>20260608|SND|Granola (Topping)</t>
  </si>
  <si>
    <t>20260608|SND|Almond</t>
  </si>
  <si>
    <t>20260608|SND|Pecan</t>
  </si>
  <si>
    <t>20260608|SND|Walnut</t>
  </si>
  <si>
    <t>20260608|SND|Coconut Chips</t>
  </si>
  <si>
    <t>20260608|SND|Chia Seed</t>
  </si>
  <si>
    <t>20260608|SND|Flax Seed</t>
  </si>
  <si>
    <t>20260608|SND|Cacao Nibs</t>
  </si>
  <si>
    <t>20260608|SND|Grape Jelly</t>
  </si>
  <si>
    <t>20260608|SND|Honey Jelly</t>
  </si>
  <si>
    <t>20260608|SND|Strawberry (250g)</t>
  </si>
  <si>
    <t>20260608|SND|Strawberry (500g)</t>
  </si>
  <si>
    <t>20260608|SND|Blueberry (125g)</t>
  </si>
  <si>
    <t>20260608|SND|Blueberry (300g)</t>
  </si>
  <si>
    <t>20260608|SND|Blueberry (500g)</t>
  </si>
  <si>
    <t>20260608|SND|Apple Cinnamon</t>
  </si>
  <si>
    <t>20260608|SND|Banana</t>
  </si>
  <si>
    <t>20260608|SND|Honey</t>
  </si>
  <si>
    <t>20260608|SND|Caramel</t>
  </si>
  <si>
    <t>20260608|SND|Peanut Butter Sauce</t>
  </si>
  <si>
    <t>20260608|SND|Cup P (5oz)</t>
  </si>
  <si>
    <t>20260608|SND|Cup S (9oz)</t>
  </si>
  <si>
    <t>20260608|SND|Small Bowl</t>
  </si>
  <si>
    <t>20260608|SND|Cup (14oz)</t>
  </si>
  <si>
    <t>20260608|SND|Cup 3oz (Topping)</t>
  </si>
  <si>
    <t>20260608|SND|Cup+Lid (Big) 3oz</t>
  </si>
  <si>
    <t>20260608|SND|Cup+Lid (Small) 1oz</t>
  </si>
  <si>
    <t>20260608|SND|Bowl Lid</t>
  </si>
  <si>
    <t>20260608|SND|Smoothies Lid</t>
  </si>
  <si>
    <t>20260608|SND|Lid S (92)</t>
  </si>
  <si>
    <t>20260608|SND|Lid Top / Lid P (75)</t>
  </si>
  <si>
    <t>20260608|SND|Wood Spoon in bag</t>
  </si>
  <si>
    <t>20260608|SND|Wood Spoon</t>
  </si>
  <si>
    <r>
      <rPr>
        <sz val="11"/>
        <color theme="1"/>
        <rFont val="Calibri"/>
        <family val="2"/>
        <charset val="1"/>
      </rPr>
      <t xml:space="preserve">20260608|SND|Tester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</si>
  <si>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20260608|SND|Short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</si>
  <si>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20260608|SND|Straw/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</si>
  <si>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20260608|SND|Straw/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</si>
  <si>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20260608|SND|Fail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</si>
  <si>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</si>
  <si>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</si>
  <si>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</si>
  <si>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</si>
  <si>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</si>
  <si>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</si>
  <si>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20260608|SND|Zip Bag Small / </t>
    </r>
    <r>
      <rPr>
        <sz val="11"/>
        <color theme="1"/>
        <rFont val="DejaVu Sans"/>
        <family val="2"/>
      </rPr>
      <t>ถุงซิป</t>
    </r>
  </si>
  <si>
    <t>20260608|SND|Bag 4x14</t>
  </si>
  <si>
    <t>20260608|SND|Bag 6x14</t>
  </si>
  <si>
    <t>20260608|SND|Bag 8x14</t>
  </si>
  <si>
    <t>20260608|SND|Bag 9x14</t>
  </si>
  <si>
    <r>
      <rPr>
        <sz val="11"/>
        <color theme="1"/>
        <rFont val="Calibri"/>
        <family val="2"/>
        <charset val="1"/>
      </rPr>
      <t xml:space="preserve">20260608|SND|Bag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</si>
  <si>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20260608|SND|Sticker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</si>
  <si>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20260608|SND|Print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</si>
  <si>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20260608|SND|Gloves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</si>
  <si>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20260608|SND|Black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</si>
  <si>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20260608|SND|Dry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</si>
  <si>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20260608|SND|Wet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</si>
  <si>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</si>
  <si>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</si>
  <si>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</si>
  <si>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น้ำยาอเนกประสงค์</t>
    </r>
  </si>
  <si>
    <t>20260608|SND|Wake up call (Banana)</t>
  </si>
  <si>
    <t>20260608|SND|Energy Sip (Straw+Banana)</t>
  </si>
  <si>
    <t>20260608|SND|Yellow Madness (Pineapple+Mango+Passion)</t>
  </si>
  <si>
    <t>20260608|SND|Ready to Glow (Straw+Blue+Banana)</t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</si>
  <si>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</si>
  <si>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</si>
  <si>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</si>
  <si>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</si>
  <si>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20260608|SND|Biscoff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</si>
  <si>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</si>
  <si>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</si>
  <si>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</si>
  <si>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20260608|SND|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</si>
  <si>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 xml:space="preserve">20260608|SND|Biscoff Spread </t>
    </r>
    <r>
      <rPr>
        <sz val="11"/>
        <color theme="1"/>
        <rFont val="DejaVu Sans"/>
        <family val="2"/>
      </rPr>
      <t>ใหญ่</t>
    </r>
  </si>
  <si>
    <t>20260609|SND|Greek Yogurt 1kg</t>
  </si>
  <si>
    <t>20260609|SND|Yuzu</t>
  </si>
  <si>
    <t>20260609|SND|Kyoho</t>
  </si>
  <si>
    <t>20260609|SND|Vanilla</t>
  </si>
  <si>
    <t>20260609|SND|Pineapple</t>
  </si>
  <si>
    <t>20260609|SND|Biscoff</t>
  </si>
  <si>
    <t>20260609|SND|Overnight oats biscoff</t>
  </si>
  <si>
    <r>
      <rPr>
        <sz val="11"/>
        <color theme="1"/>
        <rFont val="Calibri"/>
        <family val="2"/>
        <charset val="1"/>
      </rPr>
      <t>20260609|SND|Plain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</si>
  <si>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20260609|SND|Greek Yogurt 500g</t>
  </si>
  <si>
    <t>20260609|SND|Plain Yogurt 500g</t>
  </si>
  <si>
    <t>20260609|SND|R-ACAI Bowl</t>
  </si>
  <si>
    <t>20260609|SND|S-ACAI Cup (mini)</t>
  </si>
  <si>
    <r>
      <rPr>
        <sz val="11"/>
        <color theme="1"/>
        <rFont val="Calibri"/>
        <family val="2"/>
        <charset val="1"/>
      </rPr>
      <t xml:space="preserve">20260609|SND|Softserve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</si>
  <si>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20260609|SND|Shake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</si>
  <si>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20260609|SND|Water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</si>
  <si>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</si>
  <si>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ถุงพีช</t>
    </r>
  </si>
  <si>
    <t>20260609|SND|Cornflakes Malt (M)</t>
  </si>
  <si>
    <t>20260609|SND|Granola (M)</t>
  </si>
  <si>
    <t>20260609|SND|Cookies Crumbs</t>
  </si>
  <si>
    <t>20260609|SND|Oreo</t>
  </si>
  <si>
    <t>20260609|SND|Choc Chips</t>
  </si>
  <si>
    <t>20260609|SND|Cornflakes (Topping)</t>
  </si>
  <si>
    <t>20260609|SND|Granola (Topping)</t>
  </si>
  <si>
    <t>20260609|SND|Almond</t>
  </si>
  <si>
    <t>20260609|SND|Pecan</t>
  </si>
  <si>
    <t>20260609|SND|Walnut</t>
  </si>
  <si>
    <t>20260609|SND|Coconut Chips</t>
  </si>
  <si>
    <t>20260609|SND|Chia Seed</t>
  </si>
  <si>
    <t>20260609|SND|Flax Seed</t>
  </si>
  <si>
    <t>20260609|SND|Cacao Nibs</t>
  </si>
  <si>
    <t>20260609|SND|Grape Jelly</t>
  </si>
  <si>
    <t>20260609|SND|Honey Jelly</t>
  </si>
  <si>
    <t>20260609|SND|Strawberry (250g)</t>
  </si>
  <si>
    <t>20260609|SND|Blueberry (300g)</t>
  </si>
  <si>
    <t>20260609|SND|Apple Cinnamon</t>
  </si>
  <si>
    <t>20260609|SND|Banana</t>
  </si>
  <si>
    <t>20260609|SND|Honey</t>
  </si>
  <si>
    <t>20260609|SND|Caramel</t>
  </si>
  <si>
    <t>20260609|SND|Peanut Butter Sauce</t>
  </si>
  <si>
    <t>20260609|SND|Cup P (5oz)</t>
  </si>
  <si>
    <t>20260609|SND|Cup S (9oz)</t>
  </si>
  <si>
    <t>20260609|SND|Small Bowl</t>
  </si>
  <si>
    <t>20260609|SND|Cup (14oz)</t>
  </si>
  <si>
    <t>20260609|SND|Cup 3oz (Topping)</t>
  </si>
  <si>
    <t>20260609|SND|Cup+Lid (Big) 3oz</t>
  </si>
  <si>
    <t>20260609|SND|Cup+Lid (Small) 1oz</t>
  </si>
  <si>
    <t>20260609|SND|Bowl Lid</t>
  </si>
  <si>
    <t>20260609|SND|Smoothies Lid</t>
  </si>
  <si>
    <t>20260609|SND|Lid S (92)</t>
  </si>
  <si>
    <t>20260609|SND|Lid Top / Lid P (75)</t>
  </si>
  <si>
    <t>20260609|SND|Wood Spoon in bag</t>
  </si>
  <si>
    <t>20260609|SND|Wood Spoon</t>
  </si>
  <si>
    <r>
      <rPr>
        <sz val="11"/>
        <color theme="1"/>
        <rFont val="Calibri"/>
        <family val="2"/>
        <charset val="1"/>
      </rPr>
      <t xml:space="preserve">20260609|SND|Tester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</si>
  <si>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20260609|SND|Short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</si>
  <si>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20260609|SND|Straw/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</si>
  <si>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20260609|SND|Straw/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</si>
  <si>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20260609|SND|Fail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</si>
  <si>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</si>
  <si>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</si>
  <si>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</si>
  <si>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</si>
  <si>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</si>
  <si>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</si>
  <si>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20260609|SND|Zip Bag Small / </t>
    </r>
    <r>
      <rPr>
        <sz val="11"/>
        <color theme="1"/>
        <rFont val="DejaVu Sans"/>
        <family val="2"/>
      </rPr>
      <t>ถุงซิป</t>
    </r>
  </si>
  <si>
    <t>20260609|SND|Bag 4x14</t>
  </si>
  <si>
    <t>20260609|SND|Bag 6x14</t>
  </si>
  <si>
    <t>20260609|SND|Bag 8x14</t>
  </si>
  <si>
    <t>20260609|SND|Bag 9x14</t>
  </si>
  <si>
    <r>
      <rPr>
        <sz val="11"/>
        <color theme="1"/>
        <rFont val="Calibri"/>
        <family val="2"/>
        <charset val="1"/>
      </rPr>
      <t xml:space="preserve">20260609|SND|Bag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</si>
  <si>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20260609|SND|Sticker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</si>
  <si>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20260609|SND|Print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</si>
  <si>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20260609|SND|Gloves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</si>
  <si>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20260609|SND|Black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</si>
  <si>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20260609|SND|Dry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</si>
  <si>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20260609|SND|Wet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</si>
  <si>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</si>
  <si>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</si>
  <si>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</si>
  <si>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น้ำยาอเนกประสงค์</t>
    </r>
  </si>
  <si>
    <t>20260609|SND|Wake up call (Banana)</t>
  </si>
  <si>
    <t>20260609|SND|Energy Sip (Straw+Banana)</t>
  </si>
  <si>
    <t>20260609|SND|Yellow Madness (Pineapple+Mango+Passion)</t>
  </si>
  <si>
    <t>20260609|SND|Ready to Glow (Straw+Blue+Banana)</t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</si>
  <si>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</si>
  <si>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</si>
  <si>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</si>
  <si>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</si>
  <si>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20260609|SND|Biscoff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</si>
  <si>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</si>
  <si>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</si>
  <si>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</si>
  <si>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20260609|SND|</t>
    </r>
    <r>
      <rPr>
        <sz val="11"/>
        <color theme="1"/>
        <rFont val="DejaVu Sans"/>
        <family val="2"/>
      </rPr>
      <t>ปีโป้ลิ้นจี่</t>
    </r>
  </si>
  <si>
    <t>20260610|SND|Greek Yogurt 1kg</t>
  </si>
  <si>
    <t>20260610|SND|Yuzu</t>
  </si>
  <si>
    <t>20260610|SND|Kyoho</t>
  </si>
  <si>
    <t>20260610|SND|Vanilla</t>
  </si>
  <si>
    <t>20260610|SND|Pineapple</t>
  </si>
  <si>
    <t>20260610|SND|Biscoff</t>
  </si>
  <si>
    <t>20260610|SND|Overnight oats biscoff</t>
  </si>
  <si>
    <r>
      <rPr>
        <sz val="11"/>
        <color theme="1"/>
        <rFont val="Calibri"/>
        <family val="2"/>
        <charset val="1"/>
      </rPr>
      <t>20260610|SND|Plain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</si>
  <si>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20260610|SND|Greek Yogurt 500g</t>
  </si>
  <si>
    <t>20260610|SND|Plain Yogurt 500g</t>
  </si>
  <si>
    <t>20260610|SND|R-ACAI Bowl</t>
  </si>
  <si>
    <t>20260610|SND|S-ACAI Cup (mini)</t>
  </si>
  <si>
    <r>
      <rPr>
        <sz val="11"/>
        <color theme="1"/>
        <rFont val="Calibri"/>
        <family val="2"/>
        <charset val="1"/>
      </rPr>
      <t>20260610|SND|Shake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</si>
  <si>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20260610|SND|Water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</si>
  <si>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</si>
  <si>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</si>
  <si>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</si>
  <si>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</si>
  <si>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</si>
  <si>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ถุงพีช</t>
    </r>
  </si>
  <si>
    <t>20260610|SND|Cornflakes Malt (M)</t>
  </si>
  <si>
    <t>20260610|SND|Granola (M)</t>
  </si>
  <si>
    <t>20260610|SND|Cookies Crumbs</t>
  </si>
  <si>
    <t>20260610|SND|Oreo</t>
  </si>
  <si>
    <t>20260610|SND|Choc Chips</t>
  </si>
  <si>
    <t>20260610|SND|Cornflakes (Topping)</t>
  </si>
  <si>
    <t>20260610|SND|Granola (Topping)</t>
  </si>
  <si>
    <t>20260610|SND|Almond</t>
  </si>
  <si>
    <t>20260610|SND|Pecan</t>
  </si>
  <si>
    <t>20260610|SND|Walnut</t>
  </si>
  <si>
    <t>20260610|SND|Coconut Chips</t>
  </si>
  <si>
    <t>20260610|SND|Chia Seed</t>
  </si>
  <si>
    <t>20260610|SND|Flax Seed</t>
  </si>
  <si>
    <t>20260610|SND|Cacao Nibs</t>
  </si>
  <si>
    <t>20260610|SND|Grape Jelly</t>
  </si>
  <si>
    <t>20260610|SND|Honey Jelly</t>
  </si>
  <si>
    <t>20260610|SND|Strawberry (250g)</t>
  </si>
  <si>
    <t>20260610|SND|Blueberry (300g)</t>
  </si>
  <si>
    <t>20260610|SND|Apple Cinnamon</t>
  </si>
  <si>
    <t>20260610|SND|Banana</t>
  </si>
  <si>
    <t>20260610|SND|Honey</t>
  </si>
  <si>
    <t>20260610|SND|Caramel</t>
  </si>
  <si>
    <t>20260610|SND|Peanut Butter Sauce</t>
  </si>
  <si>
    <t>20260610|SND|Cup P (5oz)</t>
  </si>
  <si>
    <t>20260610|SND|Cup S (9oz)</t>
  </si>
  <si>
    <t>20260610|SND|Small Bowl</t>
  </si>
  <si>
    <t>20260610|SND|Cup (14oz)</t>
  </si>
  <si>
    <t>20260610|SND|Cup 3oz (Topping)</t>
  </si>
  <si>
    <t>20260610|SND|Cup+Lid (Big) 3oz</t>
  </si>
  <si>
    <t>20260610|SND|Cup+Lid (Small) 1oz</t>
  </si>
  <si>
    <t>20260610|SND|Bowl Lid</t>
  </si>
  <si>
    <t>20260610|SND|Smoothies Lid</t>
  </si>
  <si>
    <t>20260610|SND|Lid S (92)</t>
  </si>
  <si>
    <t>20260610|SND|Lid Top / Lid P (75)</t>
  </si>
  <si>
    <t>20260610|SND|Wood Spoon in bag</t>
  </si>
  <si>
    <t>20260610|SND|Wood Spoon</t>
  </si>
  <si>
    <r>
      <rPr>
        <sz val="11"/>
        <color theme="1"/>
        <rFont val="Calibri"/>
        <family val="2"/>
        <charset val="1"/>
      </rPr>
      <t xml:space="preserve">20260610|SND|Tester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</si>
  <si>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20260610|SND|Short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</si>
  <si>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20260610|SND|Straw/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</si>
  <si>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20260610|SND|Straw/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</si>
  <si>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20260610|SND|Fail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</si>
  <si>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</si>
  <si>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</si>
  <si>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</si>
  <si>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</si>
  <si>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</si>
  <si>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</si>
  <si>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20260610|SND|Zip Bag Small / </t>
    </r>
    <r>
      <rPr>
        <sz val="11"/>
        <color theme="1"/>
        <rFont val="DejaVu Sans"/>
        <family val="2"/>
      </rPr>
      <t>ถุงซิป</t>
    </r>
  </si>
  <si>
    <t>20260610|SND|Bag 4x14</t>
  </si>
  <si>
    <t>20260610|SND|Bag 6x14</t>
  </si>
  <si>
    <t>20260610|SND|Bag 8x14</t>
  </si>
  <si>
    <t>20260610|SND|Bag 9x14</t>
  </si>
  <si>
    <r>
      <rPr>
        <sz val="11"/>
        <color theme="1"/>
        <rFont val="Calibri"/>
        <family val="2"/>
        <charset val="1"/>
      </rPr>
      <t xml:space="preserve">20260610|SND|Bag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</si>
  <si>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20260610|SND|Sticker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</si>
  <si>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20260610|SND|Print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</si>
  <si>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20260610|SND|Gloves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</si>
  <si>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20260610|SND|Black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</si>
  <si>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20260610|SND|Dry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</si>
  <si>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20260610|SND|Wet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</si>
  <si>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</si>
  <si>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</si>
  <si>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</si>
  <si>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น้ำยาอเนกประสงค์</t>
    </r>
  </si>
  <si>
    <t>20260610|SND|Wake up call (Banana)</t>
  </si>
  <si>
    <t>20260610|SND|Energy Sip (Straw+Banana)</t>
  </si>
  <si>
    <t>20260610|SND|Yellow Madness (Pineapple+Mango+Passion)</t>
  </si>
  <si>
    <t>20260610|SND|Ready to Glow (Straw+Blue+Banana)</t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</si>
  <si>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</si>
  <si>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</si>
  <si>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</si>
  <si>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</si>
  <si>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20260610|SND|Biscoff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</si>
  <si>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</si>
  <si>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</si>
  <si>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</si>
  <si>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20260610|SND|</t>
    </r>
    <r>
      <rPr>
        <sz val="11"/>
        <color theme="1"/>
        <rFont val="DejaVu Sans"/>
        <family val="2"/>
      </rPr>
      <t>ปีโป้ลิ้นจี่</t>
    </r>
  </si>
  <si>
    <t>20260611|SND|Greek Yogurt 1kg</t>
  </si>
  <si>
    <t>20260611|SND|Yuzu</t>
  </si>
  <si>
    <t>20260611|SND|Kyoho</t>
  </si>
  <si>
    <t>20260611|SND|Vanilla</t>
  </si>
  <si>
    <t>20260611|SND|Pineapple</t>
  </si>
  <si>
    <t>20260611|SND|Biscoff</t>
  </si>
  <si>
    <t>20260611|SND|Overnight oats biscoff</t>
  </si>
  <si>
    <r>
      <rPr>
        <sz val="11"/>
        <color theme="1"/>
        <rFont val="Calibri"/>
        <family val="2"/>
        <charset val="1"/>
      </rPr>
      <t>20260611|SND|Plain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</si>
  <si>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20260611|SND|Greek Yogurt 500g</t>
  </si>
  <si>
    <t>20260611|SND|Plain Yogurt 500g</t>
  </si>
  <si>
    <t>20260611|SND|R-ACAI Bowl</t>
  </si>
  <si>
    <t>20260611|SND|S-ACAI Cup (mini)</t>
  </si>
  <si>
    <r>
      <rPr>
        <sz val="11"/>
        <color theme="1"/>
        <rFont val="Calibri"/>
        <family val="2"/>
        <charset val="1"/>
      </rPr>
      <t>20260611|SND|Shake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</si>
  <si>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20260611|SND|Water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</si>
  <si>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</si>
  <si>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</si>
  <si>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</si>
  <si>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</si>
  <si>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</si>
  <si>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ถุงพีช</t>
    </r>
  </si>
  <si>
    <t>20260611|SND|Cornflakes Malt (M)</t>
  </si>
  <si>
    <t>20260611|SND|Granola (M)</t>
  </si>
  <si>
    <t>20260611|SND|Cookies Crumbs</t>
  </si>
  <si>
    <t>20260611|SND|Oreo</t>
  </si>
  <si>
    <t>20260611|SND|Choc Chips</t>
  </si>
  <si>
    <t>20260611|SND|Cornflakes (Topping)</t>
  </si>
  <si>
    <t>20260611|SND|Granola (Topping)</t>
  </si>
  <si>
    <t>20260611|SND|Almond</t>
  </si>
  <si>
    <t>20260611|SND|Pecan</t>
  </si>
  <si>
    <t>20260611|SND|Walnut</t>
  </si>
  <si>
    <t>20260611|SND|Coconut Chips</t>
  </si>
  <si>
    <t>20260611|SND|Chia Seed</t>
  </si>
  <si>
    <t>20260611|SND|Flax Seed</t>
  </si>
  <si>
    <t>20260611|SND|Cacao Nibs</t>
  </si>
  <si>
    <t>20260611|SND|Grape Jelly</t>
  </si>
  <si>
    <t>20260611|SND|Honey Jelly</t>
  </si>
  <si>
    <t>20260611|SND|Strawberry (250g)</t>
  </si>
  <si>
    <t>20260611|SND|Blueberry (300g)</t>
  </si>
  <si>
    <t>20260611|SND|Apple Cinnamon</t>
  </si>
  <si>
    <t>20260611|SND|Banana</t>
  </si>
  <si>
    <t>20260611|SND|Honey</t>
  </si>
  <si>
    <t>20260611|SND|Caramel</t>
  </si>
  <si>
    <t>20260611|SND|Peanut Butter Sauce</t>
  </si>
  <si>
    <t>20260611|SND|Cup P (5oz)</t>
  </si>
  <si>
    <t>20260611|SND|Cup S (9oz)</t>
  </si>
  <si>
    <t>20260611|SND|Small Bowl</t>
  </si>
  <si>
    <t>20260611|SND|Cup (14oz)</t>
  </si>
  <si>
    <t>20260611|SND|Cup 3oz (Topping)</t>
  </si>
  <si>
    <t>20260611|SND|Cup+Lid (Big) 3oz</t>
  </si>
  <si>
    <t>20260611|SND|Cup+Lid (Small) 1oz</t>
  </si>
  <si>
    <t>20260611|SND|Bowl Lid</t>
  </si>
  <si>
    <t>20260611|SND|Smoothies Lid</t>
  </si>
  <si>
    <t>20260611|SND|Lid S (92)</t>
  </si>
  <si>
    <t>20260611|SND|Lid Top / Lid P (75)</t>
  </si>
  <si>
    <t>20260611|SND|Wood Spoon in bag</t>
  </si>
  <si>
    <t>20260611|SND|Wood Spoon</t>
  </si>
  <si>
    <r>
      <rPr>
        <sz val="11"/>
        <color theme="1"/>
        <rFont val="Calibri"/>
        <family val="2"/>
        <charset val="1"/>
      </rPr>
      <t xml:space="preserve">20260611|SND|Tester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</si>
  <si>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20260611|SND|Short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</si>
  <si>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20260611|SND|Straw/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</si>
  <si>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20260611|SND|Straw/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</si>
  <si>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20260611|SND|Fail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</si>
  <si>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</si>
  <si>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</si>
  <si>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</si>
  <si>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</si>
  <si>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</si>
  <si>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</si>
  <si>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20260611|SND|Zip Bag Small / </t>
    </r>
    <r>
      <rPr>
        <sz val="11"/>
        <color theme="1"/>
        <rFont val="DejaVu Sans"/>
        <family val="2"/>
      </rPr>
      <t>ถุงซิป</t>
    </r>
  </si>
  <si>
    <t>20260611|SND|Bag 4x14</t>
  </si>
  <si>
    <t>20260611|SND|Bag 6x14</t>
  </si>
  <si>
    <t>20260611|SND|Bag 8x14</t>
  </si>
  <si>
    <t>20260611|SND|Bag 9x14</t>
  </si>
  <si>
    <r>
      <rPr>
        <sz val="11"/>
        <color theme="1"/>
        <rFont val="Calibri"/>
        <family val="2"/>
        <charset val="1"/>
      </rPr>
      <t xml:space="preserve">20260611|SND|Bag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</si>
  <si>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20260611|SND|Sticker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</si>
  <si>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20260611|SND|Print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</si>
  <si>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20260611|SND|Gloves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</si>
  <si>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20260611|SND|Black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</si>
  <si>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20260611|SND|Dry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</si>
  <si>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20260611|SND|Wet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</si>
  <si>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</si>
  <si>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</si>
  <si>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</si>
  <si>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น้ำยาอเนกประสงค์</t>
    </r>
  </si>
  <si>
    <t>20260611|SND|Wake up call (Banana)</t>
  </si>
  <si>
    <t>20260611|SND|Energy Sip (Straw+Banana)</t>
  </si>
  <si>
    <t>20260611|SND|Yellow Madness (Pineapple+Mango+Passion)</t>
  </si>
  <si>
    <t>20260611|SND|Ready to Glow (Straw+Blue+Banana)</t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</si>
  <si>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</si>
  <si>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</si>
  <si>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</si>
  <si>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</si>
  <si>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20260611|SND|Biscoff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</si>
  <si>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</si>
  <si>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</si>
  <si>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</si>
  <si>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20260611|SND|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</si>
  <si>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 xml:space="preserve">20260611|SND|Softserve </t>
    </r>
    <r>
      <rPr>
        <sz val="11"/>
        <color theme="1"/>
        <rFont val="DejaVu Sans"/>
        <family val="2"/>
      </rPr>
      <t>ถ้วยกระดาษ</t>
    </r>
  </si>
  <si>
    <t>20260612|SND|Greek Yogurt 1kg</t>
  </si>
  <si>
    <t>20260612|SND|Yuzu</t>
  </si>
  <si>
    <t>20260612|SND|Kyoho</t>
  </si>
  <si>
    <t>20260612|SND|Mint</t>
  </si>
  <si>
    <t>20260612|SND|Vanilla</t>
  </si>
  <si>
    <t>20260612|SND|Pineapple</t>
  </si>
  <si>
    <t>20260612|SND|Biscoff</t>
  </si>
  <si>
    <t>20260612|SND|Overnight oats biscoff</t>
  </si>
  <si>
    <r>
      <rPr>
        <sz val="11"/>
        <color theme="1"/>
        <rFont val="Calibri"/>
        <family val="2"/>
        <charset val="1"/>
      </rPr>
      <t>20260612|SND|Plain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</si>
  <si>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20260612|SND|Greek Yogurt 500g</t>
  </si>
  <si>
    <t>20260612|SND|Plain Yogurt 500g</t>
  </si>
  <si>
    <t>20260612|SND|R-ACAI Bowl</t>
  </si>
  <si>
    <t>20260612|SND|S-ACAI Cup (mini)</t>
  </si>
  <si>
    <r>
      <rPr>
        <sz val="11"/>
        <color theme="1"/>
        <rFont val="Calibri"/>
        <family val="2"/>
        <charset val="1"/>
      </rPr>
      <t xml:space="preserve">20260612|SND|Softserve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</si>
  <si>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20260612|SND|Shake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</si>
  <si>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20260612|SND|Water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</si>
  <si>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</si>
  <si>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</si>
  <si>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</si>
  <si>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</si>
  <si>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</si>
  <si>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ถุงพีช</t>
    </r>
  </si>
  <si>
    <t>20260612|SND|Cornflakes Malt (M)</t>
  </si>
  <si>
    <t>20260612|SND|Granola (M)</t>
  </si>
  <si>
    <t>20260612|SND|Cookies Crumbs</t>
  </si>
  <si>
    <t>20260612|SND|Oreo</t>
  </si>
  <si>
    <t>20260612|SND|Choc Chips</t>
  </si>
  <si>
    <t>20260612|SND|Cornflakes (Topping)</t>
  </si>
  <si>
    <t>20260612|SND|Granola (Topping)</t>
  </si>
  <si>
    <t>20260612|SND|Almond</t>
  </si>
  <si>
    <t>20260612|SND|Pecan</t>
  </si>
  <si>
    <t>20260612|SND|Walnut</t>
  </si>
  <si>
    <t>20260612|SND|Coconut Chips</t>
  </si>
  <si>
    <t>20260612|SND|Chia Seed</t>
  </si>
  <si>
    <t>20260612|SND|Flax Seed</t>
  </si>
  <si>
    <t>20260612|SND|Cacao Nibs</t>
  </si>
  <si>
    <t>20260612|SND|Grape Jelly</t>
  </si>
  <si>
    <t>20260612|SND|Honey Jelly</t>
  </si>
  <si>
    <t>20260612|SND|Strawberry (250g)</t>
  </si>
  <si>
    <t>20260612|SND|Blueberry (300g)</t>
  </si>
  <si>
    <t>20260612|SND|Apple Cinnamon</t>
  </si>
  <si>
    <t>20260612|SND|Honey</t>
  </si>
  <si>
    <t>20260612|SND|Caramel</t>
  </si>
  <si>
    <t>20260612|SND|Peanut Butter Sauce</t>
  </si>
  <si>
    <t>20260612|SND|Cup P (5oz)</t>
  </si>
  <si>
    <t>20260612|SND|Cup S (9oz)</t>
  </si>
  <si>
    <t>20260612|SND|Small Bowl</t>
  </si>
  <si>
    <t>20260612|SND|Cup (14oz)</t>
  </si>
  <si>
    <t>20260612|SND|Cup 3oz (Topping)</t>
  </si>
  <si>
    <t>20260612|SND|Cup+Lid (Big) 3oz</t>
  </si>
  <si>
    <t>20260612|SND|Cup+Lid (Small) 1oz</t>
  </si>
  <si>
    <t>20260612|SND|Bowl Lid</t>
  </si>
  <si>
    <t>20260612|SND|Smoothies Lid</t>
  </si>
  <si>
    <t>20260612|SND|Lid S (92)</t>
  </si>
  <si>
    <t>20260612|SND|Lid Top / Lid P (75)</t>
  </si>
  <si>
    <t>20260612|SND|Wood Spoon in bag</t>
  </si>
  <si>
    <t>20260612|SND|Wood Spoon</t>
  </si>
  <si>
    <r>
      <rPr>
        <sz val="11"/>
        <color theme="1"/>
        <rFont val="Calibri"/>
        <family val="2"/>
        <charset val="1"/>
      </rPr>
      <t xml:space="preserve">20260612|SND|Tester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</si>
  <si>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20260612|SND|Short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</si>
  <si>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20260612|SND|Straw/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</si>
  <si>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20260612|SND|Straw/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</si>
  <si>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20260612|SND|Fail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</si>
  <si>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</si>
  <si>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</si>
  <si>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</si>
  <si>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</si>
  <si>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</si>
  <si>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</si>
  <si>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20260612|SND|Zip Bag Small / </t>
    </r>
    <r>
      <rPr>
        <sz val="11"/>
        <color theme="1"/>
        <rFont val="DejaVu Sans"/>
        <family val="2"/>
      </rPr>
      <t>ถุงซิป</t>
    </r>
  </si>
  <si>
    <t>20260612|SND|Bag 4x14</t>
  </si>
  <si>
    <t>20260612|SND|Bag 6x14</t>
  </si>
  <si>
    <t>20260612|SND|Bag 8x14</t>
  </si>
  <si>
    <t>20260612|SND|Bag 9x14</t>
  </si>
  <si>
    <r>
      <rPr>
        <sz val="11"/>
        <color theme="1"/>
        <rFont val="Calibri"/>
        <family val="2"/>
        <charset val="1"/>
      </rPr>
      <t xml:space="preserve">20260612|SND|Bag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</si>
  <si>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20260612|SND|Sticker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</si>
  <si>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20260612|SND|Print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</si>
  <si>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20260612|SND|Gloves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</si>
  <si>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20260612|SND|Black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</si>
  <si>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20260612|SND|Dry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</si>
  <si>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20260612|SND|Wet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</si>
  <si>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</si>
  <si>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</si>
  <si>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</si>
  <si>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น้ำยาอเนกประสงค์</t>
    </r>
  </si>
  <si>
    <t>20260612|SND|Wake up call (Banana)</t>
  </si>
  <si>
    <t>20260612|SND|Energy Sip (Straw+Banana)</t>
  </si>
  <si>
    <t>20260612|SND|Yellow Madness (Pineapple+Mango+Passion)</t>
  </si>
  <si>
    <t>20260612|SND|Ready to Glow (Straw+Blue+Banana)</t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</si>
  <si>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</si>
  <si>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</si>
  <si>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</si>
  <si>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</si>
  <si>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20260612|SND|Biscoff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</si>
  <si>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20260612|SND|Biscoff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</si>
  <si>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</si>
  <si>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</si>
  <si>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</si>
  <si>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20260612|SND|</t>
    </r>
    <r>
      <rPr>
        <sz val="11"/>
        <color theme="1"/>
        <rFont val="DejaVu Sans"/>
        <family val="2"/>
      </rPr>
      <t>ปีโป้ลิ้นจี่</t>
    </r>
  </si>
  <si>
    <t>20260613|SND|Greek Yogurt 1kg</t>
  </si>
  <si>
    <t>20260613|SND|Yuzu</t>
  </si>
  <si>
    <t>20260613|SND|Kyoho</t>
  </si>
  <si>
    <t>20260613|SND|Mint</t>
  </si>
  <si>
    <t>20260613|SND|Vanilla</t>
  </si>
  <si>
    <t>20260613|SND|Pineapple</t>
  </si>
  <si>
    <t>20260613|SND|Biscoff</t>
  </si>
  <si>
    <t>20260613|SND|Overnight oats biscoff</t>
  </si>
  <si>
    <r>
      <rPr>
        <sz val="11"/>
        <color theme="1"/>
        <rFont val="Calibri"/>
        <family val="2"/>
        <charset val="1"/>
      </rPr>
      <t>20260613|SND|Plain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</si>
  <si>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20260613|SND|Greek Yogurt 500g</t>
  </si>
  <si>
    <t>20260613|SND|Plain Yogurt 500g</t>
  </si>
  <si>
    <t>20260613|SND|R-ACAI Bowl</t>
  </si>
  <si>
    <t>20260613|SND|S-ACAI Cup (mini)</t>
  </si>
  <si>
    <r>
      <rPr>
        <sz val="11"/>
        <color theme="1"/>
        <rFont val="Calibri"/>
        <family val="2"/>
        <charset val="1"/>
      </rPr>
      <t xml:space="preserve">20260613|SND|Softserve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</si>
  <si>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20260613|SND|Shake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</si>
  <si>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20260613|SND|Water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</si>
  <si>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</si>
  <si>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</si>
  <si>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</si>
  <si>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</si>
  <si>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</si>
  <si>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ถุงพีช</t>
    </r>
  </si>
  <si>
    <t>20260613|SND|Cornflakes Malt (M)</t>
  </si>
  <si>
    <t>20260613|SND|Granola (M)</t>
  </si>
  <si>
    <t>20260613|SND|Choc Chip Cookies</t>
  </si>
  <si>
    <t>20260613|SND|Cookies Crumbs</t>
  </si>
  <si>
    <t>20260613|SND|Oreo</t>
  </si>
  <si>
    <t>20260613|SND|Choc Chips</t>
  </si>
  <si>
    <t>20260613|SND|Cornflakes (Topping)</t>
  </si>
  <si>
    <t>20260613|SND|Granola (Topping)</t>
  </si>
  <si>
    <t>20260613|SND|Almond</t>
  </si>
  <si>
    <t>20260613|SND|Pecan</t>
  </si>
  <si>
    <t>20260613|SND|Walnut</t>
  </si>
  <si>
    <t>20260613|SND|Coconut Chips</t>
  </si>
  <si>
    <t>20260613|SND|Chia Seed</t>
  </si>
  <si>
    <t>20260613|SND|Flax Seed</t>
  </si>
  <si>
    <t>20260613|SND|Cacao Nibs</t>
  </si>
  <si>
    <t>20260613|SND|Grape Jelly</t>
  </si>
  <si>
    <t>20260613|SND|Honey Jelly</t>
  </si>
  <si>
    <t>20260613|SND|Strawberry (250g)</t>
  </si>
  <si>
    <t>20260613|SND|Strawberry (500g)</t>
  </si>
  <si>
    <t>20260613|SND|Blueberry (125g)</t>
  </si>
  <si>
    <t>20260613|SND|Blueberry (300g)</t>
  </si>
  <si>
    <t>20260613|SND|Blueberry (500g)</t>
  </si>
  <si>
    <t>20260613|SND|Apple Cinnamon</t>
  </si>
  <si>
    <t>20260613|SND|Banana</t>
  </si>
  <si>
    <t>20260613|SND|Honey</t>
  </si>
  <si>
    <t>20260613|SND|Caramel</t>
  </si>
  <si>
    <t>20260613|SND|Peanut Butter Sauce</t>
  </si>
  <si>
    <t>20260613|SND|Cup P (5oz)</t>
  </si>
  <si>
    <t>20260613|SND|Cup S (9oz)</t>
  </si>
  <si>
    <t>20260613|SND|Small Bowl</t>
  </si>
  <si>
    <t>20260613|SND|Cup (14oz)</t>
  </si>
  <si>
    <t>20260613|SND|Cup 3oz (Topping)</t>
  </si>
  <si>
    <t>20260613|SND|Cup+Lid (Big) 3oz</t>
  </si>
  <si>
    <t>20260613|SND|Cup+Lid (Small) 1oz</t>
  </si>
  <si>
    <t>20260613|SND|Bowl Lid</t>
  </si>
  <si>
    <t>20260613|SND|Smoothies Lid</t>
  </si>
  <si>
    <t>20260613|SND|Lid S (92)</t>
  </si>
  <si>
    <t>20260613|SND|Lid Top / Lid P (75)</t>
  </si>
  <si>
    <t>20260613|SND|Wood Spoon in bag</t>
  </si>
  <si>
    <t>20260613|SND|Wood Spoon</t>
  </si>
  <si>
    <r>
      <rPr>
        <sz val="11"/>
        <color theme="1"/>
        <rFont val="Calibri"/>
        <family val="2"/>
        <charset val="1"/>
      </rPr>
      <t xml:space="preserve">20260613|SND|Tester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</si>
  <si>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20260613|SND|Short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</si>
  <si>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20260613|SND|Straw/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</si>
  <si>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20260613|SND|Straw/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</si>
  <si>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20260613|SND|Fail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</si>
  <si>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</si>
  <si>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</si>
  <si>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</si>
  <si>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</si>
  <si>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</si>
  <si>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</si>
  <si>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20260613|SND|Zip Bag Small / </t>
    </r>
    <r>
      <rPr>
        <sz val="11"/>
        <color theme="1"/>
        <rFont val="DejaVu Sans"/>
        <family val="2"/>
      </rPr>
      <t>ถุงซิป</t>
    </r>
  </si>
  <si>
    <t>20260613|SND|Bag 4x14</t>
  </si>
  <si>
    <t>20260613|SND|Bag 6x14</t>
  </si>
  <si>
    <t>20260613|SND|Bag 8x14</t>
  </si>
  <si>
    <t>20260613|SND|Bag 9x14</t>
  </si>
  <si>
    <r>
      <rPr>
        <sz val="11"/>
        <color theme="1"/>
        <rFont val="Calibri"/>
        <family val="2"/>
        <charset val="1"/>
      </rPr>
      <t xml:space="preserve">20260613|SND|Bag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</si>
  <si>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20260613|SND|Sticker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</si>
  <si>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20260613|SND|Gloves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</si>
  <si>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20260613|SND|Black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</si>
  <si>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20260613|SND|Dry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</si>
  <si>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20260613|SND|Wet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</si>
  <si>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20260613|SND|Tissue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</si>
  <si>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</si>
  <si>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</si>
  <si>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</si>
  <si>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น้ำยาอเนกประสงค์</t>
    </r>
  </si>
  <si>
    <t>20260613|SND|Wake up call (Banana)</t>
  </si>
  <si>
    <t>20260613|SND|Energy Sip (Straw+Banana)</t>
  </si>
  <si>
    <t>20260613|SND|Yellow Madness (Pineapple+Mango+Passion)</t>
  </si>
  <si>
    <t>20260613|SND|Ready to Glow (Straw+Blue+Banana)</t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</si>
  <si>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</si>
  <si>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</si>
  <si>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</si>
  <si>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</si>
  <si>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20260613|SND|Biscoff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</si>
  <si>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20260613|SND|Biscoff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</si>
  <si>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</si>
  <si>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</si>
  <si>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</si>
  <si>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20260613|SND|</t>
    </r>
    <r>
      <rPr>
        <sz val="11"/>
        <color theme="1"/>
        <rFont val="DejaVu Sans"/>
        <family val="2"/>
      </rPr>
      <t>ปีโป้ลิ้นจี่</t>
    </r>
  </si>
  <si>
    <t>20260615|SND|Greek Yogurt 1kg</t>
  </si>
  <si>
    <t>เสีย</t>
  </si>
  <si>
    <t>20260615|SND|Yuzu</t>
  </si>
  <si>
    <t>20260615|SND|Kyoho</t>
  </si>
  <si>
    <t>20260615|SND|Mint</t>
  </si>
  <si>
    <t>20260615|SND|Vanilla</t>
  </si>
  <si>
    <t>20260615|SND|Pineapple</t>
  </si>
  <si>
    <t>20260615|SND|Biscoff</t>
  </si>
  <si>
    <t>20260615|SND|Overnight oats biscoff</t>
  </si>
  <si>
    <r>
      <rPr>
        <sz val="11"/>
        <color theme="1"/>
        <rFont val="Calibri"/>
        <family val="2"/>
        <charset val="1"/>
      </rPr>
      <t>20260615|SND|Plain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</si>
  <si>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20260615|SND|Greek Yogurt 500g</t>
  </si>
  <si>
    <t>20260615|SND|Plain Yogurt 500g</t>
  </si>
  <si>
    <t>20260615|SND|R-ACAI Bowl</t>
  </si>
  <si>
    <t>20260615|SND|S-ACAI Cup (mini)</t>
  </si>
  <si>
    <r>
      <rPr>
        <sz val="11"/>
        <color theme="1"/>
        <rFont val="Calibri"/>
        <family val="2"/>
        <charset val="1"/>
      </rPr>
      <t xml:space="preserve">20260615|SND|Softserve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</si>
  <si>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20260615|SND|Shake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</si>
  <si>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20260615|SND|Water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</si>
  <si>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</si>
  <si>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</si>
  <si>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</si>
  <si>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</si>
  <si>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</si>
  <si>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ถุงพีช</t>
    </r>
  </si>
  <si>
    <t>20260615|SND|Cornflakes Malt (M)</t>
  </si>
  <si>
    <t>20260615|SND|Granola (M)</t>
  </si>
  <si>
    <t>20260615|SND|Choc Chip Cookies</t>
  </si>
  <si>
    <t>20260615|SND|Cookies Crumbs</t>
  </si>
  <si>
    <t>20260615|SND|Oreo</t>
  </si>
  <si>
    <t>20260615|SND|Choc Chips</t>
  </si>
  <si>
    <t>20260615|SND|Cornflakes (Topping)</t>
  </si>
  <si>
    <t>20260615|SND|Granola (Topping)</t>
  </si>
  <si>
    <t>20260615|SND|Almond</t>
  </si>
  <si>
    <t>20260615|SND|Pecan</t>
  </si>
  <si>
    <t>20260615|SND|Walnut</t>
  </si>
  <si>
    <t>20260615|SND|Coconut Chips</t>
  </si>
  <si>
    <t>20260615|SND|Chia Seed</t>
  </si>
  <si>
    <t>20260615|SND|Flax Seed</t>
  </si>
  <si>
    <t>20260615|SND|Cacao Nibs</t>
  </si>
  <si>
    <t>20260615|SND|Grape Jelly</t>
  </si>
  <si>
    <t>20260615|SND|Honey Jelly</t>
  </si>
  <si>
    <t>20260615|SND|Strawberry (250g)</t>
  </si>
  <si>
    <t>20260615|SND|Strawberry (500g)</t>
  </si>
  <si>
    <t>20260615|SND|Blueberry (125g)</t>
  </si>
  <si>
    <t>20260615|SND|Blueberry (300g)</t>
  </si>
  <si>
    <t>20260615|SND|Blueberry (500g)</t>
  </si>
  <si>
    <t>20260615|SND|Apple Cinnamon</t>
  </si>
  <si>
    <t>20260615|SND|Banana</t>
  </si>
  <si>
    <t>20260615|SND|Honey</t>
  </si>
  <si>
    <t>20260615|SND|Caramel</t>
  </si>
  <si>
    <t>20260615|SND|Peanut Butter Sauce</t>
  </si>
  <si>
    <t>20260615|SND|Cup P (5oz)</t>
  </si>
  <si>
    <t>20260615|SND|Cup S (9oz)</t>
  </si>
  <si>
    <t>20260615|SND|Small Bowl</t>
  </si>
  <si>
    <t>20260615|SND|Cup (14oz)</t>
  </si>
  <si>
    <t>20260615|SND|Cup 3oz (Topping)</t>
  </si>
  <si>
    <t>20260615|SND|Cup+Lid (Big) 3oz</t>
  </si>
  <si>
    <t>20260615|SND|Cup+Lid (Small) 1oz</t>
  </si>
  <si>
    <t>20260615|SND|Bowl Lid</t>
  </si>
  <si>
    <t>20260615|SND|Smoothies Lid</t>
  </si>
  <si>
    <t>20260615|SND|Lid S (92)</t>
  </si>
  <si>
    <t>20260615|SND|Lid Top / Lid P (75)</t>
  </si>
  <si>
    <t>20260615|SND|Wood Spoon in bag</t>
  </si>
  <si>
    <t>20260615|SND|Wood Spoon</t>
  </si>
  <si>
    <r>
      <rPr>
        <sz val="11"/>
        <color theme="1"/>
        <rFont val="Calibri"/>
        <family val="2"/>
        <charset val="1"/>
      </rPr>
      <t xml:space="preserve">20260615|SND|Tester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</si>
  <si>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20260615|SND|Short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</si>
  <si>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20260615|SND|Straw/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</si>
  <si>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20260615|SND|Straw/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</si>
  <si>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20260615|SND|Fail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</si>
  <si>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</si>
  <si>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</si>
  <si>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</si>
  <si>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</si>
  <si>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</si>
  <si>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</si>
  <si>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20260615|SND|Zip Bag Small / </t>
    </r>
    <r>
      <rPr>
        <sz val="11"/>
        <color theme="1"/>
        <rFont val="DejaVu Sans"/>
        <family val="2"/>
      </rPr>
      <t>ถุงซิป</t>
    </r>
  </si>
  <si>
    <t>20260615|SND|Bag 4x14</t>
  </si>
  <si>
    <t>20260615|SND|Bag 6x14</t>
  </si>
  <si>
    <t>20260615|SND|Bag 8x14</t>
  </si>
  <si>
    <t>20260615|SND|Bag 9x14</t>
  </si>
  <si>
    <r>
      <rPr>
        <sz val="11"/>
        <color theme="1"/>
        <rFont val="Calibri"/>
        <family val="2"/>
        <charset val="1"/>
      </rPr>
      <t xml:space="preserve">20260615|SND|Bag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</si>
  <si>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20260615|SND|Sticker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</si>
  <si>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20260615|SND|Print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</si>
  <si>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20260615|SND|Gloves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</si>
  <si>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20260615|SND|Black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</si>
  <si>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20260615|SND|Wet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</si>
  <si>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20260615|SND|Tissue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</si>
  <si>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</si>
  <si>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</si>
  <si>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</si>
  <si>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</si>
  <si>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น้ำยาล้างเครื่องไอดิม</t>
    </r>
  </si>
  <si>
    <t>20260615|SND|Wake up call (Banana)</t>
  </si>
  <si>
    <t>20260615|SND|Energy Sip (Straw+Banana)</t>
  </si>
  <si>
    <t>20260615|SND|Yellow Madness (Pineapple+Mango+Passion)</t>
  </si>
  <si>
    <t>20260615|SND|Ready to Glow (Straw+Blue+Banana)</t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</si>
  <si>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</si>
  <si>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</si>
  <si>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</si>
  <si>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</si>
  <si>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20260615|SND|Biscoff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</si>
  <si>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20260615|SND|Biscoff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</si>
  <si>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</si>
  <si>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</si>
  <si>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</si>
  <si>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20260615|SND|</t>
    </r>
    <r>
      <rPr>
        <sz val="11"/>
        <color theme="1"/>
        <rFont val="DejaVu Sans"/>
        <family val="2"/>
      </rPr>
      <t>ปีโป้ลิ้นจี่</t>
    </r>
  </si>
  <si>
    <t>20260616|SND|Greek Yogurt 1kg</t>
  </si>
  <si>
    <t>20260616|SND|Yuzu</t>
  </si>
  <si>
    <t>20260616|SND|Kyoho</t>
  </si>
  <si>
    <t>20260616|SND|Mint</t>
  </si>
  <si>
    <t>20260616|SND|Vanilla</t>
  </si>
  <si>
    <t>20260616|SND|Pineapple</t>
  </si>
  <si>
    <t>20260616|SND|Biscoff</t>
  </si>
  <si>
    <t>20260616|SND|Overnight oats biscoff</t>
  </si>
  <si>
    <r>
      <rPr>
        <sz val="11"/>
        <color theme="1"/>
        <rFont val="Calibri"/>
        <family val="2"/>
        <charset val="1"/>
      </rPr>
      <t>20260616|SND|Plain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</si>
  <si>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20260616|SND|Greek Yogurt 500g</t>
  </si>
  <si>
    <t>20260616|SND|Plain Yogurt 500g</t>
  </si>
  <si>
    <t>20260616|SND|R-ACAI Bowl</t>
  </si>
  <si>
    <t>20260616|SND|S-ACAI Cup (mini)</t>
  </si>
  <si>
    <r>
      <rPr>
        <sz val="11"/>
        <color theme="1"/>
        <rFont val="Calibri"/>
        <family val="2"/>
        <charset val="1"/>
      </rPr>
      <t xml:space="preserve">20260616|SND|Softserve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</si>
  <si>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20260616|SND|Shake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</si>
  <si>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20260616|SND|Water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</si>
  <si>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</si>
  <si>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</si>
  <si>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</si>
  <si>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</si>
  <si>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</si>
  <si>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ถุงพีช</t>
    </r>
  </si>
  <si>
    <t>20260616|SND|Cornflakes Malt (M)</t>
  </si>
  <si>
    <t>20260616|SND|Granola (M)</t>
  </si>
  <si>
    <t>20260616|SND|Choc Chip Cookies</t>
  </si>
  <si>
    <t>20260616|SND|Cookies Crumbs</t>
  </si>
  <si>
    <t>20260616|SND|Oreo</t>
  </si>
  <si>
    <t>20260616|SND|Choc Chips</t>
  </si>
  <si>
    <t>20260616|SND|Cornflakes (Topping)</t>
  </si>
  <si>
    <t>20260616|SND|Granola (Topping)</t>
  </si>
  <si>
    <t>20260616|SND|Almond</t>
  </si>
  <si>
    <t>20260616|SND|Pecan</t>
  </si>
  <si>
    <t>20260616|SND|Walnut</t>
  </si>
  <si>
    <t>20260616|SND|Coconut Chips</t>
  </si>
  <si>
    <t>20260616|SND|Chia Seed</t>
  </si>
  <si>
    <t>20260616|SND|Flax Seed</t>
  </si>
  <si>
    <t>20260616|SND|Cacao Nibs</t>
  </si>
  <si>
    <t>20260616|SND|Grape Jelly</t>
  </si>
  <si>
    <t>20260616|SND|Honey Jelly</t>
  </si>
  <si>
    <t>20260616|SND|Strawberry (250g)</t>
  </si>
  <si>
    <t>20260616|SND|Strawberry (500g)</t>
  </si>
  <si>
    <t>20260616|SND|Blueberry (125g)</t>
  </si>
  <si>
    <t>20260616|SND|Blueberry (300g)</t>
  </si>
  <si>
    <t>20260616|SND|Blueberry (500g)</t>
  </si>
  <si>
    <t>20260616|SND|Apple Cinnamon</t>
  </si>
  <si>
    <t>20260616|SND|Banana</t>
  </si>
  <si>
    <t>20260616|SND|Honey</t>
  </si>
  <si>
    <t>20260616|SND|Caramel</t>
  </si>
  <si>
    <t>20260616|SND|Peanut Butter Sauce</t>
  </si>
  <si>
    <t>20260616|SND|Cup P (5oz)</t>
  </si>
  <si>
    <t>20260616|SND|Cup S (9oz)</t>
  </si>
  <si>
    <t>20260616|SND|Small Bowl</t>
  </si>
  <si>
    <t>20260616|SND|Cup (14oz)</t>
  </si>
  <si>
    <t>20260616|SND|Cup 3oz (Topping)</t>
  </si>
  <si>
    <t>20260616|SND|Cup+Lid (Big) 3oz</t>
  </si>
  <si>
    <t>20260616|SND|Cup+Lid (Small) 1oz</t>
  </si>
  <si>
    <t>20260616|SND|Bowl Lid</t>
  </si>
  <si>
    <t>20260616|SND|Smoothies Lid</t>
  </si>
  <si>
    <t>20260616|SND|Lid S (92)</t>
  </si>
  <si>
    <t>20260616|SND|Lid Top / Lid P (75)</t>
  </si>
  <si>
    <t>20260616|SND|Wood Spoon in bag</t>
  </si>
  <si>
    <t>20260616|SND|Wood Spoon</t>
  </si>
  <si>
    <r>
      <rPr>
        <sz val="11"/>
        <color theme="1"/>
        <rFont val="Calibri"/>
        <family val="2"/>
        <charset val="1"/>
      </rPr>
      <t xml:space="preserve">20260616|SND|Tester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</si>
  <si>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20260616|SND|Short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</si>
  <si>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20260616|SND|Straw/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</si>
  <si>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20260616|SND|Straw/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</si>
  <si>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20260616|SND|Fail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</si>
  <si>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</si>
  <si>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</si>
  <si>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</si>
  <si>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</si>
  <si>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</si>
  <si>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</si>
  <si>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20260616|SND|Zip Bag Small / </t>
    </r>
    <r>
      <rPr>
        <sz val="11"/>
        <color theme="1"/>
        <rFont val="DejaVu Sans"/>
        <family val="2"/>
      </rPr>
      <t>ถุงซิป</t>
    </r>
  </si>
  <si>
    <t>20260616|SND|Bag 4x14</t>
  </si>
  <si>
    <t>20260616|SND|Bag 6x14</t>
  </si>
  <si>
    <t>20260616|SND|Bag 8x14</t>
  </si>
  <si>
    <t>20260616|SND|Bag 9x14</t>
  </si>
  <si>
    <r>
      <rPr>
        <sz val="11"/>
        <color theme="1"/>
        <rFont val="Calibri"/>
        <family val="2"/>
        <charset val="1"/>
      </rPr>
      <t xml:space="preserve">20260616|SND|Bag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</si>
  <si>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20260616|SND|Sticker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</si>
  <si>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20260616|SND|Print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</si>
  <si>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20260616|SND|Gloves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</si>
  <si>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20260616|SND|Black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</si>
  <si>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20260616|SND|Dry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</si>
  <si>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20260616|SND|Wet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</si>
  <si>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</si>
  <si>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</si>
  <si>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</si>
  <si>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น้ำยาอเนกประสงค์</t>
    </r>
  </si>
  <si>
    <t>20260616|SND|Wake up call (Banana)</t>
  </si>
  <si>
    <t>20260616|SND|Energy Sip (Straw+Banana)</t>
  </si>
  <si>
    <t>20260616|SND|Yellow Madness (Pineapple+Mango+Passion)</t>
  </si>
  <si>
    <t>20260616|SND|Ready to Glow (Straw+Blue+Banana)</t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</si>
  <si>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</si>
  <si>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</si>
  <si>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</si>
  <si>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</si>
  <si>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20260616|SND|Biscoff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</si>
  <si>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20260616|SND|Biscoff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</si>
  <si>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</si>
  <si>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</si>
  <si>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</si>
  <si>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20260616|SND|</t>
    </r>
    <r>
      <rPr>
        <sz val="11"/>
        <color theme="1"/>
        <rFont val="DejaVu Sans"/>
        <family val="2"/>
      </rPr>
      <t>ปีโป้ลิ้นจี่</t>
    </r>
  </si>
  <si>
    <t>20260617|SND|Greek Yogurt 1kg</t>
  </si>
  <si>
    <t>20260617|SND|Yuzu</t>
  </si>
  <si>
    <t>20260617|SND|Kyoho</t>
  </si>
  <si>
    <t>20260617|SND|Mint</t>
  </si>
  <si>
    <t>20260617|SND|Vanilla</t>
  </si>
  <si>
    <t>20260617|SND|Pineapple</t>
  </si>
  <si>
    <t>20260617|SND|Biscoff</t>
  </si>
  <si>
    <t>20260617|SND|Overnight oats biscoff</t>
  </si>
  <si>
    <r>
      <rPr>
        <sz val="11"/>
        <color theme="1"/>
        <rFont val="Calibri"/>
        <family val="2"/>
        <charset val="1"/>
      </rPr>
      <t>20260617|SND|Plain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</si>
  <si>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20260617|SND|Greek Yogurt 500g</t>
  </si>
  <si>
    <t>20260617|SND|Plain Yogurt 500g</t>
  </si>
  <si>
    <t>20260617|SND|R-ACAI Bowl</t>
  </si>
  <si>
    <t>20260617|SND|S-ACAI Cup (mini)</t>
  </si>
  <si>
    <r>
      <rPr>
        <sz val="11"/>
        <color theme="1"/>
        <rFont val="Calibri"/>
        <family val="2"/>
        <charset val="1"/>
      </rPr>
      <t xml:space="preserve">20260617|SND|Softserve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</si>
  <si>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20260617|SND|Shake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</si>
  <si>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20260617|SND|Water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</si>
  <si>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</si>
  <si>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</si>
  <si>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</si>
  <si>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</si>
  <si>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</si>
  <si>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ถุงพีช</t>
    </r>
  </si>
  <si>
    <t>20260617|SND|Cornflakes Malt (M)</t>
  </si>
  <si>
    <t>20260617|SND|Granola (M)</t>
  </si>
  <si>
    <t>20260617|SND|Choc Chip Cookies</t>
  </si>
  <si>
    <t>20260617|SND|Cookies Crumbs</t>
  </si>
  <si>
    <t>20260617|SND|Oreo</t>
  </si>
  <si>
    <t>20260617|SND|Choc Chips</t>
  </si>
  <si>
    <t>20260617|SND|Cornflakes (Topping)</t>
  </si>
  <si>
    <t>20260617|SND|Granola (Topping)</t>
  </si>
  <si>
    <t>20260617|SND|Almond</t>
  </si>
  <si>
    <t>20260617|SND|Pecan</t>
  </si>
  <si>
    <t>20260617|SND|Walnut</t>
  </si>
  <si>
    <t>20260617|SND|Coconut Chips</t>
  </si>
  <si>
    <t>20260617|SND|Chia Seed</t>
  </si>
  <si>
    <t>20260617|SND|Flax Seed</t>
  </si>
  <si>
    <t>20260617|SND|Cacao Nibs</t>
  </si>
  <si>
    <t>20260617|SND|Grape Jelly</t>
  </si>
  <si>
    <t>20260617|SND|Honey Jelly</t>
  </si>
  <si>
    <t>20260617|SND|Strawberry (250g)</t>
  </si>
  <si>
    <t>20260617|SND|Strawberry (500g)</t>
  </si>
  <si>
    <t>20260617|SND|Blueberry (125g)</t>
  </si>
  <si>
    <t>20260617|SND|Blueberry (300g)</t>
  </si>
  <si>
    <t>20260617|SND|Blueberry (500g)</t>
  </si>
  <si>
    <t>20260617|SND|Apple Cinnamon</t>
  </si>
  <si>
    <t>20260617|SND|Banana</t>
  </si>
  <si>
    <t>20260617|SND|Honey</t>
  </si>
  <si>
    <t>20260617|SND|Caramel</t>
  </si>
  <si>
    <t>20260617|SND|Peanut Butter Sauce</t>
  </si>
  <si>
    <t>20260617|SND|Cup P (5oz)</t>
  </si>
  <si>
    <t>20260617|SND|Cup S (9oz)</t>
  </si>
  <si>
    <t>20260617|SND|Small Bowl</t>
  </si>
  <si>
    <t>20260617|SND|Cup (14oz)</t>
  </si>
  <si>
    <t>20260617|SND|Cup 3oz (Topping)</t>
  </si>
  <si>
    <t>20260617|SND|Cup+Lid (Big) 3oz</t>
  </si>
  <si>
    <t>20260617|SND|Cup+Lid (Small) 1oz</t>
  </si>
  <si>
    <t>20260617|SND|Bowl Lid</t>
  </si>
  <si>
    <t>20260617|SND|Smoothies Lid</t>
  </si>
  <si>
    <t>20260617|SND|Lid S (92)</t>
  </si>
  <si>
    <t>20260617|SND|Lid Top / Lid P (75)</t>
  </si>
  <si>
    <t>20260617|SND|Wood Spoon in bag</t>
  </si>
  <si>
    <t>20260617|SND|Wood Spoon</t>
  </si>
  <si>
    <r>
      <rPr>
        <sz val="11"/>
        <color theme="1"/>
        <rFont val="Calibri"/>
        <family val="2"/>
        <charset val="1"/>
      </rPr>
      <t xml:space="preserve">20260617|SND|Tester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</si>
  <si>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20260617|SND|Short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</si>
  <si>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20260617|SND|Straw/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</si>
  <si>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20260617|SND|Straw/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</si>
  <si>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20260617|SND|Fail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</si>
  <si>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</si>
  <si>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</si>
  <si>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</si>
  <si>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</si>
  <si>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</si>
  <si>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</si>
  <si>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20260617|SND|Zip Bag Small / </t>
    </r>
    <r>
      <rPr>
        <sz val="11"/>
        <color theme="1"/>
        <rFont val="DejaVu Sans"/>
        <family val="2"/>
      </rPr>
      <t>ถุงซิป</t>
    </r>
  </si>
  <si>
    <t>20260617|SND|Bag 4x14</t>
  </si>
  <si>
    <t>20260617|SND|Bag 6x14</t>
  </si>
  <si>
    <t>20260617|SND|Bag 8x14</t>
  </si>
  <si>
    <t>20260617|SND|Bag 9x14</t>
  </si>
  <si>
    <r>
      <rPr>
        <sz val="11"/>
        <color theme="1"/>
        <rFont val="Calibri"/>
        <family val="2"/>
        <charset val="1"/>
      </rPr>
      <t xml:space="preserve">20260617|SND|Bag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</si>
  <si>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20260617|SND|Sticker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</si>
  <si>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20260617|SND|Print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</si>
  <si>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20260617|SND|Gloves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</si>
  <si>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20260617|SND|Black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</si>
  <si>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20260617|SND|Dry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</si>
  <si>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20260617|SND|Wet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</si>
  <si>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20260617|SND|Tissue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</si>
  <si>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</si>
  <si>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</si>
  <si>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</si>
  <si>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</si>
  <si>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น้ำยาล้างเครื่องไอดิม</t>
    </r>
  </si>
  <si>
    <t>20260617|SND|Wake up call (Banana)</t>
  </si>
  <si>
    <t>20260617|SND|Energy Sip (Straw+Banana)</t>
  </si>
  <si>
    <t>20260617|SND|Yellow Madness (Pineapple+Mango+Passion)</t>
  </si>
  <si>
    <t>20260617|SND|Ready to Glow (Straw+Blue+Banana)</t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</si>
  <si>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</si>
  <si>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</si>
  <si>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</si>
  <si>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</si>
  <si>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20260617|SND|Biscoff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</si>
  <si>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20260617|SND|Biscoff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</si>
  <si>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</si>
  <si>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</si>
  <si>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</si>
  <si>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20260617|SND|</t>
    </r>
    <r>
      <rPr>
        <sz val="11"/>
        <color theme="1"/>
        <rFont val="DejaVu Sans"/>
        <family val="2"/>
      </rPr>
      <t>ปีโป้ลิ้นจี่</t>
    </r>
  </si>
  <si>
    <t>20260618|SND|Greek Yogurt 1kg</t>
  </si>
  <si>
    <t>20260618|SND|Yuzu</t>
  </si>
  <si>
    <t>20260618|SND|Kyoho</t>
  </si>
  <si>
    <t>20260618|SND|Mint</t>
  </si>
  <si>
    <t>20260618|SND|Vanilla</t>
  </si>
  <si>
    <t>20260618|SND|Pineapple</t>
  </si>
  <si>
    <t>20260618|SND|Biscoff</t>
  </si>
  <si>
    <t>20260618|SND|Overnight oats biscoff</t>
  </si>
  <si>
    <r>
      <rPr>
        <sz val="11"/>
        <color theme="1"/>
        <rFont val="Calibri"/>
        <family val="2"/>
        <charset val="1"/>
      </rPr>
      <t>20260618|SND|Plain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</si>
  <si>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20260618|SND|Greek Yogurt 500g</t>
  </si>
  <si>
    <t>20260618|SND|Plain Yogurt 500g</t>
  </si>
  <si>
    <t>20260618|SND|R-ACAI Bowl</t>
  </si>
  <si>
    <t>20260618|SND|S-ACAI Cup (mini)</t>
  </si>
  <si>
    <r>
      <rPr>
        <sz val="11"/>
        <color theme="1"/>
        <rFont val="Calibri"/>
        <family val="2"/>
        <charset val="1"/>
      </rPr>
      <t xml:space="preserve">20260618|SND|Softserve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</si>
  <si>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20260618|SND|Shake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</si>
  <si>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20260618|SND|Water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</si>
  <si>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</si>
  <si>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</si>
  <si>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</si>
  <si>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</si>
  <si>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</si>
  <si>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ถุงพีช</t>
    </r>
  </si>
  <si>
    <t>20260618|SND|Cornflakes Malt (M)</t>
  </si>
  <si>
    <t>20260618|SND|Granola (M)</t>
  </si>
  <si>
    <t>20260618|SND|Choc Chip Cookies</t>
  </si>
  <si>
    <t>20260618|SND|Cookies Crumbs</t>
  </si>
  <si>
    <t>20260618|SND|Oreo</t>
  </si>
  <si>
    <t>20260618|SND|Choc Chips</t>
  </si>
  <si>
    <t>20260618|SND|Cornflakes (Topping)</t>
  </si>
  <si>
    <t>20260618|SND|Granola (Topping)</t>
  </si>
  <si>
    <t>20260618|SND|Almond</t>
  </si>
  <si>
    <t>20260618|SND|Pecan</t>
  </si>
  <si>
    <t>20260618|SND|Walnut</t>
  </si>
  <si>
    <t>20260618|SND|Coconut Chips</t>
  </si>
  <si>
    <t>20260618|SND|Chia Seed</t>
  </si>
  <si>
    <t>20260618|SND|Flax Seed</t>
  </si>
  <si>
    <t>20260618|SND|Cacao Nibs</t>
  </si>
  <si>
    <t>20260618|SND|Grape Jelly</t>
  </si>
  <si>
    <t>20260618|SND|Honey Jelly</t>
  </si>
  <si>
    <t>20260618|SND|Strawberry (250g)</t>
  </si>
  <si>
    <t>20260618|SND|Strawberry (500g)</t>
  </si>
  <si>
    <t>20260618|SND|Blueberry (125g)</t>
  </si>
  <si>
    <t>20260618|SND|Blueberry (300g)</t>
  </si>
  <si>
    <t>20260618|SND|Blueberry (500g)</t>
  </si>
  <si>
    <t>20260618|SND|Apple Cinnamon</t>
  </si>
  <si>
    <t>20260618|SND|Banana</t>
  </si>
  <si>
    <t>20260618|SND|Honey</t>
  </si>
  <si>
    <t>20260618|SND|Caramel</t>
  </si>
  <si>
    <t>20260618|SND|Peanut Butter Sauce</t>
  </si>
  <si>
    <t>20260618|SND|Cup P (5oz)</t>
  </si>
  <si>
    <t>20260618|SND|Cup S (9oz)</t>
  </si>
  <si>
    <t>20260618|SND|Small Bowl</t>
  </si>
  <si>
    <t>20260618|SND|Cup (14oz)</t>
  </si>
  <si>
    <t>20260618|SND|Cup 3oz (Topping)</t>
  </si>
  <si>
    <t>20260618|SND|Cup+Lid (Big) 3oz</t>
  </si>
  <si>
    <t>20260618|SND|Cup+Lid (Small) 1oz</t>
  </si>
  <si>
    <t>20260618|SND|Bowl Lid</t>
  </si>
  <si>
    <t>20260618|SND|Smoothies Lid</t>
  </si>
  <si>
    <t>20260618|SND|Lid S (92)</t>
  </si>
  <si>
    <t>20260618|SND|Lid Top / Lid P (75)</t>
  </si>
  <si>
    <t>20260618|SND|Wood Spoon in bag</t>
  </si>
  <si>
    <t>20260618|SND|Wood Spoon</t>
  </si>
  <si>
    <r>
      <rPr>
        <sz val="11"/>
        <color theme="1"/>
        <rFont val="Calibri"/>
        <family val="2"/>
        <charset val="1"/>
      </rPr>
      <t xml:space="preserve">20260618|SND|Tester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</si>
  <si>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20260618|SND|Short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</si>
  <si>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20260618|SND|Straw/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</si>
  <si>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20260618|SND|Straw/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</si>
  <si>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20260618|SND|Fail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</si>
  <si>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</si>
  <si>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</si>
  <si>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</si>
  <si>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</si>
  <si>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</si>
  <si>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</si>
  <si>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20260618|SND|Zip Bag Small / </t>
    </r>
    <r>
      <rPr>
        <sz val="11"/>
        <color theme="1"/>
        <rFont val="DejaVu Sans"/>
        <family val="2"/>
      </rPr>
      <t>ถุงซิป</t>
    </r>
  </si>
  <si>
    <t>20260618|SND|Bag 4x14</t>
  </si>
  <si>
    <t>20260618|SND|Bag 6x14</t>
  </si>
  <si>
    <t>20260618|SND|Bag 8x14</t>
  </si>
  <si>
    <t>20260618|SND|Bag 9x14</t>
  </si>
  <si>
    <r>
      <rPr>
        <sz val="11"/>
        <color theme="1"/>
        <rFont val="Calibri"/>
        <family val="2"/>
        <charset val="1"/>
      </rPr>
      <t xml:space="preserve">20260618|SND|Bag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</si>
  <si>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20260618|SND|Sticker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</si>
  <si>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20260618|SND|Print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</si>
  <si>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20260618|SND|Gloves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</si>
  <si>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20260618|SND|Black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</si>
  <si>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20260618|SND|Dry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</si>
  <si>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20260618|SND|Wet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</si>
  <si>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</si>
  <si>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</si>
  <si>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</si>
  <si>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น้ำยาอเนกประสงค์</t>
    </r>
  </si>
  <si>
    <t>20260618|SND|Wake up call (Banana)</t>
  </si>
  <si>
    <t>20260618|SND|Energy Sip (Straw+Banana)</t>
  </si>
  <si>
    <t>20260618|SND|Yellow Madness (Pineapple+Mango+Passion)</t>
  </si>
  <si>
    <t>20260618|SND|Ready to Glow (Straw+Blue+Banana)</t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</si>
  <si>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</si>
  <si>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</si>
  <si>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</si>
  <si>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</si>
  <si>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20260618|SND|Biscoff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</si>
  <si>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</si>
  <si>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</si>
  <si>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</si>
  <si>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20260618|SND|</t>
    </r>
    <r>
      <rPr>
        <sz val="11"/>
        <color theme="1"/>
        <rFont val="DejaVu Sans"/>
        <family val="2"/>
      </rPr>
      <t>ปีโป้ลิ้นจี่</t>
    </r>
  </si>
  <si>
    <t>20260619|SND|Greek Yogurt 1kg</t>
  </si>
  <si>
    <t>20260619|SND|Yuzu</t>
  </si>
  <si>
    <t>20260619|SND|Kyoho</t>
  </si>
  <si>
    <t>20260619|SND|Mint</t>
  </si>
  <si>
    <t>20260619|SND|Vanilla</t>
  </si>
  <si>
    <t>20260619|SND|Pineapple</t>
  </si>
  <si>
    <t>20260619|SND|Biscoff</t>
  </si>
  <si>
    <t>20260619|SND|Overnight oats biscoff</t>
  </si>
  <si>
    <r>
      <rPr>
        <sz val="11"/>
        <color theme="1"/>
        <rFont val="Calibri"/>
        <family val="2"/>
        <charset val="1"/>
      </rPr>
      <t>20260619|SND|Plain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</si>
  <si>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20260619|SND|Greek Yogurt 500g</t>
  </si>
  <si>
    <t>20260619|SND|Plain Yogurt 500g</t>
  </si>
  <si>
    <t>20260619|SND|R-ACAI Bowl</t>
  </si>
  <si>
    <t>20260619|SND|S-ACAI Cup (mini)</t>
  </si>
  <si>
    <r>
      <rPr>
        <sz val="11"/>
        <color theme="1"/>
        <rFont val="Calibri"/>
        <family val="2"/>
        <charset val="1"/>
      </rPr>
      <t xml:space="preserve">20260619|SND|Softserve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</si>
  <si>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20260619|SND|Shake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</si>
  <si>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20260619|SND|Water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</si>
  <si>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</si>
  <si>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</si>
  <si>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</si>
  <si>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</si>
  <si>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</si>
  <si>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ถุงพีช</t>
    </r>
  </si>
  <si>
    <t>20260619|SND|Cornflakes Malt (M)</t>
  </si>
  <si>
    <t>20260619|SND|Granola (M)</t>
  </si>
  <si>
    <t>20260619|SND|Choc Chip Cookies</t>
  </si>
  <si>
    <t>20260619|SND|Cookies Crumbs</t>
  </si>
  <si>
    <t>20260619|SND|Oreo</t>
  </si>
  <si>
    <t>20260619|SND|Choc Chips</t>
  </si>
  <si>
    <t>20260619|SND|Cornflakes (Topping)</t>
  </si>
  <si>
    <t>20260619|SND|Granola (Topping)</t>
  </si>
  <si>
    <t>20260619|SND|Almond</t>
  </si>
  <si>
    <t>20260619|SND|Pecan</t>
  </si>
  <si>
    <t>20260619|SND|Walnut</t>
  </si>
  <si>
    <t>20260619|SND|Coconut Chips</t>
  </si>
  <si>
    <t>20260619|SND|Chia Seed</t>
  </si>
  <si>
    <t>20260619|SND|Flax Seed</t>
  </si>
  <si>
    <t>20260619|SND|Cacao Nibs</t>
  </si>
  <si>
    <t>20260619|SND|Grape Jelly</t>
  </si>
  <si>
    <t>20260619|SND|Honey Jelly</t>
  </si>
  <si>
    <t>20260619|SND|Strawberry (250g)</t>
  </si>
  <si>
    <t>20260619|SND|Strawberry (500g)</t>
  </si>
  <si>
    <t>20260619|SND|Blueberry (125g)</t>
  </si>
  <si>
    <t>20260619|SND|Blueberry (300g)</t>
  </si>
  <si>
    <t>20260619|SND|Blueberry (500g)</t>
  </si>
  <si>
    <t>20260619|SND|Apple Cinnamon</t>
  </si>
  <si>
    <t>20260619|SND|Banana</t>
  </si>
  <si>
    <t>20260619|SND|Honey</t>
  </si>
  <si>
    <t>20260619|SND|Caramel</t>
  </si>
  <si>
    <t>20260619|SND|Peanut Butter Sauce</t>
  </si>
  <si>
    <t>20260619|SND|Cup P (5oz)</t>
  </si>
  <si>
    <t>20260619|SND|Cup S (9oz)</t>
  </si>
  <si>
    <t>20260619|SND|Small Bowl</t>
  </si>
  <si>
    <t>20260619|SND|Cup (14oz)</t>
  </si>
  <si>
    <t>20260619|SND|Cup 3oz (Topping)</t>
  </si>
  <si>
    <t>20260619|SND|Cup+Lid (Big) 3oz</t>
  </si>
  <si>
    <t>20260619|SND|Cup+Lid (Small) 1oz</t>
  </si>
  <si>
    <t>20260619|SND|Bowl Lid</t>
  </si>
  <si>
    <t>20260619|SND|Smoothies Lid</t>
  </si>
  <si>
    <t>20260619|SND|Lid S (92)</t>
  </si>
  <si>
    <t>20260619|SND|Lid Top / Lid P (75)</t>
  </si>
  <si>
    <t>20260619|SND|Wood Spoon in bag</t>
  </si>
  <si>
    <t>20260619|SND|Wood Spoon</t>
  </si>
  <si>
    <r>
      <rPr>
        <sz val="11"/>
        <color theme="1"/>
        <rFont val="Calibri"/>
        <family val="2"/>
        <charset val="1"/>
      </rPr>
      <t xml:space="preserve">20260619|SND|Tester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</si>
  <si>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20260619|SND|Short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</si>
  <si>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20260619|SND|Straw/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</si>
  <si>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20260619|SND|Straw/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</si>
  <si>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20260619|SND|Fail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</si>
  <si>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</si>
  <si>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</si>
  <si>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</si>
  <si>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</si>
  <si>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</si>
  <si>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</si>
  <si>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20260619|SND|Zip Bag Small / </t>
    </r>
    <r>
      <rPr>
        <sz val="11"/>
        <color theme="1"/>
        <rFont val="DejaVu Sans"/>
        <family val="2"/>
      </rPr>
      <t>ถุงซิป</t>
    </r>
  </si>
  <si>
    <t>20260619|SND|Bag 4x14</t>
  </si>
  <si>
    <t>20260619|SND|Bag 6x14</t>
  </si>
  <si>
    <t>20260619|SND|Bag 8x14</t>
  </si>
  <si>
    <t>20260619|SND|Bag 9x14</t>
  </si>
  <si>
    <r>
      <rPr>
        <sz val="11"/>
        <color theme="1"/>
        <rFont val="Calibri"/>
        <family val="2"/>
        <charset val="1"/>
      </rPr>
      <t xml:space="preserve">20260619|SND|Bag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</si>
  <si>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20260619|SND|Sticker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</si>
  <si>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20260619|SND|Print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</si>
  <si>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20260619|SND|Gloves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</si>
  <si>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20260619|SND|Black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</si>
  <si>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20260619|SND|Dry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</si>
  <si>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20260619|SND|Wet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</si>
  <si>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20260619|SND|Tissue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</si>
  <si>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</si>
  <si>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</si>
  <si>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</si>
  <si>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</si>
  <si>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น้ำยาล้างเครื่องไอดิม</t>
    </r>
  </si>
  <si>
    <t>20260619|SND|Wake up call (Banana)</t>
  </si>
  <si>
    <t>20260619|SND|Energy Sip (Straw+Banana)</t>
  </si>
  <si>
    <t>20260619|SND|Yellow Madness (Pineapple+Mango+Passion)</t>
  </si>
  <si>
    <t>20260619|SND|Ready to Glow (Straw+Blue+Banana)</t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</si>
  <si>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</si>
  <si>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</si>
  <si>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</si>
  <si>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</si>
  <si>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20260619|SND|Biscoff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</si>
  <si>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20260619|SND|Biscoff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</si>
  <si>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</si>
  <si>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</si>
  <si>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</si>
  <si>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20260619|SND|</t>
    </r>
    <r>
      <rPr>
        <sz val="11"/>
        <color theme="1"/>
        <rFont val="DejaVu Sans"/>
        <family val="2"/>
      </rPr>
      <t>ปีโป้ลิ้นจี่</t>
    </r>
  </si>
  <si>
    <t>20260620|SND|Greek Yogurt 1kg</t>
  </si>
  <si>
    <t>20260620|SND|Yuzu</t>
  </si>
  <si>
    <t>20260620|SND|Kyoho</t>
  </si>
  <si>
    <t>20260620|SND|Mint</t>
  </si>
  <si>
    <t>20260620|SND|Vanilla</t>
  </si>
  <si>
    <t>20260620|SND|Pineapple</t>
  </si>
  <si>
    <t>20260620|SND|Biscoff</t>
  </si>
  <si>
    <t>20260620|SND|Overnight oats biscoff</t>
  </si>
  <si>
    <r>
      <rPr>
        <sz val="11"/>
        <color theme="1"/>
        <rFont val="Calibri"/>
        <family val="2"/>
        <charset val="1"/>
      </rPr>
      <t>20260620|SND|Plain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</si>
  <si>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20260620|SND|Greek Yogurt 500g</t>
  </si>
  <si>
    <t>20260620|SND|Plain Yogurt 500g</t>
  </si>
  <si>
    <t>20260620|SND|R-ACAI Bowl</t>
  </si>
  <si>
    <t>20260620|SND|S-ACAI Cup (mini)</t>
  </si>
  <si>
    <r>
      <rPr>
        <sz val="11"/>
        <color theme="1"/>
        <rFont val="Calibri"/>
        <family val="2"/>
        <charset val="1"/>
      </rPr>
      <t xml:space="preserve">20260620|SND|Softserve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</si>
  <si>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20260620|SND|Shake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</si>
  <si>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20260620|SND|Peanut Butter</t>
  </si>
  <si>
    <r>
      <rPr>
        <sz val="11"/>
        <color theme="1"/>
        <rFont val="Calibri"/>
        <family val="2"/>
        <charset val="1"/>
      </rPr>
      <t xml:space="preserve">20260620|SND|Water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</si>
  <si>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</si>
  <si>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</si>
  <si>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</si>
  <si>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</si>
  <si>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</si>
  <si>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ถุงพีช</t>
    </r>
  </si>
  <si>
    <t>20260620|SND|Cornflakes Malt (M)</t>
  </si>
  <si>
    <t>20260620|SND|Granola (M)</t>
  </si>
  <si>
    <t>20260620|SND|Choc Chip Cookies</t>
  </si>
  <si>
    <t>20260620|SND|Cookies Crumbs</t>
  </si>
  <si>
    <t>20260620|SND|Oreo</t>
  </si>
  <si>
    <t>20260620|SND|Choc Chips</t>
  </si>
  <si>
    <t>20260620|SND|Cornflakes (Topping)</t>
  </si>
  <si>
    <t>20260620|SND|Granola (Topping)</t>
  </si>
  <si>
    <t>20260620|SND|Almond</t>
  </si>
  <si>
    <t>20260620|SND|Pecan</t>
  </si>
  <si>
    <t>20260620|SND|Walnut</t>
  </si>
  <si>
    <t>20260620|SND|Coconut Chips</t>
  </si>
  <si>
    <t>20260620|SND|Chia Seed</t>
  </si>
  <si>
    <t>20260620|SND|Flax Seed</t>
  </si>
  <si>
    <t>20260620|SND|Cacao Nibs</t>
  </si>
  <si>
    <t>20260620|SND|Grape Jelly</t>
  </si>
  <si>
    <t>20260620|SND|Honey Jelly</t>
  </si>
  <si>
    <t>20260620|SND|Strawberry (250g)</t>
  </si>
  <si>
    <t>20260620|SND|Strawberry (500g)</t>
  </si>
  <si>
    <t>20260620|SND|Blueberry (125g)</t>
  </si>
  <si>
    <t>20260620|SND|Blueberry (300g)</t>
  </si>
  <si>
    <t>20260620|SND|Blueberry (500g)</t>
  </si>
  <si>
    <t>20260620|SND|Apple Cinnamon</t>
  </si>
  <si>
    <t>20260620|SND|Banana</t>
  </si>
  <si>
    <t>20260620|SND|Honey</t>
  </si>
  <si>
    <t>20260620|SND|Caramel</t>
  </si>
  <si>
    <t>20260620|SND|Peanut Butter Sauce</t>
  </si>
  <si>
    <t>20260620|SND|Cup P (5oz)</t>
  </si>
  <si>
    <t>20260620|SND|Cup S (9oz)</t>
  </si>
  <si>
    <t>20260620|SND|Small Bowl</t>
  </si>
  <si>
    <t>20260620|SND|Cup (14oz)</t>
  </si>
  <si>
    <t>20260620|SND|Cup 3oz (Topping)</t>
  </si>
  <si>
    <t>20260620|SND|Cup+Lid (Big) 3oz</t>
  </si>
  <si>
    <t>20260620|SND|Cup+Lid (Small) 1oz</t>
  </si>
  <si>
    <t>20260620|SND|Bowl Lid</t>
  </si>
  <si>
    <t>20260620|SND|Smoothies Lid</t>
  </si>
  <si>
    <t>20260620|SND|Lid S (92)</t>
  </si>
  <si>
    <t>20260620|SND|Lid Top / Lid P (75)</t>
  </si>
  <si>
    <t>20260620|SND|Wood Spoon in bag</t>
  </si>
  <si>
    <t>20260620|SND|Wood Spoon</t>
  </si>
  <si>
    <r>
      <rPr>
        <sz val="11"/>
        <color theme="1"/>
        <rFont val="Calibri"/>
        <family val="2"/>
        <charset val="1"/>
      </rPr>
      <t xml:space="preserve">20260620|SND|Tester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</si>
  <si>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20260620|SND|Short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</si>
  <si>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20260620|SND|Straw/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</si>
  <si>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20260620|SND|Straw/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</si>
  <si>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20260620|SND|Fail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</si>
  <si>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</si>
  <si>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</si>
  <si>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</si>
  <si>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</si>
  <si>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</si>
  <si>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</si>
  <si>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20260620|SND|Zip Bag Small / </t>
    </r>
    <r>
      <rPr>
        <sz val="11"/>
        <color theme="1"/>
        <rFont val="DejaVu Sans"/>
        <family val="2"/>
      </rPr>
      <t>ถุงซิป</t>
    </r>
  </si>
  <si>
    <t>20260620|SND|Bag 4x14</t>
  </si>
  <si>
    <t>20260620|SND|Bag 6x14</t>
  </si>
  <si>
    <t>20260620|SND|Bag 8x14</t>
  </si>
  <si>
    <t>20260620|SND|Bag 9x14</t>
  </si>
  <si>
    <r>
      <rPr>
        <sz val="11"/>
        <color theme="1"/>
        <rFont val="Calibri"/>
        <family val="2"/>
        <charset val="1"/>
      </rPr>
      <t xml:space="preserve">20260620|SND|Bag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</si>
  <si>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20260620|SND|Sticker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</si>
  <si>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20260620|SND|Print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</si>
  <si>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20260620|SND|Gloves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</si>
  <si>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20260620|SND|Black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</si>
  <si>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20260620|SND|Dry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</si>
  <si>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20260620|SND|Wet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</si>
  <si>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</si>
  <si>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</si>
  <si>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</si>
  <si>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น้ำยาอเนกประสงค์</t>
    </r>
  </si>
  <si>
    <t>20260620|SND|Wake up call (Banana)</t>
  </si>
  <si>
    <t>20260620|SND|Energy Sip (Straw+Banana)</t>
  </si>
  <si>
    <t>20260620|SND|Yellow Madness (Pineapple+Mango+Passion)</t>
  </si>
  <si>
    <t>20260620|SND|Ready to Glow (Straw+Blue+Banana)</t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</si>
  <si>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</si>
  <si>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</si>
  <si>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</si>
  <si>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</si>
  <si>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20260620|SND|Biscoff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</si>
  <si>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20260620|SND|Biscoff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</si>
  <si>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</si>
  <si>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</si>
  <si>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</si>
  <si>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20260620|SND|</t>
    </r>
    <r>
      <rPr>
        <sz val="11"/>
        <color theme="1"/>
        <rFont val="DejaVu Sans"/>
        <family val="2"/>
      </rPr>
      <t>ปีโป้ลิ้นจี่</t>
    </r>
  </si>
  <si>
    <t>20260622|SND|Greek Yogurt 1kg</t>
  </si>
  <si>
    <t>20260622|SND|Yuzu</t>
  </si>
  <si>
    <t>20260622|SND|Kyoho</t>
  </si>
  <si>
    <t>20260622|SND|Mint</t>
  </si>
  <si>
    <t>20260622|SND|Vanilla</t>
  </si>
  <si>
    <t>20260622|SND|Pineapple</t>
  </si>
  <si>
    <t>20260622|SND|Biscoff</t>
  </si>
  <si>
    <t>20260622|SND|Overnight oats biscoff</t>
  </si>
  <si>
    <r>
      <rPr>
        <sz val="11"/>
        <color theme="1"/>
        <rFont val="Calibri"/>
        <family val="2"/>
        <charset val="1"/>
      </rPr>
      <t>20260622|SND|Plain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</si>
  <si>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20260622|SND|Greek Yogurt 500g</t>
  </si>
  <si>
    <t>20260622|SND|Plain Yogurt 500g</t>
  </si>
  <si>
    <t>20260622|SND|R-ACAI Bowl</t>
  </si>
  <si>
    <t>20260622|SND|S-ACAI Cup (mini)</t>
  </si>
  <si>
    <r>
      <rPr>
        <sz val="11"/>
        <color theme="1"/>
        <rFont val="Calibri"/>
        <family val="2"/>
        <charset val="1"/>
      </rPr>
      <t xml:space="preserve">20260622|SND|Softserve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</si>
  <si>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20260622|SND|Shake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</si>
  <si>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20260622|SND|Water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</si>
  <si>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</si>
  <si>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</si>
  <si>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</si>
  <si>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</si>
  <si>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</si>
  <si>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ถุงพีช</t>
    </r>
  </si>
  <si>
    <t>20260622|SND|Cornflakes Malt (M)</t>
  </si>
  <si>
    <t>20260622|SND|Granola (M)</t>
  </si>
  <si>
    <t>20260622|SND|Choc Chip Cookies</t>
  </si>
  <si>
    <t>20260622|SND|Cookies Crumbs</t>
  </si>
  <si>
    <t>20260622|SND|Oreo</t>
  </si>
  <si>
    <t>20260622|SND|Choc Chips</t>
  </si>
  <si>
    <t>20260622|SND|Cornflakes (Topping)</t>
  </si>
  <si>
    <t>20260622|SND|Granola (Topping)</t>
  </si>
  <si>
    <t>20260622|SND|Almond</t>
  </si>
  <si>
    <t>20260622|SND|Pecan</t>
  </si>
  <si>
    <t>20260622|SND|Walnut</t>
  </si>
  <si>
    <t>20260622|SND|Coconut Chips</t>
  </si>
  <si>
    <t>20260622|SND|Chia Seed</t>
  </si>
  <si>
    <t>20260622|SND|Flax Seed</t>
  </si>
  <si>
    <t>20260622|SND|Cacao Nibs</t>
  </si>
  <si>
    <t>20260622|SND|Grape Jelly</t>
  </si>
  <si>
    <t>20260622|SND|Honey Jelly</t>
  </si>
  <si>
    <t>20260622|SND|Strawberry (250g)</t>
  </si>
  <si>
    <t>20260622|SND|Strawberry (500g)</t>
  </si>
  <si>
    <t>20260622|SND|Blueberry (125g)</t>
  </si>
  <si>
    <t>20260622|SND|Blueberry (300g)</t>
  </si>
  <si>
    <t>20260622|SND|Blueberry (500g)</t>
  </si>
  <si>
    <t>20260622|SND|Apple Cinnamon</t>
  </si>
  <si>
    <t>20260622|SND|Banana</t>
  </si>
  <si>
    <t>20260622|SND|Honey</t>
  </si>
  <si>
    <t>20260622|SND|Caramel</t>
  </si>
  <si>
    <t>20260622|SND|Peanut Butter Sauce</t>
  </si>
  <si>
    <t>20260622|SND|Cup P (5oz)</t>
  </si>
  <si>
    <t>20260622|SND|Cup S (9oz)</t>
  </si>
  <si>
    <t>20260622|SND|Small Bowl</t>
  </si>
  <si>
    <t>20260622|SND|Cup (14oz)</t>
  </si>
  <si>
    <t>20260622|SND|Cup 3oz (Topping)</t>
  </si>
  <si>
    <t>20260622|SND|Cup+Lid (Big) 3oz</t>
  </si>
  <si>
    <t>20260622|SND|Cup+Lid (Small) 1oz</t>
  </si>
  <si>
    <t>20260622|SND|Bowl Lid</t>
  </si>
  <si>
    <t>20260622|SND|Smoothies Lid</t>
  </si>
  <si>
    <t>20260622|SND|Lid S (92)</t>
  </si>
  <si>
    <t>20260622|SND|Lid Top / Lid P (75)</t>
  </si>
  <si>
    <t>20260622|SND|Wood Spoon in bag</t>
  </si>
  <si>
    <t>20260622|SND|Wood Spoon</t>
  </si>
  <si>
    <r>
      <rPr>
        <sz val="11"/>
        <color theme="1"/>
        <rFont val="Calibri"/>
        <family val="2"/>
        <charset val="1"/>
      </rPr>
      <t xml:space="preserve">20260622|SND|Tester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</si>
  <si>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20260622|SND|Short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</si>
  <si>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20260622|SND|Straw/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</si>
  <si>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20260622|SND|Straw/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</si>
  <si>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20260622|SND|Fail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</si>
  <si>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</si>
  <si>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</si>
  <si>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</si>
  <si>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</si>
  <si>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</si>
  <si>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</si>
  <si>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</si>
  <si>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20260622|SND|Zip Bag Small / </t>
    </r>
    <r>
      <rPr>
        <sz val="11"/>
        <color theme="1"/>
        <rFont val="DejaVu Sans"/>
        <family val="2"/>
      </rPr>
      <t>ถุงซิป</t>
    </r>
  </si>
  <si>
    <t>20260622|SND|Bag 4x14</t>
  </si>
  <si>
    <t>20260622|SND|Bag 6x14</t>
  </si>
  <si>
    <t>20260622|SND|Bag 8x14</t>
  </si>
  <si>
    <t>20260622|SND|Bag 9x14</t>
  </si>
  <si>
    <r>
      <rPr>
        <sz val="11"/>
        <color theme="1"/>
        <rFont val="Calibri"/>
        <family val="2"/>
        <charset val="1"/>
      </rPr>
      <t xml:space="preserve">20260622|SND|Bag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</si>
  <si>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20260622|SND|Sticker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</si>
  <si>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20260622|SND|Print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</si>
  <si>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20260622|SND|Gloves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</si>
  <si>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20260622|SND|Black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</si>
  <si>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20260622|SND|Dry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</si>
  <si>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20260622|SND|Wet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</si>
  <si>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20260622|SND|Tissue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</si>
  <si>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</si>
  <si>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</si>
  <si>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</si>
  <si>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</si>
  <si>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น้ำยาล้างเครื่องไอดิม</t>
    </r>
  </si>
  <si>
    <t>20260622|SND|Wake up call (Banana)</t>
  </si>
  <si>
    <t>20260622|SND|Energy Sip (Straw+Banana)</t>
  </si>
  <si>
    <t>20260622|SND|Yellow Madness (Pineapple+Mango+Passion)</t>
  </si>
  <si>
    <t>20260622|SND|Ready to Glow (Straw+Blue+Banana)</t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</si>
  <si>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</si>
  <si>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</si>
  <si>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</si>
  <si>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</si>
  <si>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20260622|SND|Biscoff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</si>
  <si>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20260622|SND|Biscoff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</si>
  <si>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</si>
  <si>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</si>
  <si>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</si>
  <si>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20260622|SND|</t>
    </r>
    <r>
      <rPr>
        <sz val="11"/>
        <color theme="1"/>
        <rFont val="DejaVu Sans"/>
        <family val="2"/>
      </rPr>
      <t>ปีโป้ลิ้นจี่</t>
    </r>
  </si>
  <si>
    <t>20260623|SND|Greek Yogurt 1kg</t>
  </si>
  <si>
    <t>20260623|SND|Yuzu</t>
  </si>
  <si>
    <t>20260623|SND|Kyoho</t>
  </si>
  <si>
    <t>20260623|SND|Mint</t>
  </si>
  <si>
    <t>20260623|SND|Vanilla</t>
  </si>
  <si>
    <t>20260623|SND|Pineapple</t>
  </si>
  <si>
    <t>20260623|SND|Biscoff</t>
  </si>
  <si>
    <t>20260623|SND|Overnight oats biscoff</t>
  </si>
  <si>
    <r>
      <rPr>
        <sz val="11"/>
        <color theme="1"/>
        <rFont val="Calibri"/>
        <family val="2"/>
        <charset val="1"/>
      </rPr>
      <t>20260623|SND|Plain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</si>
  <si>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20260623|SND|Greek Yogurt 500g</t>
  </si>
  <si>
    <t>20260623|SND|Plain Yogurt 500g</t>
  </si>
  <si>
    <t>20260623|SND|R-ACAI Bowl</t>
  </si>
  <si>
    <t>20260623|SND|S-ACAI Cup (mini)</t>
  </si>
  <si>
    <r>
      <rPr>
        <sz val="11"/>
        <color theme="1"/>
        <rFont val="Calibri"/>
        <family val="2"/>
        <charset val="1"/>
      </rPr>
      <t xml:space="preserve">20260623|SND|Softserve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</si>
  <si>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20260623|SND|Shake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</si>
  <si>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20260623|SND|Peanut Butter</t>
  </si>
  <si>
    <r>
      <rPr>
        <sz val="11"/>
        <color theme="1"/>
        <rFont val="Calibri"/>
        <family val="2"/>
        <charset val="1"/>
      </rPr>
      <t xml:space="preserve">20260623|SND|Water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</si>
  <si>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</si>
  <si>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</si>
  <si>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</si>
  <si>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</si>
  <si>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</si>
  <si>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ถุงพีช</t>
    </r>
  </si>
  <si>
    <t>20260623|SND|Cornflakes Malt (M)</t>
  </si>
  <si>
    <t>20260623|SND|Granola (M)</t>
  </si>
  <si>
    <t>20260623|SND|Choc Chip Cookies</t>
  </si>
  <si>
    <t>20260623|SND|Cookies Crumbs</t>
  </si>
  <si>
    <t>20260623|SND|Oreo</t>
  </si>
  <si>
    <t>20260623|SND|Choc Chips</t>
  </si>
  <si>
    <t>20260623|SND|Cornflakes (Topping)</t>
  </si>
  <si>
    <t>20260623|SND|Granola (Topping)</t>
  </si>
  <si>
    <t>20260623|SND|Almond</t>
  </si>
  <si>
    <t>20260623|SND|Pecan</t>
  </si>
  <si>
    <t>20260623|SND|Walnut</t>
  </si>
  <si>
    <t>20260623|SND|Coconut Chips</t>
  </si>
  <si>
    <t>20260623|SND|Chia Seed</t>
  </si>
  <si>
    <t>20260623|SND|Flax Seed</t>
  </si>
  <si>
    <t>20260623|SND|Cacao Nibs</t>
  </si>
  <si>
    <t>20260623|SND|Grape Jelly</t>
  </si>
  <si>
    <t>20260623|SND|Honey Jelly</t>
  </si>
  <si>
    <t>20260623|SND|Strawberry (250g)</t>
  </si>
  <si>
    <t>20260623|SND|Strawberry (500g)</t>
  </si>
  <si>
    <t>20260623|SND|Blueberry (125g)</t>
  </si>
  <si>
    <t>20260623|SND|Blueberry (300g)</t>
  </si>
  <si>
    <t>20260623|SND|Blueberry (500g)</t>
  </si>
  <si>
    <t>20260623|SND|Apple Cinnamon</t>
  </si>
  <si>
    <t>20260623|SND|Banana</t>
  </si>
  <si>
    <t>20260623|SND|Honey</t>
  </si>
  <si>
    <t>20260623|SND|Caramel</t>
  </si>
  <si>
    <t>20260623|SND|Peanut Butter Sauce</t>
  </si>
  <si>
    <t>20260623|SND|Cup P (5oz)</t>
  </si>
  <si>
    <t>20260623|SND|Cup S (9oz)</t>
  </si>
  <si>
    <t>20260623|SND|Small Bowl</t>
  </si>
  <si>
    <t>20260623|SND|Cup (14oz)</t>
  </si>
  <si>
    <t>20260623|SND|Cup 3oz (Topping)</t>
  </si>
  <si>
    <t>20260623|SND|Cup+Lid (Big) 3oz</t>
  </si>
  <si>
    <t>20260623|SND|Cup+Lid (Small) 1oz</t>
  </si>
  <si>
    <t>20260623|SND|Bowl Lid</t>
  </si>
  <si>
    <t>20260623|SND|Smoothies Lid</t>
  </si>
  <si>
    <t>20260623|SND|Lid S (92)</t>
  </si>
  <si>
    <t>20260623|SND|Lid Top / Lid P (75)</t>
  </si>
  <si>
    <t>20260623|SND|Wood Spoon in bag</t>
  </si>
  <si>
    <t>20260623|SND|Wood Spoon</t>
  </si>
  <si>
    <r>
      <rPr>
        <sz val="11"/>
        <color theme="1"/>
        <rFont val="Calibri"/>
        <family val="2"/>
        <charset val="1"/>
      </rPr>
      <t xml:space="preserve">20260623|SND|Tester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</si>
  <si>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20260623|SND|Short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</si>
  <si>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20260623|SND|Straw/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</si>
  <si>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20260623|SND|Straw/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</si>
  <si>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20260623|SND|Fail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</si>
  <si>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</si>
  <si>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</si>
  <si>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</si>
  <si>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</si>
  <si>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</si>
  <si>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</si>
  <si>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</si>
  <si>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20260623|SND|Zip Bag Small / </t>
    </r>
    <r>
      <rPr>
        <sz val="11"/>
        <color theme="1"/>
        <rFont val="DejaVu Sans"/>
        <family val="2"/>
      </rPr>
      <t>ถุงซิป</t>
    </r>
  </si>
  <si>
    <t>20260623|SND|Bag 4x14</t>
  </si>
  <si>
    <t>20260623|SND|Bag 6x14</t>
  </si>
  <si>
    <t>20260623|SND|Bag 8x14</t>
  </si>
  <si>
    <t>20260623|SND|Bag 9x14</t>
  </si>
  <si>
    <r>
      <rPr>
        <sz val="11"/>
        <color theme="1"/>
        <rFont val="Calibri"/>
        <family val="2"/>
        <charset val="1"/>
      </rPr>
      <t xml:space="preserve">20260623|SND|Bag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</si>
  <si>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20260623|SND|Sticker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</si>
  <si>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20260623|SND|Print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</si>
  <si>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20260623|SND|Gloves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</si>
  <si>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20260623|SND|Black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</si>
  <si>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20260623|SND|Dry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</si>
  <si>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20260623|SND|Wet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</si>
  <si>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20260623|SND|Tissue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</si>
  <si>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</si>
  <si>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</si>
  <si>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</si>
  <si>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</si>
  <si>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น้ำยาล้างเครื่องไอดิม</t>
    </r>
  </si>
  <si>
    <t>20260623|SND|Wake up call (Banana)</t>
  </si>
  <si>
    <t>20260623|SND|Energy Sip (Straw+Banana)</t>
  </si>
  <si>
    <t>20260623|SND|Yellow Madness (Pineapple+Mango+Passion)</t>
  </si>
  <si>
    <t>20260623|SND|Ready to Glow (Straw+Blue+Banana)</t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</si>
  <si>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</si>
  <si>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</si>
  <si>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</si>
  <si>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</si>
  <si>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20260623|SND|Biscoff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</si>
  <si>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20260623|SND|Biscoff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</si>
  <si>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</si>
  <si>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</si>
  <si>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</si>
  <si>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20260623|SND|</t>
    </r>
    <r>
      <rPr>
        <sz val="11"/>
        <color theme="1"/>
        <rFont val="DejaVu Sans"/>
        <family val="2"/>
      </rPr>
      <t>ปีโป้ลิ้นจี่</t>
    </r>
  </si>
  <si>
    <t>20260624|SND|Greek Yogurt 1kg</t>
  </si>
  <si>
    <t>20260624|SND|Yuzu</t>
  </si>
  <si>
    <t>20260624|SND|Kyoho</t>
  </si>
  <si>
    <t>20260624|SND|Mint</t>
  </si>
  <si>
    <t>20260624|SND|Vanilla</t>
  </si>
  <si>
    <t>20260624|SND|Pineapple</t>
  </si>
  <si>
    <t>20260624|SND|Biscoff</t>
  </si>
  <si>
    <t>20260624|SND|Overnight oats biscoff</t>
  </si>
  <si>
    <r>
      <rPr>
        <sz val="11"/>
        <color theme="1"/>
        <rFont val="Calibri"/>
        <family val="2"/>
        <charset val="1"/>
      </rPr>
      <t>20260624|SND|Plain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</si>
  <si>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20260624|SND|Greek Yogurt 500g</t>
  </si>
  <si>
    <t>20260624|SND|Plain Yogurt 500g</t>
  </si>
  <si>
    <t>20260624|SND|R-ACAI Bowl</t>
  </si>
  <si>
    <t>20260624|SND|S-ACAI Cup (mini)</t>
  </si>
  <si>
    <r>
      <rPr>
        <sz val="11"/>
        <color theme="1"/>
        <rFont val="Calibri"/>
        <family val="2"/>
        <charset val="1"/>
      </rPr>
      <t xml:space="preserve">20260624|SND|Softserve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</si>
  <si>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20260624|SND|Shake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</si>
  <si>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20260624|SND|Peanut Butter</t>
  </si>
  <si>
    <r>
      <rPr>
        <sz val="11"/>
        <color theme="1"/>
        <rFont val="Calibri"/>
        <family val="2"/>
        <charset val="1"/>
      </rPr>
      <t xml:space="preserve">20260624|SND|Water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</si>
  <si>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</si>
  <si>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</si>
  <si>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</si>
  <si>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</si>
  <si>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</si>
  <si>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ถุงพีช</t>
    </r>
  </si>
  <si>
    <t>20260624|SND|Cornflakes Malt (M)</t>
  </si>
  <si>
    <t>20260624|SND|Granola (M)</t>
  </si>
  <si>
    <t>20260624|SND|Choc Chip Cookies</t>
  </si>
  <si>
    <t>20260624|SND|Cookies Crumbs</t>
  </si>
  <si>
    <t>20260624|SND|Oreo</t>
  </si>
  <si>
    <t>20260624|SND|Choc Chips</t>
  </si>
  <si>
    <t>20260624|SND|Cornflakes (Topping)</t>
  </si>
  <si>
    <t>20260624|SND|Granola (Topping)</t>
  </si>
  <si>
    <t>20260624|SND|Almond</t>
  </si>
  <si>
    <t>20260624|SND|Pecan</t>
  </si>
  <si>
    <t>20260624|SND|Walnut</t>
  </si>
  <si>
    <t>20260624|SND|Coconut Chips</t>
  </si>
  <si>
    <t>20260624|SND|Chia Seed</t>
  </si>
  <si>
    <t>20260624|SND|Flax Seed</t>
  </si>
  <si>
    <t>20260624|SND|Cacao Nibs</t>
  </si>
  <si>
    <t>20260624|SND|Grape Jelly</t>
  </si>
  <si>
    <t>20260624|SND|Honey Jelly</t>
  </si>
  <si>
    <t>20260624|SND|Strawberry (250g)</t>
  </si>
  <si>
    <t>20260624|SND|Strawberry (500g)</t>
  </si>
  <si>
    <t>20260624|SND|Blueberry (125g)</t>
  </si>
  <si>
    <t>20260624|SND|Blueberry (300g)</t>
  </si>
  <si>
    <t>20260624|SND|Blueberry (500g)</t>
  </si>
  <si>
    <t>20260624|SND|Apple Cinnamon</t>
  </si>
  <si>
    <t>20260624|SND|Banana</t>
  </si>
  <si>
    <t>20260624|SND|Honey</t>
  </si>
  <si>
    <t>20260624|SND|Caramel</t>
  </si>
  <si>
    <t>20260624|SND|Peanut Butter Sauce</t>
  </si>
  <si>
    <t>20260624|SND|Cup P (5oz)</t>
  </si>
  <si>
    <t>20260624|SND|Cup S (9oz)</t>
  </si>
  <si>
    <t>20260624|SND|Small Bowl</t>
  </si>
  <si>
    <t>20260624|SND|Cup (14oz)</t>
  </si>
  <si>
    <t>20260624|SND|Cup 3oz (Topping)</t>
  </si>
  <si>
    <t>20260624|SND|Cup+Lid (Big) 3oz</t>
  </si>
  <si>
    <t>20260624|SND|Cup+Lid (Small) 1oz</t>
  </si>
  <si>
    <t>20260624|SND|Bowl Lid</t>
  </si>
  <si>
    <t>20260624|SND|Smoothies Lid</t>
  </si>
  <si>
    <t>20260624|SND|Lid S (92)</t>
  </si>
  <si>
    <t>20260624|SND|Lid Top / Lid P (75)</t>
  </si>
  <si>
    <t>20260624|SND|Wood Spoon in bag</t>
  </si>
  <si>
    <t>20260624|SND|Wood Spoon</t>
  </si>
  <si>
    <r>
      <rPr>
        <sz val="11"/>
        <color theme="1"/>
        <rFont val="Calibri"/>
        <family val="2"/>
        <charset val="1"/>
      </rPr>
      <t xml:space="preserve">20260624|SND|Tester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</si>
  <si>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20260624|SND|Short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</si>
  <si>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20260624|SND|Straw/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</si>
  <si>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20260624|SND|Straw/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</si>
  <si>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20260624|SND|Fail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</si>
  <si>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</si>
  <si>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</si>
  <si>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</si>
  <si>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</si>
  <si>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</si>
  <si>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</si>
  <si>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</si>
  <si>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20260624|SND|Zip Bag Small / </t>
    </r>
    <r>
      <rPr>
        <sz val="11"/>
        <color theme="1"/>
        <rFont val="DejaVu Sans"/>
        <family val="2"/>
      </rPr>
      <t>ถุงซิป</t>
    </r>
  </si>
  <si>
    <t>20260624|SND|Bag 4x14</t>
  </si>
  <si>
    <t>20260624|SND|Bag 6x14</t>
  </si>
  <si>
    <t>20260624|SND|Bag 8x14</t>
  </si>
  <si>
    <t>20260624|SND|Bag 9x14</t>
  </si>
  <si>
    <r>
      <rPr>
        <sz val="11"/>
        <color theme="1"/>
        <rFont val="Calibri"/>
        <family val="2"/>
        <charset val="1"/>
      </rPr>
      <t xml:space="preserve">20260624|SND|Bag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</si>
  <si>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20260624|SND|Sticker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</si>
  <si>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20260624|SND|Print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</si>
  <si>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20260624|SND|Gloves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</si>
  <si>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20260624|SND|Black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</si>
  <si>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20260624|SND|Dry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</si>
  <si>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20260624|SND|Wet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</si>
  <si>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20260624|SND|Tissue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</si>
  <si>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</si>
  <si>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</si>
  <si>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</si>
  <si>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</si>
  <si>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น้ำยาล้างเครื่องไอดิม</t>
    </r>
  </si>
  <si>
    <t>20260624|SND|Wake up call (Banana)</t>
  </si>
  <si>
    <t>20260624|SND|Energy Sip (Straw+Banana)</t>
  </si>
  <si>
    <t>20260624|SND|Yellow Madness (Pineapple+Mango+Passion)</t>
  </si>
  <si>
    <t>20260624|SND|Ready to Glow (Straw+Blue+Banana)</t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</si>
  <si>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</si>
  <si>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</si>
  <si>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</si>
  <si>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</si>
  <si>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20260624|SND|Biscoff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</si>
  <si>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20260624|SND|Biscoff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</si>
  <si>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</si>
  <si>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</si>
  <si>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</si>
  <si>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20260624|SND|</t>
    </r>
    <r>
      <rPr>
        <sz val="11"/>
        <color theme="1"/>
        <rFont val="DejaVu Sans"/>
        <family val="2"/>
      </rPr>
      <t>ปีโป้ลิ้นจี่</t>
    </r>
  </si>
  <si>
    <t>20260625|SND|Greek Yogurt 1kg</t>
  </si>
  <si>
    <t>20260625|SND|Yuzu</t>
  </si>
  <si>
    <t>20260625|SND|Kyoho</t>
  </si>
  <si>
    <t>20260625|SND|Mint</t>
  </si>
  <si>
    <t>20260625|SND|Vanilla</t>
  </si>
  <si>
    <t>20260625|SND|Pineapple</t>
  </si>
  <si>
    <t>20260625|SND|Biscoff</t>
  </si>
  <si>
    <t>20260625|SND|Overnight oats biscoff</t>
  </si>
  <si>
    <r>
      <rPr>
        <sz val="11"/>
        <color theme="1"/>
        <rFont val="Calibri"/>
        <family val="2"/>
        <charset val="1"/>
      </rPr>
      <t>20260625|SND|Plain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</si>
  <si>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20260625|SND|Greek Yogurt 500g</t>
  </si>
  <si>
    <t>20260625|SND|Plain Yogurt 500g</t>
  </si>
  <si>
    <t>20260625|SND|R-ACAI Bowl</t>
  </si>
  <si>
    <t>20260625|SND|S-ACAI Cup (mini)</t>
  </si>
  <si>
    <r>
      <rPr>
        <sz val="11"/>
        <color theme="1"/>
        <rFont val="Calibri"/>
        <family val="2"/>
        <charset val="1"/>
      </rPr>
      <t xml:space="preserve">20260625|SND|Softserve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</si>
  <si>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20260625|SND|Shake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</si>
  <si>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20260625|SND|Peanut Butter</t>
  </si>
  <si>
    <r>
      <rPr>
        <sz val="11"/>
        <color theme="1"/>
        <rFont val="Calibri"/>
        <family val="2"/>
        <charset val="1"/>
      </rPr>
      <t xml:space="preserve">20260625|SND|Water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</si>
  <si>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</si>
  <si>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</si>
  <si>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</si>
  <si>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</si>
  <si>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</si>
  <si>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ถุงพีช</t>
    </r>
  </si>
  <si>
    <t>20260625|SND|Cornflakes Malt (M)</t>
  </si>
  <si>
    <t>20260625|SND|Granola (M)</t>
  </si>
  <si>
    <t>20260625|SND|Choc Chip Cookies</t>
  </si>
  <si>
    <t>20260625|SND|Cookies Crumbs</t>
  </si>
  <si>
    <t>20260625|SND|Oreo</t>
  </si>
  <si>
    <t>20260625|SND|Choc Chips</t>
  </si>
  <si>
    <t>20260625|SND|Cornflakes (Topping)</t>
  </si>
  <si>
    <t>20260625|SND|Granola (Topping)</t>
  </si>
  <si>
    <t>20260625|SND|Almond</t>
  </si>
  <si>
    <t>20260625|SND|Pecan</t>
  </si>
  <si>
    <t>20260625|SND|Walnut</t>
  </si>
  <si>
    <t>20260625|SND|Coconut Chips</t>
  </si>
  <si>
    <t>20260625|SND|Chia Seed</t>
  </si>
  <si>
    <t>20260625|SND|Flax Seed</t>
  </si>
  <si>
    <t>20260625|SND|Cacao Nibs</t>
  </si>
  <si>
    <t>20260625|SND|Grape Jelly</t>
  </si>
  <si>
    <t>20260625|SND|Honey Jelly</t>
  </si>
  <si>
    <t>20260625|SND|Strawberry (250g)</t>
  </si>
  <si>
    <t>20260625|SND|Strawberry (500g)</t>
  </si>
  <si>
    <t>20260625|SND|Blueberry (125g)</t>
  </si>
  <si>
    <t>20260625|SND|Blueberry (300g)</t>
  </si>
  <si>
    <t>20260625|SND|Blueberry (500g)</t>
  </si>
  <si>
    <t>20260625|SND|Apple Cinnamon</t>
  </si>
  <si>
    <t>20260625|SND|Banana</t>
  </si>
  <si>
    <t>20260625|SND|Honey</t>
  </si>
  <si>
    <t>20260625|SND|Caramel</t>
  </si>
  <si>
    <t>20260625|SND|Peanut Butter Sauce</t>
  </si>
  <si>
    <t>20260625|SND|Cup P (5oz)</t>
  </si>
  <si>
    <t>20260625|SND|Cup S (9oz)</t>
  </si>
  <si>
    <t>20260625|SND|Small Bowl</t>
  </si>
  <si>
    <t>20260625|SND|Cup (14oz)</t>
  </si>
  <si>
    <t>20260625|SND|Cup 3oz (Topping)</t>
  </si>
  <si>
    <t>20260625|SND|Cup+Lid (Big) 3oz</t>
  </si>
  <si>
    <t>20260625|SND|Cup+Lid (Small) 1oz</t>
  </si>
  <si>
    <t>20260625|SND|Bowl Lid</t>
  </si>
  <si>
    <t>20260625|SND|Smoothies Lid</t>
  </si>
  <si>
    <t>20260625|SND|Lid S (92)</t>
  </si>
  <si>
    <t>20260625|SND|Lid Top / Lid P (75)</t>
  </si>
  <si>
    <t>20260625|SND|Wood Spoon in bag</t>
  </si>
  <si>
    <t>20260625|SND|Wood Spoon</t>
  </si>
  <si>
    <r>
      <rPr>
        <sz val="11"/>
        <color theme="1"/>
        <rFont val="Calibri"/>
        <family val="2"/>
        <charset val="1"/>
      </rPr>
      <t xml:space="preserve">20260625|SND|Tester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</si>
  <si>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20260625|SND|Short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</si>
  <si>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20260625|SND|Straw/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</si>
  <si>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20260625|SND|Straw/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</si>
  <si>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20260625|SND|Fail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</si>
  <si>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</si>
  <si>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</si>
  <si>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</si>
  <si>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</si>
  <si>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</si>
  <si>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</si>
  <si>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</si>
  <si>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20260625|SND|Zip Bag Small / </t>
    </r>
    <r>
      <rPr>
        <sz val="11"/>
        <color theme="1"/>
        <rFont val="DejaVu Sans"/>
        <family val="2"/>
      </rPr>
      <t>ถุงซิป</t>
    </r>
  </si>
  <si>
    <t>20260625|SND|Bag 4x14</t>
  </si>
  <si>
    <t>20260625|SND|Bag 6x14</t>
  </si>
  <si>
    <t>20260625|SND|Bag 8x14</t>
  </si>
  <si>
    <t>20260625|SND|Bag 9x14</t>
  </si>
  <si>
    <r>
      <rPr>
        <sz val="11"/>
        <color theme="1"/>
        <rFont val="Calibri"/>
        <family val="2"/>
        <charset val="1"/>
      </rPr>
      <t xml:space="preserve">20260625|SND|Bag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</si>
  <si>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20260625|SND|Sticker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</si>
  <si>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20260625|SND|Print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</si>
  <si>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20260625|SND|Gloves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</si>
  <si>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20260625|SND|Black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</si>
  <si>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20260625|SND|Dry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</si>
  <si>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20260625|SND|Wet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</si>
  <si>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20260625|SND|Tissue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</si>
  <si>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</si>
  <si>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</si>
  <si>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</si>
  <si>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</si>
  <si>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น้ำยาล้างเครื่องไอดิม</t>
    </r>
  </si>
  <si>
    <t>20260625|SND|Wake up call (Banana)</t>
  </si>
  <si>
    <t>20260625|SND|Energy Sip (Straw+Banana)</t>
  </si>
  <si>
    <t>20260625|SND|Yellow Madness (Pineapple+Mango+Passion)</t>
  </si>
  <si>
    <t>20260625|SND|Ready to Glow (Straw+Blue+Banana)</t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</si>
  <si>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</si>
  <si>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</si>
  <si>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</si>
  <si>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</si>
  <si>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20260625|SND|Biscoff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</si>
  <si>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20260625|SND|Biscoff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</si>
  <si>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</si>
  <si>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</si>
  <si>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</si>
  <si>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20260625|SND|</t>
    </r>
    <r>
      <rPr>
        <sz val="11"/>
        <color theme="1"/>
        <rFont val="DejaVu Sans"/>
        <family val="2"/>
      </rPr>
      <t>ปีโป้ลิ้นจี่</t>
    </r>
  </si>
  <si>
    <t>20260626|SND|Greek Yogurt 1kg</t>
  </si>
  <si>
    <t>20260626|SND|Yuzu</t>
  </si>
  <si>
    <t>20260626|SND|Kyoho</t>
  </si>
  <si>
    <t>20260626|SND|Mint</t>
  </si>
  <si>
    <t>20260626|SND|Vanilla</t>
  </si>
  <si>
    <t>20260626|SND|Pineapple</t>
  </si>
  <si>
    <t>20260626|SND|Biscoff</t>
  </si>
  <si>
    <t>20260626|SND|Overnight oats biscoff</t>
  </si>
  <si>
    <r>
      <rPr>
        <sz val="11"/>
        <color theme="1"/>
        <rFont val="Calibri"/>
        <family val="2"/>
        <charset val="1"/>
      </rPr>
      <t>20260626|SND|Plain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</si>
  <si>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20260626|SND|Greek Yogurt 500g</t>
  </si>
  <si>
    <t>20260626|SND|Plain Yogurt 500g</t>
  </si>
  <si>
    <t>20260626|SND|R-ACAI Bowl</t>
  </si>
  <si>
    <t>20260626|SND|S-ACAI Cup (mini)</t>
  </si>
  <si>
    <r>
      <rPr>
        <sz val="11"/>
        <color theme="1"/>
        <rFont val="Calibri"/>
        <family val="2"/>
        <charset val="1"/>
      </rPr>
      <t xml:space="preserve">20260626|SND|Softserve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</si>
  <si>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20260626|SND|Shake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</si>
  <si>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20260626|SND|Peanut Butter</t>
  </si>
  <si>
    <r>
      <rPr>
        <sz val="11"/>
        <color theme="1"/>
        <rFont val="Calibri"/>
        <family val="2"/>
        <charset val="1"/>
      </rPr>
      <t xml:space="preserve">20260626|SND|Water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</si>
  <si>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</si>
  <si>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</si>
  <si>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</si>
  <si>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</si>
  <si>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</si>
  <si>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ถุงพีช</t>
    </r>
  </si>
  <si>
    <t>20260626|SND|Cornflakes Malt (M)</t>
  </si>
  <si>
    <t>20260626|SND|Granola (M)</t>
  </si>
  <si>
    <t>20260626|SND|Choc Chip Cookies</t>
  </si>
  <si>
    <t>20260626|SND|Cookies Crumbs</t>
  </si>
  <si>
    <t>20260626|SND|Oreo</t>
  </si>
  <si>
    <t>20260626|SND|Choc Chips</t>
  </si>
  <si>
    <t>20260626|SND|Cornflakes (Topping)</t>
  </si>
  <si>
    <t>20260626|SND|Granola (Topping)</t>
  </si>
  <si>
    <t>20260626|SND|Almond</t>
  </si>
  <si>
    <t>20260626|SND|Pecan</t>
  </si>
  <si>
    <t>20260626|SND|Walnut</t>
  </si>
  <si>
    <t>20260626|SND|Coconut Chips</t>
  </si>
  <si>
    <t>20260626|SND|Chia Seed</t>
  </si>
  <si>
    <t>20260626|SND|Flax Seed</t>
  </si>
  <si>
    <t>20260626|SND|Cacao Nibs</t>
  </si>
  <si>
    <t>20260626|SND|Grape Jelly</t>
  </si>
  <si>
    <t>20260626|SND|Honey Jelly</t>
  </si>
  <si>
    <t>20260626|SND|Strawberry (250g)</t>
  </si>
  <si>
    <t>20260626|SND|Strawberry (500g)</t>
  </si>
  <si>
    <t>20260626|SND|Blueberry (125g)</t>
  </si>
  <si>
    <t>20260626|SND|Blueberry (300g)</t>
  </si>
  <si>
    <t>20260626|SND|Blueberry (500g)</t>
  </si>
  <si>
    <t>20260626|SND|Apple Cinnamon</t>
  </si>
  <si>
    <t>20260626|SND|Banana</t>
  </si>
  <si>
    <t>20260626|SND|Honey</t>
  </si>
  <si>
    <t>20260626|SND|Caramel</t>
  </si>
  <si>
    <t>20260626|SND|Peanut Butter Sauce</t>
  </si>
  <si>
    <t>20260626|SND|Cup P (5oz)</t>
  </si>
  <si>
    <t>20260626|SND|Cup S (9oz)</t>
  </si>
  <si>
    <t>20260626|SND|Small Bowl</t>
  </si>
  <si>
    <t>20260626|SND|Cup (14oz)</t>
  </si>
  <si>
    <t>20260626|SND|Cup 3oz (Topping)</t>
  </si>
  <si>
    <t>20260626|SND|Cup+Lid (Big) 3oz</t>
  </si>
  <si>
    <t>20260626|SND|Cup+Lid (Small) 1oz</t>
  </si>
  <si>
    <t>20260626|SND|Bowl Lid</t>
  </si>
  <si>
    <t>20260626|SND|Smoothies Lid</t>
  </si>
  <si>
    <t>20260626|SND|Lid S (92)</t>
  </si>
  <si>
    <t>20260626|SND|Lid Top / Lid P (75)</t>
  </si>
  <si>
    <t>20260626|SND|Wood Spoon in bag</t>
  </si>
  <si>
    <t>20260626|SND|Wood Spoon</t>
  </si>
  <si>
    <r>
      <rPr>
        <sz val="11"/>
        <color theme="1"/>
        <rFont val="Calibri"/>
        <family val="2"/>
        <charset val="1"/>
      </rPr>
      <t xml:space="preserve">20260626|SND|Tester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</si>
  <si>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20260626|SND|Short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</si>
  <si>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20260626|SND|Straw/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</si>
  <si>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20260626|SND|Straw/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</si>
  <si>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20260626|SND|Fail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</si>
  <si>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</si>
  <si>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</si>
  <si>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</si>
  <si>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</si>
  <si>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</si>
  <si>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</si>
  <si>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</si>
  <si>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20260626|SND|Zip Bag Small / </t>
    </r>
    <r>
      <rPr>
        <sz val="11"/>
        <color theme="1"/>
        <rFont val="DejaVu Sans"/>
        <family val="2"/>
      </rPr>
      <t>ถุงซิป</t>
    </r>
  </si>
  <si>
    <t>20260626|SND|Bag 4x14</t>
  </si>
  <si>
    <t>20260626|SND|Bag 6x14</t>
  </si>
  <si>
    <t>20260626|SND|Bag 8x14</t>
  </si>
  <si>
    <t>20260626|SND|Bag 9x14</t>
  </si>
  <si>
    <r>
      <rPr>
        <sz val="11"/>
        <color theme="1"/>
        <rFont val="Calibri"/>
        <family val="2"/>
        <charset val="1"/>
      </rPr>
      <t xml:space="preserve">20260626|SND|Bag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</si>
  <si>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20260626|SND|Sticker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</si>
  <si>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20260626|SND|Print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</si>
  <si>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20260626|SND|Gloves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</si>
  <si>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20260626|SND|Black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</si>
  <si>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20260626|SND|Dry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</si>
  <si>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20260626|SND|Wet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</si>
  <si>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20260626|SND|Tissue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</si>
  <si>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</si>
  <si>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</si>
  <si>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</si>
  <si>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</si>
  <si>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น้ำยาล้างเครื่องไอดิม</t>
    </r>
  </si>
  <si>
    <t>20260626|SND|Wake up call (Banana)</t>
  </si>
  <si>
    <t>20260626|SND|Energy Sip (Straw+Banana)</t>
  </si>
  <si>
    <t>20260626|SND|Yellow Madness (Pineapple+Mango+Passion)</t>
  </si>
  <si>
    <t>20260626|SND|Ready to Glow (Straw+Blue+Banana)</t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</si>
  <si>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</si>
  <si>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</si>
  <si>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</si>
  <si>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</si>
  <si>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20260626|SND|Biscoff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</si>
  <si>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20260626|SND|Biscoff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</si>
  <si>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</si>
  <si>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</si>
  <si>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</si>
  <si>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20260626|SND|</t>
    </r>
    <r>
      <rPr>
        <sz val="11"/>
        <color theme="1"/>
        <rFont val="DejaVu Sans"/>
        <family val="2"/>
      </rPr>
      <t>ปีโป้ลิ้นจี่</t>
    </r>
  </si>
  <si>
    <t>20260627|SND|Greek Yogurt 1kg</t>
  </si>
  <si>
    <t>20260627|SND|Yuzu</t>
  </si>
  <si>
    <t>20260627|SND|Kyoho</t>
  </si>
  <si>
    <t>20260627|SND|Mint</t>
  </si>
  <si>
    <t>20260627|SND|Vanilla</t>
  </si>
  <si>
    <t>20260627|SND|Pineapple</t>
  </si>
  <si>
    <t>20260627|SND|Biscoff</t>
  </si>
  <si>
    <t>20260627|SND|Overnight oats biscoff</t>
  </si>
  <si>
    <r>
      <rPr>
        <sz val="11"/>
        <color theme="1"/>
        <rFont val="Calibri"/>
        <family val="2"/>
        <charset val="1"/>
      </rPr>
      <t>20260627|SND|Plain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</si>
  <si>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20260627|SND|Greek Yogurt 500g</t>
  </si>
  <si>
    <t>20260627|SND|Plain Yogurt 500g</t>
  </si>
  <si>
    <t>20260627|SND|R-ACAI Bowl</t>
  </si>
  <si>
    <t>20260627|SND|S-ACAI Cup (mini)</t>
  </si>
  <si>
    <r>
      <rPr>
        <sz val="11"/>
        <color theme="1"/>
        <rFont val="Calibri"/>
        <family val="2"/>
        <charset val="1"/>
      </rPr>
      <t xml:space="preserve">20260627|SND|Softserve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</si>
  <si>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20260627|SND|Shake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</si>
  <si>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20260627|SND|Peanut Butter</t>
  </si>
  <si>
    <r>
      <rPr>
        <sz val="11"/>
        <color theme="1"/>
        <rFont val="Calibri"/>
        <family val="2"/>
        <charset val="1"/>
      </rPr>
      <t xml:space="preserve">20260627|SND|Water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</si>
  <si>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</si>
  <si>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</si>
  <si>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</si>
  <si>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</si>
  <si>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</si>
  <si>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ถุงพีช</t>
    </r>
  </si>
  <si>
    <t>20260627|SND|Cornflakes Malt (M)</t>
  </si>
  <si>
    <t>20260627|SND|Granola (M)</t>
  </si>
  <si>
    <t>20260627|SND|Choc Chip Cookies</t>
  </si>
  <si>
    <t>20260627|SND|Cookies Crumbs</t>
  </si>
  <si>
    <t>20260627|SND|Oreo</t>
  </si>
  <si>
    <t>20260627|SND|Choc Chips</t>
  </si>
  <si>
    <t>20260627|SND|Cornflakes (Topping)</t>
  </si>
  <si>
    <t>20260627|SND|Granola (Topping)</t>
  </si>
  <si>
    <t>20260627|SND|Almond</t>
  </si>
  <si>
    <t>20260627|SND|Pecan</t>
  </si>
  <si>
    <t>20260627|SND|Walnut</t>
  </si>
  <si>
    <t>20260627|SND|Coconut Chips</t>
  </si>
  <si>
    <t>20260627|SND|Chia Seed</t>
  </si>
  <si>
    <t>20260627|SND|Flax Seed</t>
  </si>
  <si>
    <t>20260627|SND|Cacao Nibs</t>
  </si>
  <si>
    <t>20260627|SND|Grape Jelly</t>
  </si>
  <si>
    <t>20260627|SND|Honey Jelly</t>
  </si>
  <si>
    <t>20260627|SND|Strawberry (250g)</t>
  </si>
  <si>
    <t>20260627|SND|Strawberry (500g)</t>
  </si>
  <si>
    <t>20260627|SND|Blueberry (125g)</t>
  </si>
  <si>
    <t>20260627|SND|Blueberry (300g)</t>
  </si>
  <si>
    <t>20260627|SND|Blueberry (500g)</t>
  </si>
  <si>
    <t>20260627|SND|Apple Cinnamon</t>
  </si>
  <si>
    <t>20260627|SND|Banana</t>
  </si>
  <si>
    <t>20260627|SND|Honey</t>
  </si>
  <si>
    <t>20260627|SND|Caramel</t>
  </si>
  <si>
    <t>20260627|SND|Peanut Butter Sauce</t>
  </si>
  <si>
    <t>20260627|SND|Cup P (5oz)</t>
  </si>
  <si>
    <t>20260627|SND|Cup S (9oz)</t>
  </si>
  <si>
    <t>20260627|SND|Small Bowl</t>
  </si>
  <si>
    <t>20260627|SND|Cup (14oz)</t>
  </si>
  <si>
    <t>20260627|SND|Cup 3oz (Topping)</t>
  </si>
  <si>
    <t>20260627|SND|Cup+Lid (Big) 3oz</t>
  </si>
  <si>
    <t>20260627|SND|Cup+Lid (Small) 1oz</t>
  </si>
  <si>
    <t>20260627|SND|Bowl Lid</t>
  </si>
  <si>
    <t>20260627|SND|Smoothies Lid</t>
  </si>
  <si>
    <t>20260627|SND|Lid S (92)</t>
  </si>
  <si>
    <t>20260627|SND|Lid Top / Lid P (75)</t>
  </si>
  <si>
    <t>20260627|SND|Wood Spoon in bag</t>
  </si>
  <si>
    <t>20260627|SND|Wood Spoon</t>
  </si>
  <si>
    <r>
      <rPr>
        <sz val="11"/>
        <color theme="1"/>
        <rFont val="Calibri"/>
        <family val="2"/>
        <charset val="1"/>
      </rPr>
      <t xml:space="preserve">20260627|SND|Tester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</si>
  <si>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20260627|SND|Short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</si>
  <si>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20260627|SND|Straw/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</si>
  <si>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20260627|SND|Straw/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</si>
  <si>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20260627|SND|Fail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</si>
  <si>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</si>
  <si>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</si>
  <si>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</si>
  <si>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</si>
  <si>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</si>
  <si>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</si>
  <si>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</si>
  <si>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20260627|SND|Zip Bag Small / </t>
    </r>
    <r>
      <rPr>
        <sz val="11"/>
        <color theme="1"/>
        <rFont val="DejaVu Sans"/>
        <family val="2"/>
      </rPr>
      <t>ถุงซิป</t>
    </r>
  </si>
  <si>
    <t>20260627|SND|Bag 4x14</t>
  </si>
  <si>
    <t>20260627|SND|Bag 6x14</t>
  </si>
  <si>
    <t>20260627|SND|Bag 8x14</t>
  </si>
  <si>
    <t>20260627|SND|Bag 9x14</t>
  </si>
  <si>
    <r>
      <rPr>
        <sz val="11"/>
        <color theme="1"/>
        <rFont val="Calibri"/>
        <family val="2"/>
        <charset val="1"/>
      </rPr>
      <t xml:space="preserve">20260627|SND|Bag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</si>
  <si>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20260627|SND|Sticker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</si>
  <si>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20260627|SND|Print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</si>
  <si>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20260627|SND|Gloves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</si>
  <si>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20260627|SND|Black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</si>
  <si>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20260627|SND|Dry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</si>
  <si>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20260627|SND|Wet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</si>
  <si>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20260627|SND|Tissue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</si>
  <si>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</si>
  <si>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</si>
  <si>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</si>
  <si>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</si>
  <si>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น้ำยาล้างเครื่องไอดิม</t>
    </r>
  </si>
  <si>
    <t>20260627|SND|Wake up call (Banana)</t>
  </si>
  <si>
    <t>20260627|SND|Energy Sip (Straw+Banana)</t>
  </si>
  <si>
    <t>20260627|SND|Yellow Madness (Pineapple+Mango+Passion)</t>
  </si>
  <si>
    <t>20260627|SND|Ready to Glow (Straw+Blue+Banana)</t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</si>
  <si>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</si>
  <si>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</si>
  <si>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</si>
  <si>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</si>
  <si>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20260627|SND|Biscoff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</si>
  <si>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20260627|SND|Biscoff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</si>
  <si>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</si>
  <si>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</si>
  <si>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</si>
  <si>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20260627|SND|</t>
    </r>
    <r>
      <rPr>
        <sz val="11"/>
        <color theme="1"/>
        <rFont val="DejaVu Sans"/>
        <family val="2"/>
      </rPr>
      <t>ปีโป้ลิ้นจี่</t>
    </r>
  </si>
  <si>
    <t>20260629|SND|Greek Yogurt 1kg</t>
  </si>
  <si>
    <t>20260629|SND|Yuzu</t>
  </si>
  <si>
    <t>20260629|SND|Kyoho</t>
  </si>
  <si>
    <t>20260629|SND|Mint</t>
  </si>
  <si>
    <t>20260629|SND|Vanilla</t>
  </si>
  <si>
    <t>20260629|SND|Pineapple</t>
  </si>
  <si>
    <t>20260629|SND|Biscoff</t>
  </si>
  <si>
    <t>20260629|SND|Overnight oats biscoff</t>
  </si>
  <si>
    <r>
      <rPr>
        <sz val="11"/>
        <color theme="1"/>
        <rFont val="Calibri"/>
        <family val="2"/>
        <charset val="1"/>
      </rPr>
      <t>20260629|SND|Plain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</si>
  <si>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20260629|SND|Greek Yogurt 500g</t>
  </si>
  <si>
    <t>20260629|SND|Plain Yogurt 500g</t>
  </si>
  <si>
    <t>20260629|SND|R-ACAI Bowl</t>
  </si>
  <si>
    <t>20260629|SND|S-ACAI Cup (mini)</t>
  </si>
  <si>
    <r>
      <rPr>
        <sz val="11"/>
        <color theme="1"/>
        <rFont val="Calibri"/>
        <family val="2"/>
        <charset val="1"/>
      </rPr>
      <t xml:space="preserve">20260629|SND|Softserve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</si>
  <si>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20260629|SND|Shake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</si>
  <si>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20260629|SND|Peanut Butter</t>
  </si>
  <si>
    <r>
      <rPr>
        <sz val="11"/>
        <color theme="1"/>
        <rFont val="Calibri"/>
        <family val="2"/>
        <charset val="1"/>
      </rPr>
      <t xml:space="preserve">20260629|SND|Water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</si>
  <si>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</si>
  <si>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</si>
  <si>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</si>
  <si>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</si>
  <si>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</si>
  <si>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ถุงพีช</t>
    </r>
  </si>
  <si>
    <t>20260629|SND|Cornflakes Malt (M)</t>
  </si>
  <si>
    <t>20260629|SND|Granola (M)</t>
  </si>
  <si>
    <t>20260629|SND|Choc Chip Cookies</t>
  </si>
  <si>
    <t>20260629|SND|Cookies Crumbs</t>
  </si>
  <si>
    <t>20260629|SND|Oreo</t>
  </si>
  <si>
    <t>20260629|SND|Choc Chips</t>
  </si>
  <si>
    <t>20260629|SND|Cornflakes (Topping)</t>
  </si>
  <si>
    <t>20260629|SND|Granola (Topping)</t>
  </si>
  <si>
    <t>20260629|SND|Almond</t>
  </si>
  <si>
    <t>20260629|SND|Pecan</t>
  </si>
  <si>
    <t>20260629|SND|Walnut</t>
  </si>
  <si>
    <t>20260629|SND|Coconut Chips</t>
  </si>
  <si>
    <t>20260629|SND|Chia Seed</t>
  </si>
  <si>
    <t>20260629|SND|Flax Seed</t>
  </si>
  <si>
    <t>20260629|SND|Cacao Nibs</t>
  </si>
  <si>
    <t>20260629|SND|Grape Jelly</t>
  </si>
  <si>
    <t>20260629|SND|Honey Jelly</t>
  </si>
  <si>
    <t>20260629|SND|Strawberry (250g)</t>
  </si>
  <si>
    <t>20260629|SND|Strawberry (500g)</t>
  </si>
  <si>
    <t>20260629|SND|Blueberry (125g)</t>
  </si>
  <si>
    <t>20260629|SND|Blueberry (300g)</t>
  </si>
  <si>
    <t>20260629|SND|Blueberry (500g)</t>
  </si>
  <si>
    <t>20260629|SND|Apple Cinnamon</t>
  </si>
  <si>
    <t>20260629|SND|Banana</t>
  </si>
  <si>
    <t>20260629|SND|Honey</t>
  </si>
  <si>
    <t>20260629|SND|Caramel</t>
  </si>
  <si>
    <t>20260629|SND|Peanut Butter Sauce</t>
  </si>
  <si>
    <t>20260629|SND|Cup P (5oz)</t>
  </si>
  <si>
    <t>20260629|SND|Cup S (9oz)</t>
  </si>
  <si>
    <t>20260629|SND|Small Bowl</t>
  </si>
  <si>
    <t>20260629|SND|Cup (14oz)</t>
  </si>
  <si>
    <t>20260629|SND|Cup 3oz (Topping)</t>
  </si>
  <si>
    <t>20260629|SND|Cup+Lid (Big) 3oz</t>
  </si>
  <si>
    <t>20260629|SND|Cup+Lid (Small) 1oz</t>
  </si>
  <si>
    <t>20260629|SND|Bowl Lid</t>
  </si>
  <si>
    <t>20260629|SND|Smoothies Lid</t>
  </si>
  <si>
    <t>20260629|SND|Lid S (92)</t>
  </si>
  <si>
    <t>20260629|SND|Lid Top / Lid P (75)</t>
  </si>
  <si>
    <t>20260629|SND|Wood Spoon in bag</t>
  </si>
  <si>
    <t>20260629|SND|Wood Spoon</t>
  </si>
  <si>
    <r>
      <rPr>
        <sz val="11"/>
        <color theme="1"/>
        <rFont val="Calibri"/>
        <family val="2"/>
        <charset val="1"/>
      </rPr>
      <t xml:space="preserve">20260629|SND|Tester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</si>
  <si>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20260629|SND|Short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</si>
  <si>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20260629|SND|Straw/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</si>
  <si>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20260629|SND|Straw/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</si>
  <si>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20260629|SND|Fail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</si>
  <si>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</si>
  <si>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</si>
  <si>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</si>
  <si>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</si>
  <si>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</si>
  <si>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</si>
  <si>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</si>
  <si>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20260629|SND|Zip Bag Small / </t>
    </r>
    <r>
      <rPr>
        <sz val="11"/>
        <color theme="1"/>
        <rFont val="DejaVu Sans"/>
        <family val="2"/>
      </rPr>
      <t>ถุงซิป</t>
    </r>
  </si>
  <si>
    <t>20260629|SND|Bag 4x14</t>
  </si>
  <si>
    <t>20260629|SND|Bag 6x14</t>
  </si>
  <si>
    <t>20260629|SND|Bag 8x14</t>
  </si>
  <si>
    <t>20260629|SND|Bag 9x14</t>
  </si>
  <si>
    <r>
      <rPr>
        <sz val="11"/>
        <color theme="1"/>
        <rFont val="Calibri"/>
        <family val="2"/>
        <charset val="1"/>
      </rPr>
      <t xml:space="preserve">20260629|SND|Bag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</si>
  <si>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20260629|SND|Sticker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</si>
  <si>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20260629|SND|Print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</si>
  <si>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20260629|SND|Gloves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</si>
  <si>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20260629|SND|Black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</si>
  <si>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20260629|SND|Dry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</si>
  <si>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20260629|SND|Wet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</si>
  <si>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20260629|SND|Tissue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</si>
  <si>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</si>
  <si>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</si>
  <si>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</si>
  <si>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</si>
  <si>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น้ำยาล้างเครื่องไอดิม</t>
    </r>
  </si>
  <si>
    <t>20260629|SND|Wake up call (Banana)</t>
  </si>
  <si>
    <t>20260629|SND|Energy Sip (Straw+Banana)</t>
  </si>
  <si>
    <t>20260629|SND|Yellow Madness (Pineapple+Mango+Passion)</t>
  </si>
  <si>
    <t>20260629|SND|Ready to Glow (Straw+Blue+Banana)</t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</si>
  <si>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</si>
  <si>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</si>
  <si>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</si>
  <si>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</si>
  <si>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20260629|SND|Biscoff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</si>
  <si>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20260629|SND|Biscoff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</si>
  <si>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</si>
  <si>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</si>
  <si>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</si>
  <si>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20260629|SND|</t>
    </r>
    <r>
      <rPr>
        <sz val="11"/>
        <color theme="1"/>
        <rFont val="DejaVu Sans"/>
        <family val="2"/>
      </rPr>
      <t>ปีโป้ลิ้นจี่</t>
    </r>
  </si>
  <si>
    <t>20260630|SND|Greek Yogurt 1kg</t>
  </si>
  <si>
    <t>20260630|SND|Yuzu</t>
  </si>
  <si>
    <t>20260630|SND|Kyoho</t>
  </si>
  <si>
    <t>20260630|SND|Mint</t>
  </si>
  <si>
    <t>20260630|SND|Vanilla</t>
  </si>
  <si>
    <t>20260630|SND|Pineapple</t>
  </si>
  <si>
    <t>20260630|SND|Biscoff</t>
  </si>
  <si>
    <t>20260630|SND|Overnight oats biscoff</t>
  </si>
  <si>
    <r>
      <rPr>
        <sz val="11"/>
        <color theme="1"/>
        <rFont val="Calibri"/>
        <family val="2"/>
        <charset val="1"/>
      </rPr>
      <t>20260630|SND|Plain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</si>
  <si>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20260630|SND|Greek Yogurt 500g</t>
  </si>
  <si>
    <t>20260630|SND|Plain Yogurt 500g</t>
  </si>
  <si>
    <t>20260630|SND|R-ACAI Bowl</t>
  </si>
  <si>
    <t>20260630|SND|S-ACAI Cup (mini)</t>
  </si>
  <si>
    <r>
      <rPr>
        <sz val="11"/>
        <color theme="1"/>
        <rFont val="Calibri"/>
        <family val="2"/>
        <charset val="1"/>
      </rPr>
      <t xml:space="preserve">20260630|SND|Softserve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</si>
  <si>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20260630|SND|Shake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</si>
  <si>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20260630|SND|Peanut Butter</t>
  </si>
  <si>
    <r>
      <rPr>
        <sz val="11"/>
        <color theme="1"/>
        <rFont val="Calibri"/>
        <family val="2"/>
        <charset val="1"/>
      </rPr>
      <t xml:space="preserve">20260630|SND|Water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</si>
  <si>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</si>
  <si>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</si>
  <si>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</si>
  <si>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</si>
  <si>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</si>
  <si>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ถุงพีช</t>
    </r>
  </si>
  <si>
    <t>20260630|SND|Cornflakes Malt (M)</t>
  </si>
  <si>
    <t>20260630|SND|Granola (M)</t>
  </si>
  <si>
    <t>20260630|SND|Choc Chip Cookies</t>
  </si>
  <si>
    <t>20260630|SND|Cookies Crumbs</t>
  </si>
  <si>
    <t>20260630|SND|Oreo</t>
  </si>
  <si>
    <t>20260630|SND|Choc Chips</t>
  </si>
  <si>
    <t>20260630|SND|Cornflakes (Topping)</t>
  </si>
  <si>
    <t>20260630|SND|Granola (Topping)</t>
  </si>
  <si>
    <t>20260630|SND|Almond</t>
  </si>
  <si>
    <t>20260630|SND|Pecan</t>
  </si>
  <si>
    <t>20260630|SND|Walnut</t>
  </si>
  <si>
    <t>20260630|SND|Coconut Chips</t>
  </si>
  <si>
    <t>20260630|SND|Chia Seed</t>
  </si>
  <si>
    <t>20260630|SND|Flax Seed</t>
  </si>
  <si>
    <t>20260630|SND|Cacao Nibs</t>
  </si>
  <si>
    <t>20260630|SND|Grape Jelly</t>
  </si>
  <si>
    <t>20260630|SND|Honey Jelly</t>
  </si>
  <si>
    <t>20260630|SND|Strawberry (250g)</t>
  </si>
  <si>
    <t>20260630|SND|Strawberry (500g)</t>
  </si>
  <si>
    <t>20260630|SND|Blueberry (125g)</t>
  </si>
  <si>
    <t>20260630|SND|Blueberry (300g)</t>
  </si>
  <si>
    <t>20260630|SND|Blueberry (500g)</t>
  </si>
  <si>
    <t>20260630|SND|Apple Cinnamon</t>
  </si>
  <si>
    <t>20260630|SND|Banana</t>
  </si>
  <si>
    <t>20260630|SND|Honey</t>
  </si>
  <si>
    <t>20260630|SND|Caramel</t>
  </si>
  <si>
    <t>20260630|SND|Peanut Butter Sauce</t>
  </si>
  <si>
    <t>20260630|SND|Cup P (5oz)</t>
  </si>
  <si>
    <t>20260630|SND|Cup S (9oz)</t>
  </si>
  <si>
    <t>20260630|SND|Small Bowl</t>
  </si>
  <si>
    <t>20260630|SND|Cup (14oz)</t>
  </si>
  <si>
    <t>20260630|SND|Cup 3oz (Topping)</t>
  </si>
  <si>
    <t>20260630|SND|Cup+Lid (Big) 3oz</t>
  </si>
  <si>
    <t>20260630|SND|Cup+Lid (Small) 1oz</t>
  </si>
  <si>
    <t>20260630|SND|Bowl Lid</t>
  </si>
  <si>
    <t>20260630|SND|Smoothies Lid</t>
  </si>
  <si>
    <t>20260630|SND|Lid S (92)</t>
  </si>
  <si>
    <t>20260630|SND|Lid Top / Lid P (75)</t>
  </si>
  <si>
    <t>20260630|SND|Wood Spoon in bag</t>
  </si>
  <si>
    <t>20260630|SND|Wood Spoon</t>
  </si>
  <si>
    <r>
      <rPr>
        <sz val="11"/>
        <color theme="1"/>
        <rFont val="Calibri"/>
        <family val="2"/>
        <charset val="1"/>
      </rPr>
      <t xml:space="preserve">20260630|SND|Tester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</si>
  <si>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20260630|SND|Short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</si>
  <si>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20260630|SND|Straw/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</si>
  <si>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20260630|SND|Straw/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</si>
  <si>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20260630|SND|Fail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</si>
  <si>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</si>
  <si>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</si>
  <si>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</si>
  <si>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</si>
  <si>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</si>
  <si>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</si>
  <si>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</si>
  <si>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20260630|SND|Zip Bag Small / </t>
    </r>
    <r>
      <rPr>
        <sz val="11"/>
        <color theme="1"/>
        <rFont val="DejaVu Sans"/>
        <family val="2"/>
      </rPr>
      <t>ถุงซิป</t>
    </r>
  </si>
  <si>
    <t>20260630|SND|Bag 4x14</t>
  </si>
  <si>
    <t>20260630|SND|Bag 6x14</t>
  </si>
  <si>
    <t>20260630|SND|Bag 8x14</t>
  </si>
  <si>
    <t>20260630|SND|Bag 9x14</t>
  </si>
  <si>
    <r>
      <rPr>
        <sz val="11"/>
        <color theme="1"/>
        <rFont val="Calibri"/>
        <family val="2"/>
        <charset val="1"/>
      </rPr>
      <t xml:space="preserve">20260630|SND|Bag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</si>
  <si>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20260630|SND|Sticker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</si>
  <si>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20260630|SND|Print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</si>
  <si>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20260630|SND|Gloves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</si>
  <si>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20260630|SND|Black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</si>
  <si>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20260630|SND|Dry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</si>
  <si>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20260630|SND|Wet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</si>
  <si>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20260630|SND|Tissue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</si>
  <si>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</si>
  <si>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</si>
  <si>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</si>
  <si>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</si>
  <si>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น้ำยาล้างเครื่องไอดิม</t>
    </r>
  </si>
  <si>
    <t>20260630|SND|Wake up call (Banana)</t>
  </si>
  <si>
    <t>20260630|SND|Energy Sip (Straw+Banana)</t>
  </si>
  <si>
    <t>20260630|SND|Yellow Madness (Pineapple+Mango+Passion)</t>
  </si>
  <si>
    <t>20260630|SND|Ready to Glow (Straw+Blue+Banana)</t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</si>
  <si>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</si>
  <si>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</si>
  <si>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</si>
  <si>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</si>
  <si>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20260630|SND|Biscoff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</si>
  <si>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20260630|SND|Biscoff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</si>
  <si>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</si>
  <si>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</si>
  <si>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</si>
  <si>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20260630|SND|</t>
    </r>
    <r>
      <rPr>
        <sz val="11"/>
        <color theme="1"/>
        <rFont val="DejaVu Sans"/>
        <family val="2"/>
      </rPr>
      <t>ปีโป้ลิ้นจี่</t>
    </r>
  </si>
  <si>
    <t>20260701|SND|Greek Yogurt 1kg</t>
  </si>
  <si>
    <t>20260701|SND|Yuzu</t>
  </si>
  <si>
    <t>20260701|SND|Kyoho</t>
  </si>
  <si>
    <t>20260701|SND|Mint</t>
  </si>
  <si>
    <t>20260701|SND|Vanilla</t>
  </si>
  <si>
    <t>20260701|SND|Pineapple</t>
  </si>
  <si>
    <t>20260701|SND|Biscoff</t>
  </si>
  <si>
    <t>20260701|SND|Overnight oats biscoff</t>
  </si>
  <si>
    <r>
      <rPr>
        <sz val="11"/>
        <color theme="1"/>
        <rFont val="Calibri"/>
        <family val="2"/>
        <charset val="1"/>
      </rPr>
      <t>20260701|SND|Plain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</si>
  <si>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20260701|SND|Greek Yogurt 500g</t>
  </si>
  <si>
    <t>20260701|SND|Plain Yogurt 500g</t>
  </si>
  <si>
    <t>20260701|SND|R-ACAI Bowl</t>
  </si>
  <si>
    <t>20260701|SND|S-ACAI Cup (mini)</t>
  </si>
  <si>
    <r>
      <rPr>
        <sz val="11"/>
        <color theme="1"/>
        <rFont val="Calibri"/>
        <family val="2"/>
        <charset val="1"/>
      </rPr>
      <t xml:space="preserve">20260701|SND|Softserve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</si>
  <si>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20260701|SND|Shake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</si>
  <si>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20260701|SND|Peanut Butter</t>
  </si>
  <si>
    <r>
      <rPr>
        <sz val="11"/>
        <color theme="1"/>
        <rFont val="Calibri"/>
        <family val="2"/>
        <charset val="1"/>
      </rPr>
      <t xml:space="preserve">20260701|SND|Water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</si>
  <si>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</si>
  <si>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</si>
  <si>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</si>
  <si>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</si>
  <si>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</si>
  <si>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ถุงพีช</t>
    </r>
  </si>
  <si>
    <t>20260701|SND|Cornflakes Malt (M)</t>
  </si>
  <si>
    <t>20260701|SND|Granola (M)</t>
  </si>
  <si>
    <t>20260701|SND|Choc Chip Cookies</t>
  </si>
  <si>
    <t>20260701|SND|Cookies Crumbs</t>
  </si>
  <si>
    <t>20260701|SND|Oreo</t>
  </si>
  <si>
    <t>20260701|SND|Choc Chips</t>
  </si>
  <si>
    <t>20260701|SND|Cornflakes (Topping)</t>
  </si>
  <si>
    <t>20260701|SND|Granola (Topping)</t>
  </si>
  <si>
    <t>20260701|SND|Almond</t>
  </si>
  <si>
    <t>20260701|SND|Pecan</t>
  </si>
  <si>
    <t>20260701|SND|Walnut</t>
  </si>
  <si>
    <t>20260701|SND|Coconut Chips</t>
  </si>
  <si>
    <t>20260701|SND|Chia Seed</t>
  </si>
  <si>
    <t>20260701|SND|Flax Seed</t>
  </si>
  <si>
    <t>20260701|SND|Cacao Nibs</t>
  </si>
  <si>
    <t>20260701|SND|Grape Jelly</t>
  </si>
  <si>
    <t>20260701|SND|Honey Jelly</t>
  </si>
  <si>
    <t>20260701|SND|Strawberry (250g)</t>
  </si>
  <si>
    <t>20260701|SND|Blueberry (300g)</t>
  </si>
  <si>
    <t>20260701|SND|Apple Cinnamon</t>
  </si>
  <si>
    <t>20260701|SND|Banana</t>
  </si>
  <si>
    <t>20260701|SND|Honey</t>
  </si>
  <si>
    <t>20260701|SND|Caramel</t>
  </si>
  <si>
    <t>20260701|SND|Peanut Butter Sauce</t>
  </si>
  <si>
    <t>20260701|SND|Cup P (5oz)</t>
  </si>
  <si>
    <t>20260701|SND|Cup S (9oz)</t>
  </si>
  <si>
    <t>20260701|SND|Small Bowl</t>
  </si>
  <si>
    <t>20260701|SND|Cup (14oz)</t>
  </si>
  <si>
    <t>20260701|SND|Cup 3oz (Topping)</t>
  </si>
  <si>
    <t>20260701|SND|Cup+Lid (Big) 3oz</t>
  </si>
  <si>
    <t>20260701|SND|Cup+Lid (Small) 1oz</t>
  </si>
  <si>
    <t>20260701|SND|Bowl Lid</t>
  </si>
  <si>
    <t>20260701|SND|Smoothies Lid</t>
  </si>
  <si>
    <t>20260701|SND|Lid S (92)</t>
  </si>
  <si>
    <t>20260701|SND|Lid Top / Lid P (75)</t>
  </si>
  <si>
    <t>20260701|SND|Wood Spoon in bag</t>
  </si>
  <si>
    <t>20260701|SND|Wood Spoon</t>
  </si>
  <si>
    <r>
      <rPr>
        <sz val="11"/>
        <color theme="1"/>
        <rFont val="Calibri"/>
        <family val="2"/>
        <charset val="1"/>
      </rPr>
      <t xml:space="preserve">20260701|SND|Tester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</si>
  <si>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20260701|SND|Short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</si>
  <si>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20260701|SND|Straw/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</si>
  <si>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20260701|SND|Straw/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</si>
  <si>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20260701|SND|Fail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</si>
  <si>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</si>
  <si>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</si>
  <si>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</si>
  <si>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</si>
  <si>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</si>
  <si>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</si>
  <si>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</si>
  <si>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20260701|SND|Zip Bag Small / </t>
    </r>
    <r>
      <rPr>
        <sz val="11"/>
        <color theme="1"/>
        <rFont val="DejaVu Sans"/>
        <family val="2"/>
      </rPr>
      <t>ถุงซิป</t>
    </r>
  </si>
  <si>
    <t>20260701|SND|Bag 4x14</t>
  </si>
  <si>
    <t>20260701|SND|Bag 6x14</t>
  </si>
  <si>
    <t>20260701|SND|Bag 8x14</t>
  </si>
  <si>
    <t>20260701|SND|Bag 9x14</t>
  </si>
  <si>
    <r>
      <rPr>
        <sz val="11"/>
        <color theme="1"/>
        <rFont val="Calibri"/>
        <family val="2"/>
        <charset val="1"/>
      </rPr>
      <t xml:space="preserve">20260701|SND|Bag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</si>
  <si>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20260701|SND|Sticker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</si>
  <si>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20260701|SND|Print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</si>
  <si>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20260701|SND|Gloves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</si>
  <si>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20260701|SND|Black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</si>
  <si>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20260701|SND|Dry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</si>
  <si>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20260701|SND|Wet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</si>
  <si>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20260701|SND|Tissue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</si>
  <si>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</si>
  <si>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</si>
  <si>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</si>
  <si>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</si>
  <si>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น้ำยาล้างเครื่องไอดิม</t>
    </r>
  </si>
  <si>
    <t>20260701|SND|Wake up call (Banana)</t>
  </si>
  <si>
    <t>20260701|SND|Energy Sip (Straw+Banana)</t>
  </si>
  <si>
    <t>20260701|SND|Yellow Madness (Pineapple+Mango+Passion)</t>
  </si>
  <si>
    <t>20260701|SND|Ready to Glow (Straw+Blue+Banana)</t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</si>
  <si>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</si>
  <si>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</si>
  <si>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</si>
  <si>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</si>
  <si>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20260701|SND|Biscoff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</si>
  <si>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20260701|SND|Biscoff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</si>
  <si>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</si>
  <si>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</si>
  <si>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</si>
  <si>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20260701|SND|</t>
    </r>
    <r>
      <rPr>
        <sz val="11"/>
        <color theme="1"/>
        <rFont val="DejaVu Sans"/>
        <family val="2"/>
      </rPr>
      <t>ปีโป้ลิ้นจี่</t>
    </r>
  </si>
  <si>
    <t>20260702|SND|Greek Yogurt 1kg</t>
  </si>
  <si>
    <t>20260702|SND|Yuzu</t>
  </si>
  <si>
    <t>20260702|SND|Kyoho</t>
  </si>
  <si>
    <t>20260702|SND|Mint</t>
  </si>
  <si>
    <t>20260702|SND|Vanilla</t>
  </si>
  <si>
    <t>20260702|SND|Pineapple</t>
  </si>
  <si>
    <t>20260702|SND|Biscoff</t>
  </si>
  <si>
    <t>20260702|SND|Overnight oats biscoff</t>
  </si>
  <si>
    <r>
      <rPr>
        <sz val="11"/>
        <color theme="1"/>
        <rFont val="Calibri"/>
        <family val="2"/>
        <charset val="1"/>
      </rPr>
      <t>20260702|SND|Plain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</si>
  <si>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20260702|SND|Greek Yogurt 500g</t>
  </si>
  <si>
    <t>20260702|SND|Plain Yogurt 500g</t>
  </si>
  <si>
    <t>20260702|SND|R-ACAI Bowl</t>
  </si>
  <si>
    <t>20260702|SND|S-ACAI Cup (mini)</t>
  </si>
  <si>
    <r>
      <rPr>
        <sz val="11"/>
        <color theme="1"/>
        <rFont val="Calibri"/>
        <family val="2"/>
        <charset val="1"/>
      </rPr>
      <t xml:space="preserve">20260702|SND|Softserve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</si>
  <si>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20260702|SND|Shake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</si>
  <si>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20260702|SND|Peanut Butter</t>
  </si>
  <si>
    <r>
      <rPr>
        <sz val="11"/>
        <color theme="1"/>
        <rFont val="Calibri"/>
        <family val="2"/>
        <charset val="1"/>
      </rPr>
      <t xml:space="preserve">20260702|SND|Water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</si>
  <si>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</si>
  <si>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</si>
  <si>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</si>
  <si>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</si>
  <si>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</si>
  <si>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ถุงพีช</t>
    </r>
  </si>
  <si>
    <t>20260702|SND|Cornflakes Malt (M)</t>
  </si>
  <si>
    <t>20260702|SND|Granola (M)</t>
  </si>
  <si>
    <t>20260702|SND|Choc Chip Cookies</t>
  </si>
  <si>
    <t>20260702|SND|Cookies Crumbs</t>
  </si>
  <si>
    <t>20260702|SND|Oreo</t>
  </si>
  <si>
    <t>20260702|SND|Choc Chips</t>
  </si>
  <si>
    <t>20260702|SND|Cornflakes (Topping)</t>
  </si>
  <si>
    <t>20260702|SND|Granola (Topping)</t>
  </si>
  <si>
    <t>20260702|SND|Almond</t>
  </si>
  <si>
    <t>20260702|SND|Pecan</t>
  </si>
  <si>
    <t>20260702|SND|Walnut</t>
  </si>
  <si>
    <t>20260702|SND|Coconut Chips</t>
  </si>
  <si>
    <t>20260702|SND|Chia Seed</t>
  </si>
  <si>
    <t>20260702|SND|Flax Seed</t>
  </si>
  <si>
    <t>20260702|SND|Cacao Nibs</t>
  </si>
  <si>
    <t>20260702|SND|Grape Jelly</t>
  </si>
  <si>
    <t>20260702|SND|Honey Jelly</t>
  </si>
  <si>
    <t>20260702|SND|Strawberry (250g)</t>
  </si>
  <si>
    <t>20260702|SND|Strawberry (500g)</t>
  </si>
  <si>
    <t>20260702|SND|Blueberry (125g)</t>
  </si>
  <si>
    <t>20260702|SND|Blueberry (300g)</t>
  </si>
  <si>
    <t>20260702|SND|Blueberry (500g)</t>
  </si>
  <si>
    <t>20260702|SND|Apple Cinnamon</t>
  </si>
  <si>
    <t>20260702|SND|Banana</t>
  </si>
  <si>
    <t>20260702|SND|Honey</t>
  </si>
  <si>
    <t>20260702|SND|Caramel</t>
  </si>
  <si>
    <t>20260702|SND|Peanut Butter Sauce</t>
  </si>
  <si>
    <t>20260702|SND|Cup P (5oz)</t>
  </si>
  <si>
    <t>20260702|SND|Cup S (9oz)</t>
  </si>
  <si>
    <t>20260702|SND|Small Bowl</t>
  </si>
  <si>
    <t>20260702|SND|Cup (14oz)</t>
  </si>
  <si>
    <t>20260702|SND|Cup 3oz (Topping)</t>
  </si>
  <si>
    <t>20260702|SND|Cup+Lid (Big) 3oz</t>
  </si>
  <si>
    <t>20260702|SND|Cup+Lid (Small) 1oz</t>
  </si>
  <si>
    <t>20260702|SND|Bowl Lid</t>
  </si>
  <si>
    <t>20260702|SND|Smoothies Lid</t>
  </si>
  <si>
    <t>20260702|SND|Lid S (92)</t>
  </si>
  <si>
    <t>20260702|SND|Lid Top / Lid P (75)</t>
  </si>
  <si>
    <t>20260702|SND|Wood Spoon in bag</t>
  </si>
  <si>
    <t>20260702|SND|Wood Spoon</t>
  </si>
  <si>
    <r>
      <rPr>
        <sz val="11"/>
        <color theme="1"/>
        <rFont val="Calibri"/>
        <family val="2"/>
        <charset val="1"/>
      </rPr>
      <t xml:space="preserve">20260702|SND|Tester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</si>
  <si>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20260702|SND|Short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</si>
  <si>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20260702|SND|Straw/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</si>
  <si>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20260702|SND|Straw/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</si>
  <si>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20260702|SND|Fail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</si>
  <si>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</si>
  <si>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</si>
  <si>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</si>
  <si>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</si>
  <si>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</si>
  <si>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</si>
  <si>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</si>
  <si>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20260702|SND|Zip Bag Small / </t>
    </r>
    <r>
      <rPr>
        <sz val="11"/>
        <color theme="1"/>
        <rFont val="DejaVu Sans"/>
        <family val="2"/>
      </rPr>
      <t>ถุงซิป</t>
    </r>
  </si>
  <si>
    <t>20260702|SND|Bag 4x14</t>
  </si>
  <si>
    <t>20260702|SND|Bag 6x14</t>
  </si>
  <si>
    <t>20260702|SND|Bag 8x14</t>
  </si>
  <si>
    <t>20260702|SND|Bag 9x14</t>
  </si>
  <si>
    <r>
      <rPr>
        <sz val="11"/>
        <color theme="1"/>
        <rFont val="Calibri"/>
        <family val="2"/>
        <charset val="1"/>
      </rPr>
      <t xml:space="preserve">20260702|SND|Bag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</si>
  <si>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20260702|SND|Sticker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</si>
  <si>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20260702|SND|Print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</si>
  <si>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20260702|SND|Gloves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</si>
  <si>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20260702|SND|Black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</si>
  <si>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20260702|SND|Dry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</si>
  <si>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20260702|SND|Wet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</si>
  <si>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20260702|SND|Tissue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</si>
  <si>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</si>
  <si>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</si>
  <si>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</si>
  <si>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</si>
  <si>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น้ำยาล้างเครื่องไอดิม</t>
    </r>
  </si>
  <si>
    <t>20260702|SND|Wake up call (Banana)</t>
  </si>
  <si>
    <t>20260702|SND|Energy Sip (Straw+Banana)</t>
  </si>
  <si>
    <t>20260702|SND|Yellow Madness (Pineapple+Mango+Passion)</t>
  </si>
  <si>
    <t>20260702|SND|Ready to Glow (Straw+Blue+Banana)</t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</si>
  <si>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</si>
  <si>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</si>
  <si>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</si>
  <si>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</si>
  <si>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20260702|SND|Biscoff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</si>
  <si>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20260702|SND|Biscoff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</si>
  <si>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</si>
  <si>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</si>
  <si>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</si>
  <si>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20260702|SND|</t>
    </r>
    <r>
      <rPr>
        <sz val="11"/>
        <color theme="1"/>
        <rFont val="DejaVu Sans"/>
        <family val="2"/>
      </rPr>
      <t>ปีโป้ลิ้นจี่</t>
    </r>
  </si>
  <si>
    <t>20260703|SND|Greek Yogurt 1kg</t>
  </si>
  <si>
    <t>20260703|SND|Yuzu</t>
  </si>
  <si>
    <t>20260703|SND|Kyoho</t>
  </si>
  <si>
    <t>20260703|SND|Mint</t>
  </si>
  <si>
    <t>20260703|SND|Vanilla</t>
  </si>
  <si>
    <t>20260703|SND|Pineapple</t>
  </si>
  <si>
    <t>20260703|SND|Biscoff</t>
  </si>
  <si>
    <t>20260703|SND|Overnight oats biscoff</t>
  </si>
  <si>
    <r>
      <rPr>
        <sz val="11"/>
        <color theme="1"/>
        <rFont val="Calibri"/>
        <family val="2"/>
        <charset val="1"/>
      </rPr>
      <t>20260703|SND|Plain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</si>
  <si>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20260703|SND|Greek Yogurt 500g</t>
  </si>
  <si>
    <t>20260703|SND|Plain Yogurt 500g</t>
  </si>
  <si>
    <t>20260703|SND|R-ACAI Bowl</t>
  </si>
  <si>
    <t>20260703|SND|S-ACAI Cup (mini)</t>
  </si>
  <si>
    <r>
      <rPr>
        <sz val="11"/>
        <color theme="1"/>
        <rFont val="Calibri"/>
        <family val="2"/>
        <charset val="1"/>
      </rPr>
      <t xml:space="preserve">20260703|SND|Softserve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</si>
  <si>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20260703|SND|Shake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</si>
  <si>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20260703|SND|Peanut Butter</t>
  </si>
  <si>
    <r>
      <rPr>
        <sz val="11"/>
        <color theme="1"/>
        <rFont val="Calibri"/>
        <family val="2"/>
        <charset val="1"/>
      </rPr>
      <t xml:space="preserve">20260703|SND|Water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</si>
  <si>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</si>
  <si>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</si>
  <si>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</si>
  <si>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</si>
  <si>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</si>
  <si>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ถุงพีช</t>
    </r>
  </si>
  <si>
    <t>20260703|SND|Cornflakes Malt (M)</t>
  </si>
  <si>
    <t>20260703|SND|Granola (M)</t>
  </si>
  <si>
    <t>20260703|SND|Choc Chip Cookies</t>
  </si>
  <si>
    <t>20260703|SND|Cookies Crumbs</t>
  </si>
  <si>
    <t>20260703|SND|Oreo</t>
  </si>
  <si>
    <t>20260703|SND|Choc Chips</t>
  </si>
  <si>
    <t>20260703|SND|Cornflakes (Topping)</t>
  </si>
  <si>
    <t>20260703|SND|Granola (Topping)</t>
  </si>
  <si>
    <t>20260703|SND|Almond</t>
  </si>
  <si>
    <t>20260703|SND|Pecan</t>
  </si>
  <si>
    <t>20260703|SND|Walnut</t>
  </si>
  <si>
    <t>20260703|SND|Coconut Chips</t>
  </si>
  <si>
    <t>20260703|SND|Chia Seed</t>
  </si>
  <si>
    <t>20260703|SND|Flax Seed</t>
  </si>
  <si>
    <t>20260703|SND|Cacao Nibs</t>
  </si>
  <si>
    <t>20260703|SND|Grape Jelly</t>
  </si>
  <si>
    <t>20260703|SND|Honey Jelly</t>
  </si>
  <si>
    <t>20260703|SND|Strawberry (250g)</t>
  </si>
  <si>
    <t>20260703|SND|Strawberry (500g)</t>
  </si>
  <si>
    <t>20260703|SND|Blueberry (125g)</t>
  </si>
  <si>
    <t>20260703|SND|Blueberry (300g)</t>
  </si>
  <si>
    <t>20260703|SND|Blueberry (500g)</t>
  </si>
  <si>
    <t>20260703|SND|Apple Cinnamon</t>
  </si>
  <si>
    <t>20260703|SND|Banana</t>
  </si>
  <si>
    <t>20260703|SND|Honey</t>
  </si>
  <si>
    <t>20260703|SND|Caramel</t>
  </si>
  <si>
    <t>20260703|SND|Peanut Butter Sauce</t>
  </si>
  <si>
    <t>20260703|SND|Cup P (5oz)</t>
  </si>
  <si>
    <t>20260703|SND|Cup S (9oz)</t>
  </si>
  <si>
    <t>20260703|SND|Small Bowl</t>
  </si>
  <si>
    <t>20260703|SND|Cup (14oz)</t>
  </si>
  <si>
    <t>20260703|SND|Cup 3oz (Topping)</t>
  </si>
  <si>
    <t>20260703|SND|Cup+Lid (Big) 3oz</t>
  </si>
  <si>
    <t>20260703|SND|Cup+Lid (Small) 1oz</t>
  </si>
  <si>
    <t>20260703|SND|Bowl Lid</t>
  </si>
  <si>
    <t>20260703|SND|Smoothies Lid</t>
  </si>
  <si>
    <t>20260703|SND|Lid S (92)</t>
  </si>
  <si>
    <t>20260703|SND|Lid Top / Lid P (75)</t>
  </si>
  <si>
    <t>20260703|SND|Wood Spoon in bag</t>
  </si>
  <si>
    <t>20260703|SND|Wood Spoon</t>
  </si>
  <si>
    <r>
      <rPr>
        <sz val="11"/>
        <color theme="1"/>
        <rFont val="Calibri"/>
        <family val="2"/>
        <charset val="1"/>
      </rPr>
      <t xml:space="preserve">20260703|SND|Tester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</si>
  <si>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20260703|SND|Short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</si>
  <si>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20260703|SND|Straw/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</si>
  <si>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20260703|SND|Straw/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</si>
  <si>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20260703|SND|Fail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</si>
  <si>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</si>
  <si>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</si>
  <si>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</si>
  <si>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</si>
  <si>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</si>
  <si>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</si>
  <si>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</si>
  <si>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20260703|SND|Zip Bag Small / </t>
    </r>
    <r>
      <rPr>
        <sz val="11"/>
        <color theme="1"/>
        <rFont val="DejaVu Sans"/>
        <family val="2"/>
      </rPr>
      <t>ถุงซิป</t>
    </r>
  </si>
  <si>
    <t>20260703|SND|Bag 4x14</t>
  </si>
  <si>
    <t>20260703|SND|Bag 6x14</t>
  </si>
  <si>
    <t>20260703|SND|Bag 8x14</t>
  </si>
  <si>
    <t>20260703|SND|Bag 9x14</t>
  </si>
  <si>
    <r>
      <rPr>
        <sz val="11"/>
        <color theme="1"/>
        <rFont val="Calibri"/>
        <family val="2"/>
        <charset val="1"/>
      </rPr>
      <t xml:space="preserve">20260703|SND|Bag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</si>
  <si>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20260703|SND|Sticker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</si>
  <si>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20260703|SND|Print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</si>
  <si>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20260703|SND|Gloves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</si>
  <si>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20260703|SND|Black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</si>
  <si>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20260703|SND|Dry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</si>
  <si>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20260703|SND|Wet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</si>
  <si>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20260703|SND|Tissue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</si>
  <si>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</si>
  <si>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</si>
  <si>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</si>
  <si>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</si>
  <si>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น้ำยาล้างเครื่องไอดิม</t>
    </r>
  </si>
  <si>
    <t>20260703|SND|Wake up call (Banana)</t>
  </si>
  <si>
    <t>20260703|SND|Energy Sip (Straw+Banana)</t>
  </si>
  <si>
    <t>20260703|SND|Yellow Madness (Pineapple+Mango+Passion)</t>
  </si>
  <si>
    <t>20260703|SND|Ready to Glow (Straw+Blue+Banana)</t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</si>
  <si>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</si>
  <si>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</si>
  <si>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</si>
  <si>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</si>
  <si>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20260703|SND|Biscoff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</si>
  <si>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20260703|SND|Biscoff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</si>
  <si>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</si>
  <si>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</si>
  <si>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</si>
  <si>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20260703|SND|</t>
    </r>
    <r>
      <rPr>
        <sz val="11"/>
        <color theme="1"/>
        <rFont val="DejaVu Sans"/>
        <family val="2"/>
      </rPr>
      <t>ปีโป้ลิ้นจี่</t>
    </r>
  </si>
  <si>
    <t>20260704|SND|Greek Yogurt 1kg</t>
  </si>
  <si>
    <t>20260704|SND|Yuzu</t>
  </si>
  <si>
    <t>20260704|SND|Kyoho</t>
  </si>
  <si>
    <t>20260704|SND|Mint</t>
  </si>
  <si>
    <t>20260704|SND|Vanilla</t>
  </si>
  <si>
    <t>20260704|SND|Pineapple</t>
  </si>
  <si>
    <t>20260704|SND|Biscoff</t>
  </si>
  <si>
    <t>20260704|SND|Overnight oats biscoff</t>
  </si>
  <si>
    <r>
      <rPr>
        <sz val="11"/>
        <color theme="1"/>
        <rFont val="Calibri"/>
        <family val="2"/>
        <charset val="1"/>
      </rPr>
      <t>20260704|SND|Plain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</si>
  <si>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20260704|SND|Greek Yogurt 500g</t>
  </si>
  <si>
    <t>20260704|SND|Plain Yogurt 500g</t>
  </si>
  <si>
    <t>20260704|SND|R-ACAI Bowl</t>
  </si>
  <si>
    <t>20260704|SND|S-ACAI Cup (mini)</t>
  </si>
  <si>
    <r>
      <rPr>
        <sz val="11"/>
        <color theme="1"/>
        <rFont val="Calibri"/>
        <family val="2"/>
        <charset val="1"/>
      </rPr>
      <t>20260704|SND|Shake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</si>
  <si>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20260704|SND|Peanut Butter</t>
  </si>
  <si>
    <r>
      <rPr>
        <sz val="11"/>
        <color theme="1"/>
        <rFont val="Calibri"/>
        <family val="2"/>
        <charset val="1"/>
      </rPr>
      <t xml:space="preserve">20260704|SND|Water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</si>
  <si>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</si>
  <si>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</si>
  <si>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</si>
  <si>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</si>
  <si>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</si>
  <si>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ถุงพีช</t>
    </r>
  </si>
  <si>
    <t>20260704|SND|Cornflakes Malt (M)</t>
  </si>
  <si>
    <t>20260704|SND|Granola (M)</t>
  </si>
  <si>
    <t>20260704|SND|Choc Chip Cookies</t>
  </si>
  <si>
    <t>20260704|SND|Cookies Crumbs</t>
  </si>
  <si>
    <t>20260704|SND|Oreo</t>
  </si>
  <si>
    <t>20260704|SND|Choc Chips</t>
  </si>
  <si>
    <t>20260704|SND|Cornflakes (Topping)</t>
  </si>
  <si>
    <t>20260704|SND|Granola (Topping)</t>
  </si>
  <si>
    <t>20260704|SND|Almond</t>
  </si>
  <si>
    <t>20260704|SND|Pecan</t>
  </si>
  <si>
    <t>20260704|SND|Walnut</t>
  </si>
  <si>
    <t>20260704|SND|Coconut Chips</t>
  </si>
  <si>
    <t>20260704|SND|Chia Seed</t>
  </si>
  <si>
    <t>20260704|SND|Flax Seed</t>
  </si>
  <si>
    <t>20260704|SND|Cacao Nibs</t>
  </si>
  <si>
    <t>20260704|SND|Grape Jelly</t>
  </si>
  <si>
    <t>20260704|SND|Honey Jelly</t>
  </si>
  <si>
    <t>20260704|SND|Strawberry (250g)</t>
  </si>
  <si>
    <t>20260704|SND|Blueberry (125g)</t>
  </si>
  <si>
    <t>20260704|SND|Blueberry (300g)</t>
  </si>
  <si>
    <t>20260704|SND|Blueberry (500g)</t>
  </si>
  <si>
    <t>20260704|SND|Apple Cinnamon</t>
  </si>
  <si>
    <t>20260704|SND|Banana</t>
  </si>
  <si>
    <t>20260704|SND|Honey</t>
  </si>
  <si>
    <t>20260704|SND|Caramel</t>
  </si>
  <si>
    <t>20260704|SND|Peanut Butter Sauce</t>
  </si>
  <si>
    <t>20260704|SND|Cup P (5oz)</t>
  </si>
  <si>
    <t>20260704|SND|Cup S (9oz)</t>
  </si>
  <si>
    <t>20260704|SND|Small Bowl</t>
  </si>
  <si>
    <t>20260704|SND|Cup (14oz)</t>
  </si>
  <si>
    <t>20260704|SND|Cup 3oz (Topping)</t>
  </si>
  <si>
    <t>20260704|SND|Cup+Lid (Big) 3oz</t>
  </si>
  <si>
    <t>20260704|SND|Cup+Lid (Small) 1oz</t>
  </si>
  <si>
    <t>20260704|SND|Bowl Lid</t>
  </si>
  <si>
    <t>20260704|SND|Smoothies Lid</t>
  </si>
  <si>
    <t>20260704|SND|Lid S (92)</t>
  </si>
  <si>
    <t>20260704|SND|Lid Top / Lid P (75)</t>
  </si>
  <si>
    <t>20260704|SND|Wood Spoon in bag</t>
  </si>
  <si>
    <t>20260704|SND|Wood Spoon</t>
  </si>
  <si>
    <r>
      <rPr>
        <sz val="11"/>
        <color theme="1"/>
        <rFont val="Calibri"/>
        <family val="2"/>
        <charset val="1"/>
      </rPr>
      <t xml:space="preserve">20260704|SND|Tester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</si>
  <si>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20260704|SND|Short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</si>
  <si>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20260704|SND|Straw/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</si>
  <si>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20260704|SND|Straw/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</si>
  <si>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20260704|SND|Fail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</si>
  <si>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</si>
  <si>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</si>
  <si>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</si>
  <si>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</si>
  <si>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</si>
  <si>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</si>
  <si>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</si>
  <si>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20260704|SND|Zip Bag Small / </t>
    </r>
    <r>
      <rPr>
        <sz val="11"/>
        <color theme="1"/>
        <rFont val="DejaVu Sans"/>
        <family val="2"/>
      </rPr>
      <t>ถุงซิป</t>
    </r>
  </si>
  <si>
    <t>20260704|SND|Bag 4x14</t>
  </si>
  <si>
    <t>20260704|SND|Bag 6x14</t>
  </si>
  <si>
    <t>20260704|SND|Bag 8x14</t>
  </si>
  <si>
    <t>20260704|SND|Bag 9x14</t>
  </si>
  <si>
    <r>
      <rPr>
        <sz val="11"/>
        <color theme="1"/>
        <rFont val="Calibri"/>
        <family val="2"/>
        <charset val="1"/>
      </rPr>
      <t xml:space="preserve">20260704|SND|Bag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</si>
  <si>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20260704|SND|Sticker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</si>
  <si>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20260704|SND|Print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</si>
  <si>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20260704|SND|Gloves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</si>
  <si>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20260704|SND|Black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</si>
  <si>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20260704|SND|Dry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</si>
  <si>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20260704|SND|Wet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</si>
  <si>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20260704|SND|Tissue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</si>
  <si>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</si>
  <si>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</si>
  <si>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</si>
  <si>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</si>
  <si>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น้ำยาล้างเครื่องไอดิม</t>
    </r>
  </si>
  <si>
    <t>20260704|SND|Wake up call (Banana)</t>
  </si>
  <si>
    <t>20260704|SND|Energy Sip (Straw+Banana)</t>
  </si>
  <si>
    <t>20260704|SND|Yellow Madness (Pineapple+Mango+Passion)</t>
  </si>
  <si>
    <t>20260704|SND|Ready to Glow (Straw+Blue+Banana)</t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</si>
  <si>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</si>
  <si>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</si>
  <si>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</si>
  <si>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</si>
  <si>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20260704|SND|Biscoff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</si>
  <si>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20260704|SND|Biscoff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</si>
  <si>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</si>
  <si>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</si>
  <si>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</si>
  <si>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20260704|SND|</t>
    </r>
    <r>
      <rPr>
        <sz val="11"/>
        <color theme="1"/>
        <rFont val="DejaVu Sans"/>
        <family val="2"/>
      </rPr>
      <t>ปีโป้ลิ้นจี่</t>
    </r>
  </si>
  <si>
    <t>20260706|SND|Greek Yogurt 1kg</t>
  </si>
  <si>
    <t>20260706|SND|Yuzu</t>
  </si>
  <si>
    <t>20260706|SND|Kyoho</t>
  </si>
  <si>
    <t>20260706|SND|Mint</t>
  </si>
  <si>
    <t>20260706|SND|Vanilla</t>
  </si>
  <si>
    <t>20260706|SND|Pineapple</t>
  </si>
  <si>
    <t>20260706|SND|Biscoff</t>
  </si>
  <si>
    <t>20260706|SND|Overnight oats biscoff</t>
  </si>
  <si>
    <r>
      <rPr>
        <sz val="11"/>
        <color theme="1"/>
        <rFont val="Calibri"/>
        <family val="2"/>
        <charset val="1"/>
      </rPr>
      <t>20260706|SND|Plain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</si>
  <si>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เนื้อเป็นเกล็ดแข็ง</t>
  </si>
  <si>
    <t>20260706|SND|Greek Yogurt 500g</t>
  </si>
  <si>
    <t>20260706|SND|Plain Yogurt 500g</t>
  </si>
  <si>
    <t>20260706|SND|R-ACAI Bowl</t>
  </si>
  <si>
    <t>20260706|SND|S-ACAI Cup (mini)</t>
  </si>
  <si>
    <r>
      <rPr>
        <sz val="11"/>
        <color theme="1"/>
        <rFont val="Calibri"/>
        <family val="2"/>
        <charset val="1"/>
      </rPr>
      <t xml:space="preserve">20260706|SND|Softserve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</si>
  <si>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20260706|SND|Shake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</si>
  <si>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20260706|SND|Peanut Butter</t>
  </si>
  <si>
    <r>
      <rPr>
        <sz val="11"/>
        <color theme="1"/>
        <rFont val="Calibri"/>
        <family val="2"/>
        <charset val="1"/>
      </rPr>
      <t xml:space="preserve">20260706|SND|Water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</si>
  <si>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ถุงสตรอเบอรี่</t>
    </r>
  </si>
  <si>
    <t>หมดอายุ</t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</si>
  <si>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</si>
  <si>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</si>
  <si>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</si>
  <si>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</si>
  <si>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ถุงพีช</t>
    </r>
  </si>
  <si>
    <t>20260706|SND|Cornflakes Malt (M)</t>
  </si>
  <si>
    <t>20260706|SND|Granola (M)</t>
  </si>
  <si>
    <t>20260706|SND|Choc Chip Cookies</t>
  </si>
  <si>
    <t>20260706|SND|Cookies Crumbs</t>
  </si>
  <si>
    <t>20260706|SND|Oreo</t>
  </si>
  <si>
    <t>20260706|SND|Choc Chips</t>
  </si>
  <si>
    <t>20260706|SND|Cornflakes (Topping)</t>
  </si>
  <si>
    <t>20260706|SND|Granola (Topping)</t>
  </si>
  <si>
    <t>20260706|SND|Almond</t>
  </si>
  <si>
    <t>20260706|SND|Pecan</t>
  </si>
  <si>
    <t>20260706|SND|Walnut</t>
  </si>
  <si>
    <t>20260706|SND|Coconut Chips</t>
  </si>
  <si>
    <t>20260706|SND|Chia Seed</t>
  </si>
  <si>
    <t>20260706|SND|Flax Seed</t>
  </si>
  <si>
    <t>20260706|SND|Cacao Nibs</t>
  </si>
  <si>
    <t>20260706|SND|Grape Jelly</t>
  </si>
  <si>
    <t>20260706|SND|Honey Jelly</t>
  </si>
  <si>
    <t>20260706|SND|Strawberry (250g)</t>
  </si>
  <si>
    <t>20260706|SND|Strawberry (500g)</t>
  </si>
  <si>
    <t>20260706|SND|Blueberry (125g)</t>
  </si>
  <si>
    <t>20260706|SND|Blueberry (300g)</t>
  </si>
  <si>
    <t>20260706|SND|Blueberry (500g)</t>
  </si>
  <si>
    <t>20260706|SND|Apple Cinnamon</t>
  </si>
  <si>
    <t>20260706|SND|Banana</t>
  </si>
  <si>
    <t>20260706|SND|Honey</t>
  </si>
  <si>
    <t>20260706|SND|Caramel</t>
  </si>
  <si>
    <t>20260706|SND|Peanut Butter Sauce</t>
  </si>
  <si>
    <t>20260706|SND|Cup P (5oz)</t>
  </si>
  <si>
    <t>20260706|SND|Cup S (9oz)</t>
  </si>
  <si>
    <t>20260706|SND|Small Bowl</t>
  </si>
  <si>
    <t>20260706|SND|Cup (14oz)</t>
  </si>
  <si>
    <t>20260706|SND|Cup 3oz (Topping)</t>
  </si>
  <si>
    <t>20260706|SND|Cup+Lid (Big) 3oz</t>
  </si>
  <si>
    <t>20260706|SND|Cup+Lid (Small) 1oz</t>
  </si>
  <si>
    <t>20260706|SND|Bowl Lid</t>
  </si>
  <si>
    <t>20260706|SND|Smoothies Lid</t>
  </si>
  <si>
    <t>20260706|SND|Lid S (92)</t>
  </si>
  <si>
    <t>20260706|SND|Lid Top / Lid P (75)</t>
  </si>
  <si>
    <t>20260706|SND|Wood Spoon in bag</t>
  </si>
  <si>
    <t>20260706|SND|Wood Spoon</t>
  </si>
  <si>
    <r>
      <rPr>
        <sz val="11"/>
        <color theme="1"/>
        <rFont val="Calibri"/>
        <family val="2"/>
        <charset val="1"/>
      </rPr>
      <t xml:space="preserve">20260706|SND|Tester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</si>
  <si>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20260706|SND|Short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</si>
  <si>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20260706|SND|Straw/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</si>
  <si>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20260706|SND|Straw/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</si>
  <si>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20260706|SND|Fail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</si>
  <si>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</si>
  <si>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</si>
  <si>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</si>
  <si>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</si>
  <si>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</si>
  <si>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</si>
  <si>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</si>
  <si>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20260706|SND|Zip Bag Small / </t>
    </r>
    <r>
      <rPr>
        <sz val="11"/>
        <color theme="1"/>
        <rFont val="DejaVu Sans"/>
        <family val="2"/>
      </rPr>
      <t>ถุงซิป</t>
    </r>
  </si>
  <si>
    <t>20260706|SND|Bag 4x14</t>
  </si>
  <si>
    <t>20260706|SND|Bag 6x14</t>
  </si>
  <si>
    <t>20260706|SND|Bag 8x14</t>
  </si>
  <si>
    <t>20260706|SND|Bag 9x14</t>
  </si>
  <si>
    <r>
      <rPr>
        <sz val="11"/>
        <color theme="1"/>
        <rFont val="Calibri"/>
        <family val="2"/>
        <charset val="1"/>
      </rPr>
      <t xml:space="preserve">20260706|SND|Bag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</si>
  <si>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20260706|SND|Sticker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</si>
  <si>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20260706|SND|Print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</si>
  <si>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20260706|SND|Gloves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</si>
  <si>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20260706|SND|Black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</si>
  <si>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20260706|SND|Dry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</si>
  <si>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20260706|SND|Wet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</si>
  <si>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20260706|SND|Tissue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</si>
  <si>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</si>
  <si>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</si>
  <si>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</si>
  <si>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</si>
  <si>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น้ำยาล้างเครื่องไอดิม</t>
    </r>
  </si>
  <si>
    <t>20260706|SND|Wake up call (Banana)</t>
  </si>
  <si>
    <t>20260706|SND|Energy Sip (Straw+Banana)</t>
  </si>
  <si>
    <t>20260706|SND|Yellow Madness (Pineapple+Mango+Passion)</t>
  </si>
  <si>
    <t>20260706|SND|Ready to Glow (Straw+Blue+Banana)</t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</si>
  <si>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</si>
  <si>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</si>
  <si>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</si>
  <si>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</si>
  <si>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20260706|SND|Biscoff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</si>
  <si>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20260706|SND|Biscoff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</si>
  <si>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</si>
  <si>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</si>
  <si>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</si>
  <si>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20260706|SND|</t>
    </r>
    <r>
      <rPr>
        <sz val="11"/>
        <color theme="1"/>
        <rFont val="DejaVu Sans"/>
        <family val="2"/>
      </rPr>
      <t>ปีโป้ลิ้นจี่</t>
    </r>
  </si>
  <si>
    <t>20260707|SND|Greek Yogurt 1kg</t>
  </si>
  <si>
    <t>20260707|SND|Yuzu</t>
  </si>
  <si>
    <t>20260707|SND|Kyoho</t>
  </si>
  <si>
    <t>20260707|SND|Mint</t>
  </si>
  <si>
    <t>20260707|SND|Vanilla</t>
  </si>
  <si>
    <t>20260707|SND|Pineapple</t>
  </si>
  <si>
    <t>20260707|SND|Biscoff</t>
  </si>
  <si>
    <t>20260707|SND|Overnight oats biscoff</t>
  </si>
  <si>
    <r>
      <rPr>
        <sz val="11"/>
        <color theme="1"/>
        <rFont val="Calibri"/>
        <family val="2"/>
        <charset val="1"/>
      </rPr>
      <t>20260707|SND|Plain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</si>
  <si>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20260707|SND|Greek Yogurt 500g</t>
  </si>
  <si>
    <t>20260707|SND|Plain Yogurt 500g</t>
  </si>
  <si>
    <t>20260707|SND|R-ACAI Bowl</t>
  </si>
  <si>
    <t>20260707|SND|S-ACAI Cup (mini)</t>
  </si>
  <si>
    <r>
      <rPr>
        <sz val="11"/>
        <color theme="1"/>
        <rFont val="Calibri"/>
        <family val="2"/>
        <charset val="1"/>
      </rPr>
      <t xml:space="preserve">20260707|SND|Softserve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</si>
  <si>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20260707|SND|Shake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</si>
  <si>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20260707|SND|Peanut Butter</t>
  </si>
  <si>
    <r>
      <rPr>
        <sz val="11"/>
        <color theme="1"/>
        <rFont val="Calibri"/>
        <family val="2"/>
        <charset val="1"/>
      </rPr>
      <t xml:space="preserve">20260707|SND|Water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</si>
  <si>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</si>
  <si>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</si>
  <si>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</si>
  <si>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</si>
  <si>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</si>
  <si>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ถุงพีช</t>
    </r>
  </si>
  <si>
    <t>20260707|SND|Cornflakes Malt (M)</t>
  </si>
  <si>
    <t>20260707|SND|Granola (M)</t>
  </si>
  <si>
    <t>20260707|SND|Choc Chip Cookies</t>
  </si>
  <si>
    <t>20260707|SND|Cookies Crumbs</t>
  </si>
  <si>
    <t>20260707|SND|Oreo</t>
  </si>
  <si>
    <t>20260707|SND|Choc Chips</t>
  </si>
  <si>
    <t>20260707|SND|Cornflakes (Topping)</t>
  </si>
  <si>
    <t>20260707|SND|Granola (Topping)</t>
  </si>
  <si>
    <t>20260707|SND|Almond</t>
  </si>
  <si>
    <t>20260707|SND|Pecan</t>
  </si>
  <si>
    <t>20260707|SND|Walnut</t>
  </si>
  <si>
    <t>20260707|SND|Coconut Chips</t>
  </si>
  <si>
    <t>20260707|SND|Chia Seed</t>
  </si>
  <si>
    <t>20260707|SND|Flax Seed</t>
  </si>
  <si>
    <t>20260707|SND|Cacao Nibs</t>
  </si>
  <si>
    <t>20260707|SND|Grape Jelly</t>
  </si>
  <si>
    <t>20260707|SND|Honey Jelly</t>
  </si>
  <si>
    <t>20260707|SND|Strawberry (250g)</t>
  </si>
  <si>
    <t>20260707|SND|Strawberry (500g)</t>
  </si>
  <si>
    <t>20260707|SND|Blueberry (125g)</t>
  </si>
  <si>
    <t>20260707|SND|Blueberry (300g)</t>
  </si>
  <si>
    <t>20260707|SND|Blueberry (500g)</t>
  </si>
  <si>
    <t>20260707|SND|Apple Cinnamon</t>
  </si>
  <si>
    <t>20260707|SND|Banana</t>
  </si>
  <si>
    <t>20260707|SND|Honey</t>
  </si>
  <si>
    <t>20260707|SND|Caramel</t>
  </si>
  <si>
    <t>20260707|SND|Peanut Butter Sauce</t>
  </si>
  <si>
    <t>20260707|SND|Cup P (5oz)</t>
  </si>
  <si>
    <t>20260707|SND|Cup S (9oz)</t>
  </si>
  <si>
    <t>20260707|SND|Small Bowl</t>
  </si>
  <si>
    <t>20260707|SND|Cup (14oz)</t>
  </si>
  <si>
    <t>20260707|SND|Cup 3oz (Topping)</t>
  </si>
  <si>
    <t>20260707|SND|Cup+Lid (Big) 3oz</t>
  </si>
  <si>
    <t>20260707|SND|Cup+Lid (Small) 1oz</t>
  </si>
  <si>
    <t>20260707|SND|Bowl Lid</t>
  </si>
  <si>
    <t>20260707|SND|Smoothies Lid</t>
  </si>
  <si>
    <t>20260707|SND|Lid S (92)</t>
  </si>
  <si>
    <t>20260707|SND|Lid Top / Lid P (75)</t>
  </si>
  <si>
    <t>20260707|SND|Wood Spoon in bag</t>
  </si>
  <si>
    <t>20260707|SND|Wood Spoon</t>
  </si>
  <si>
    <r>
      <rPr>
        <sz val="11"/>
        <color theme="1"/>
        <rFont val="Calibri"/>
        <family val="2"/>
        <charset val="1"/>
      </rPr>
      <t xml:space="preserve">20260707|SND|Tester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</si>
  <si>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20260707|SND|Short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</si>
  <si>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20260707|SND|Straw/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</si>
  <si>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20260707|SND|Straw/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</si>
  <si>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20260707|SND|Fail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</si>
  <si>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</si>
  <si>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</si>
  <si>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</si>
  <si>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</si>
  <si>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</si>
  <si>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</si>
  <si>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</si>
  <si>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20260707|SND|Zip Bag Small / </t>
    </r>
    <r>
      <rPr>
        <sz val="11"/>
        <color theme="1"/>
        <rFont val="DejaVu Sans"/>
        <family val="2"/>
      </rPr>
      <t>ถุงซิป</t>
    </r>
  </si>
  <si>
    <t>20260707|SND|Bag 4x14</t>
  </si>
  <si>
    <t>20260707|SND|Bag 6x14</t>
  </si>
  <si>
    <t>20260707|SND|Bag 8x14</t>
  </si>
  <si>
    <t>20260707|SND|Bag 9x14</t>
  </si>
  <si>
    <r>
      <rPr>
        <sz val="11"/>
        <color theme="1"/>
        <rFont val="Calibri"/>
        <family val="2"/>
        <charset val="1"/>
      </rPr>
      <t xml:space="preserve">20260707|SND|Bag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</si>
  <si>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20260707|SND|Sticker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</si>
  <si>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20260707|SND|Print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</si>
  <si>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20260707|SND|Gloves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</si>
  <si>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20260707|SND|Black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</si>
  <si>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20260707|SND|Dry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</si>
  <si>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20260707|SND|Wet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</si>
  <si>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</si>
  <si>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</si>
  <si>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</si>
  <si>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</si>
  <si>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น้ำยาล้างเครื่องไอดิม</t>
    </r>
  </si>
  <si>
    <t>20260707|SND|Wake up call (Banana)</t>
  </si>
  <si>
    <t>20260707|SND|Energy Sip (Straw+Banana)</t>
  </si>
  <si>
    <t>20260707|SND|Yellow Madness (Pineapple+Mango+Passion)</t>
  </si>
  <si>
    <t>20260707|SND|Ready to Glow (Straw+Blue+Banana)</t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</si>
  <si>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</si>
  <si>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</si>
  <si>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</si>
  <si>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</si>
  <si>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20260707|SND|Biscoff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</si>
  <si>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20260707|SND|Biscoff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</si>
  <si>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</si>
  <si>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</si>
  <si>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</si>
  <si>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20260707|SND|</t>
    </r>
    <r>
      <rPr>
        <sz val="11"/>
        <color theme="1"/>
        <rFont val="DejaVu Sans"/>
        <family val="2"/>
      </rPr>
      <t>ปีโป้ลิ้นจี่</t>
    </r>
  </si>
  <si>
    <t>20260708|SND|Greek Yogurt 1kg</t>
  </si>
  <si>
    <t>20260708|SND|Yuzu</t>
  </si>
  <si>
    <t>20260708|SND|Kyoho</t>
  </si>
  <si>
    <t>20260708|SND|Mint</t>
  </si>
  <si>
    <t>20260708|SND|Vanilla</t>
  </si>
  <si>
    <t>20260708|SND|Pineapple</t>
  </si>
  <si>
    <t>20260708|SND|Biscoff</t>
  </si>
  <si>
    <t>20260708|SND|Overnight oats biscoff</t>
  </si>
  <si>
    <r>
      <rPr>
        <sz val="11"/>
        <color theme="1"/>
        <rFont val="Calibri"/>
        <family val="2"/>
        <charset val="1"/>
      </rPr>
      <t>20260708|SND|Plain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</si>
  <si>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20260708|SND|Greek Yogurt 500g</t>
  </si>
  <si>
    <t>20260708|SND|Plain Yogurt 500g</t>
  </si>
  <si>
    <t>20260708|SND|R-ACAI Bowl</t>
  </si>
  <si>
    <t>20260708|SND|S-ACAI Cup (mini)</t>
  </si>
  <si>
    <r>
      <rPr>
        <sz val="11"/>
        <color theme="1"/>
        <rFont val="Calibri"/>
        <family val="2"/>
        <charset val="1"/>
      </rPr>
      <t xml:space="preserve">20260708|SND|Softserve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</si>
  <si>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20260708|SND|Shake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</si>
  <si>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20260708|SND|Peanut Butter</t>
  </si>
  <si>
    <r>
      <rPr>
        <sz val="11"/>
        <color theme="1"/>
        <rFont val="Calibri"/>
        <family val="2"/>
        <charset val="1"/>
      </rPr>
      <t xml:space="preserve">20260708|SND|Water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</si>
  <si>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</si>
  <si>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</si>
  <si>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</si>
  <si>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</si>
  <si>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</si>
  <si>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ถุงพีช</t>
    </r>
  </si>
  <si>
    <t>20260708|SND|Cornflakes Malt (M)</t>
  </si>
  <si>
    <t>20260708|SND|Granola (M)</t>
  </si>
  <si>
    <t>20260708|SND|Choc Chip Cookies</t>
  </si>
  <si>
    <t>20260708|SND|Cookies Crumbs</t>
  </si>
  <si>
    <t>20260708|SND|Oreo</t>
  </si>
  <si>
    <t>20260708|SND|Choc Chips</t>
  </si>
  <si>
    <t>20260708|SND|Cornflakes (Topping)</t>
  </si>
  <si>
    <t>20260708|SND|Granola (Topping)</t>
  </si>
  <si>
    <t>20260708|SND|Almond</t>
  </si>
  <si>
    <t>20260708|SND|Pecan</t>
  </si>
  <si>
    <t>20260708|SND|Walnut</t>
  </si>
  <si>
    <t>20260708|SND|Coconut Chips</t>
  </si>
  <si>
    <t>20260708|SND|Chia Seed</t>
  </si>
  <si>
    <t>20260708|SND|Flax Seed</t>
  </si>
  <si>
    <t>20260708|SND|Cacao Nibs</t>
  </si>
  <si>
    <t>20260708|SND|Grape Jelly</t>
  </si>
  <si>
    <t>20260708|SND|Honey Jelly</t>
  </si>
  <si>
    <t>20260708|SND|Strawberry (250g)</t>
  </si>
  <si>
    <t>20260708|SND|Strawberry (500g)</t>
  </si>
  <si>
    <t>20260708|SND|Blueberry (125g)</t>
  </si>
  <si>
    <t>20260708|SND|Blueberry (300g)</t>
  </si>
  <si>
    <t>20260708|SND|Blueberry (500g)</t>
  </si>
  <si>
    <t>20260708|SND|Apple Cinnamon</t>
  </si>
  <si>
    <t>20260708|SND|Banana</t>
  </si>
  <si>
    <t>20260708|SND|Honey</t>
  </si>
  <si>
    <t>20260708|SND|Caramel</t>
  </si>
  <si>
    <t>20260708|SND|Peanut Butter Sauce</t>
  </si>
  <si>
    <t>20260708|SND|Cup P (5oz)</t>
  </si>
  <si>
    <t>20260708|SND|Cup S (9oz)</t>
  </si>
  <si>
    <t>20260708|SND|Small Bowl</t>
  </si>
  <si>
    <t>20260708|SND|Cup (14oz)</t>
  </si>
  <si>
    <t>20260708|SND|Cup 3oz (Topping)</t>
  </si>
  <si>
    <t>20260708|SND|Cup+Lid (Big) 3oz</t>
  </si>
  <si>
    <t>20260708|SND|Cup+Lid (Small) 1oz</t>
  </si>
  <si>
    <t>20260708|SND|Bowl Lid</t>
  </si>
  <si>
    <t>20260708|SND|Smoothies Lid</t>
  </si>
  <si>
    <t>20260708|SND|Lid S (92)</t>
  </si>
  <si>
    <t>20260708|SND|Lid Top / Lid P (75)</t>
  </si>
  <si>
    <t>20260708|SND|Wood Spoon in bag</t>
  </si>
  <si>
    <t>20260708|SND|Wood Spoon</t>
  </si>
  <si>
    <r>
      <rPr>
        <sz val="11"/>
        <color theme="1"/>
        <rFont val="Calibri"/>
        <family val="2"/>
        <charset val="1"/>
      </rPr>
      <t xml:space="preserve">20260708|SND|Tester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</si>
  <si>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20260708|SND|Short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</si>
  <si>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20260708|SND|Straw/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</si>
  <si>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20260708|SND|Straw/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</si>
  <si>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20260708|SND|Fail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</si>
  <si>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</si>
  <si>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</si>
  <si>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</si>
  <si>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</si>
  <si>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</si>
  <si>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</si>
  <si>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</si>
  <si>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20260708|SND|Zip Bag Small / </t>
    </r>
    <r>
      <rPr>
        <sz val="11"/>
        <color theme="1"/>
        <rFont val="DejaVu Sans"/>
        <family val="2"/>
      </rPr>
      <t>ถุงซิป</t>
    </r>
  </si>
  <si>
    <t>20260708|SND|Bag 4x14</t>
  </si>
  <si>
    <t>20260708|SND|Bag 6x14</t>
  </si>
  <si>
    <t>20260708|SND|Bag 8x14</t>
  </si>
  <si>
    <t>20260708|SND|Bag 9x14</t>
  </si>
  <si>
    <r>
      <rPr>
        <sz val="11"/>
        <color theme="1"/>
        <rFont val="Calibri"/>
        <family val="2"/>
        <charset val="1"/>
      </rPr>
      <t xml:space="preserve">20260708|SND|Bag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</si>
  <si>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20260708|SND|Sticker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</si>
  <si>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20260708|SND|Print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</si>
  <si>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20260708|SND|Gloves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</si>
  <si>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20260708|SND|Black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</si>
  <si>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20260708|SND|Dry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</si>
  <si>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20260708|SND|Wet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</si>
  <si>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20260708|SND|Tissue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</si>
  <si>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</si>
  <si>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</si>
  <si>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</si>
  <si>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</si>
  <si>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น้ำยาล้างเครื่องไอดิม</t>
    </r>
  </si>
  <si>
    <t>20260708|SND|Wake up call (Banana)</t>
  </si>
  <si>
    <t>20260708|SND|Energy Sip (Straw+Banana)</t>
  </si>
  <si>
    <t>20260708|SND|Yellow Madness (Pineapple+Mango+Passion)</t>
  </si>
  <si>
    <t>20260708|SND|Ready to Glow (Straw+Blue+Banana)</t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</si>
  <si>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</si>
  <si>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</si>
  <si>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</si>
  <si>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</si>
  <si>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20260708|SND|Biscoff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</si>
  <si>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20260708|SND|Biscoff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</si>
  <si>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</si>
  <si>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</si>
  <si>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</si>
  <si>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20260708|SND|</t>
    </r>
    <r>
      <rPr>
        <sz val="11"/>
        <color theme="1"/>
        <rFont val="DejaVu Sans"/>
        <family val="2"/>
      </rPr>
      <t>ปีโป้ลิ้นจี่</t>
    </r>
  </si>
  <si>
    <t>20260709|SND|Greek Yogurt 1kg</t>
  </si>
  <si>
    <t>20260709|SND|Yuzu</t>
  </si>
  <si>
    <t>20260709|SND|Kyoho</t>
  </si>
  <si>
    <t>20260709|SND|Mint</t>
  </si>
  <si>
    <t>20260709|SND|Vanilla</t>
  </si>
  <si>
    <t>20260709|SND|Pineapple</t>
  </si>
  <si>
    <t>20260709|SND|Biscoff</t>
  </si>
  <si>
    <t>20260709|SND|Overnight oats biscoff</t>
  </si>
  <si>
    <r>
      <rPr>
        <sz val="11"/>
        <color theme="1"/>
        <rFont val="Calibri"/>
        <family val="2"/>
        <charset val="1"/>
      </rPr>
      <t>20260709|SND|Plain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</si>
  <si>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20260709|SND|Greek Yogurt 500g</t>
  </si>
  <si>
    <t>20260709|SND|Plain Yogurt 500g</t>
  </si>
  <si>
    <t>20260709|SND|R-ACAI Bowl</t>
  </si>
  <si>
    <t>20260709|SND|S-ACAI Cup (mini)</t>
  </si>
  <si>
    <r>
      <rPr>
        <sz val="11"/>
        <color theme="1"/>
        <rFont val="Calibri"/>
        <family val="2"/>
        <charset val="1"/>
      </rPr>
      <t xml:space="preserve">20260709|SND|Softserve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</si>
  <si>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20260709|SND|Shake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</si>
  <si>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20260709|SND|Peanut Butter</t>
  </si>
  <si>
    <r>
      <rPr>
        <sz val="11"/>
        <color theme="1"/>
        <rFont val="Calibri"/>
        <family val="2"/>
        <charset val="1"/>
      </rPr>
      <t xml:space="preserve">20260709|SND|Water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</si>
  <si>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</si>
  <si>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</si>
  <si>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</si>
  <si>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</si>
  <si>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</si>
  <si>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ถุงพีช</t>
    </r>
  </si>
  <si>
    <t>20260709|SND|Cornflakes Malt (M)</t>
  </si>
  <si>
    <t>20260709|SND|Granola (M)</t>
  </si>
  <si>
    <t>20260709|SND|Choc Chip Cookies</t>
  </si>
  <si>
    <t>20260709|SND|Cookies Crumbs</t>
  </si>
  <si>
    <t>20260709|SND|Oreo</t>
  </si>
  <si>
    <t>20260709|SND|Choc Chips</t>
  </si>
  <si>
    <t>20260709|SND|Cornflakes (Topping)</t>
  </si>
  <si>
    <t>20260709|SND|Granola (Topping)</t>
  </si>
  <si>
    <t>20260709|SND|Almond</t>
  </si>
  <si>
    <t>20260709|SND|Pecan</t>
  </si>
  <si>
    <t>20260709|SND|Walnut</t>
  </si>
  <si>
    <t>20260709|SND|Coconut Chips</t>
  </si>
  <si>
    <t>20260709|SND|Chia Seed</t>
  </si>
  <si>
    <t>20260709|SND|Flax Seed</t>
  </si>
  <si>
    <t>20260709|SND|Cacao Nibs</t>
  </si>
  <si>
    <t>20260709|SND|Grape Jelly</t>
  </si>
  <si>
    <t>20260709|SND|Honey Jelly</t>
  </si>
  <si>
    <t>เน่า</t>
  </si>
  <si>
    <t>20260709|SND|Strawberry (250g)</t>
  </si>
  <si>
    <t>20260709|SND|Strawberry (500g)</t>
  </si>
  <si>
    <t>20260709|SND|Blueberry (125g)</t>
  </si>
  <si>
    <t>20260709|SND|Blueberry (300g)</t>
  </si>
  <si>
    <t>20260709|SND|Blueberry (500g)</t>
  </si>
  <si>
    <t>20260709|SND|Apple Cinnamon</t>
  </si>
  <si>
    <t>20260709|SND|Banana</t>
  </si>
  <si>
    <t>20260709|SND|Honey</t>
  </si>
  <si>
    <t>20260709|SND|Caramel</t>
  </si>
  <si>
    <t>20260709|SND|Peanut Butter Sauce</t>
  </si>
  <si>
    <t>20260709|SND|Cup P (5oz)</t>
  </si>
  <si>
    <t>20260709|SND|Cup S (9oz)</t>
  </si>
  <si>
    <t>20260709|SND|Small Bowl</t>
  </si>
  <si>
    <t>20260709|SND|Cup (14oz)</t>
  </si>
  <si>
    <t>20260709|SND|Cup 3oz (Topping)</t>
  </si>
  <si>
    <t>20260709|SND|Cup+Lid (Big) 3oz</t>
  </si>
  <si>
    <t>20260709|SND|Cup+Lid (Small) 1oz</t>
  </si>
  <si>
    <t>20260709|SND|Bowl Lid</t>
  </si>
  <si>
    <t>20260709|SND|Smoothies Lid</t>
  </si>
  <si>
    <t>20260709|SND|Lid S (92)</t>
  </si>
  <si>
    <t>20260709|SND|Lid Top / Lid P (75)</t>
  </si>
  <si>
    <t>20260709|SND|Wood Spoon in bag</t>
  </si>
  <si>
    <t>20260709|SND|Wood Spoon</t>
  </si>
  <si>
    <r>
      <rPr>
        <sz val="11"/>
        <color theme="1"/>
        <rFont val="Calibri"/>
        <family val="2"/>
        <charset val="1"/>
      </rPr>
      <t xml:space="preserve">20260709|SND|Tester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</si>
  <si>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20260709|SND|Short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</si>
  <si>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20260709|SND|Straw/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</si>
  <si>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20260709|SND|Straw/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</si>
  <si>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20260709|SND|Fail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</si>
  <si>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</si>
  <si>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</si>
  <si>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</si>
  <si>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</si>
  <si>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</si>
  <si>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</si>
  <si>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</si>
  <si>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20260709|SND|Zip Bag Small / </t>
    </r>
    <r>
      <rPr>
        <sz val="11"/>
        <color theme="1"/>
        <rFont val="DejaVu Sans"/>
        <family val="2"/>
      </rPr>
      <t>ถุงซิป</t>
    </r>
  </si>
  <si>
    <t>20260709|SND|Bag 4x14</t>
  </si>
  <si>
    <t>20260709|SND|Bag 6x14</t>
  </si>
  <si>
    <t>20260709|SND|Bag 8x14</t>
  </si>
  <si>
    <t>20260709|SND|Bag 9x14</t>
  </si>
  <si>
    <r>
      <rPr>
        <sz val="11"/>
        <color theme="1"/>
        <rFont val="Calibri"/>
        <family val="2"/>
        <charset val="1"/>
      </rPr>
      <t xml:space="preserve">20260709|SND|Bag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</si>
  <si>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20260709|SND|Sticker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</si>
  <si>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20260709|SND|Print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</si>
  <si>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20260709|SND|Gloves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</si>
  <si>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20260709|SND|Black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</si>
  <si>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20260709|SND|Dry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</si>
  <si>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20260709|SND|Wet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</si>
  <si>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20260709|SND|Tissue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</si>
  <si>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</si>
  <si>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</si>
  <si>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</si>
  <si>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</si>
  <si>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น้ำยาล้างเครื่องไอดิม</t>
    </r>
  </si>
  <si>
    <t>20260709|SND|Wake up call (Banana)</t>
  </si>
  <si>
    <t>20260709|SND|Energy Sip (Straw+Banana)</t>
  </si>
  <si>
    <t>20260709|SND|Yellow Madness (Pineapple+Mango+Passion)</t>
  </si>
  <si>
    <t>20260709|SND|Ready to Glow (Straw+Blue+Banana)</t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</si>
  <si>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</si>
  <si>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</si>
  <si>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</si>
  <si>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</si>
  <si>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20260709|SND|Biscoff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</si>
  <si>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20260709|SND|Biscoff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</si>
  <si>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</si>
  <si>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</si>
  <si>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</si>
  <si>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20260709|SND|</t>
    </r>
    <r>
      <rPr>
        <sz val="11"/>
        <color theme="1"/>
        <rFont val="DejaVu Sans"/>
        <family val="2"/>
      </rPr>
      <t>ปีโป้ลิ้นจี่</t>
    </r>
  </si>
  <si>
    <t>20260710|SND|Greek Yogurt 1kg</t>
  </si>
  <si>
    <t>20260710|SND|Yuzu</t>
  </si>
  <si>
    <t>20260710|SND|Kyoho</t>
  </si>
  <si>
    <t>20260710|SND|Mint</t>
  </si>
  <si>
    <t>20260710|SND|Vanilla</t>
  </si>
  <si>
    <t>20260710|SND|Pineapple</t>
  </si>
  <si>
    <t>20260710|SND|Biscoff</t>
  </si>
  <si>
    <t>20260710|SND|Overnight oats biscoff</t>
  </si>
  <si>
    <r>
      <rPr>
        <sz val="11"/>
        <color theme="1"/>
        <rFont val="Calibri"/>
        <family val="2"/>
        <charset val="1"/>
      </rPr>
      <t>20260710|SND|Plain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</si>
  <si>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20260710|SND|Greek Yogurt 500g</t>
  </si>
  <si>
    <t>20260710|SND|Plain Yogurt 500g</t>
  </si>
  <si>
    <t>20260710|SND|R-ACAI Bowl</t>
  </si>
  <si>
    <t>20260710|SND|S-ACAI Cup (mini)</t>
  </si>
  <si>
    <r>
      <rPr>
        <sz val="11"/>
        <color theme="1"/>
        <rFont val="Calibri"/>
        <family val="2"/>
        <charset val="1"/>
      </rPr>
      <t xml:space="preserve">20260710|SND|Softserve </t>
    </r>
    <r>
      <rPr>
        <sz val="11"/>
        <color theme="1"/>
        <rFont val="DejaVu Sans"/>
        <family val="2"/>
      </rPr>
      <t>ถ้วยกระดาษ</t>
    </r>
  </si>
  <si>
    <t>มีเศษดำจากไม้ปั่น</t>
  </si>
  <si>
    <r>
      <rPr>
        <sz val="11"/>
        <color theme="1"/>
        <rFont val="Calibri"/>
        <family val="2"/>
        <charset val="1"/>
      </rPr>
      <t>20260710|SND|Shake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</si>
  <si>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20260710|SND|Peanut Butter</t>
  </si>
  <si>
    <r>
      <rPr>
        <sz val="11"/>
        <color theme="1"/>
        <rFont val="Calibri"/>
        <family val="2"/>
        <charset val="1"/>
      </rPr>
      <t xml:space="preserve">20260710|SND|Water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</si>
  <si>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</si>
  <si>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</si>
  <si>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</si>
  <si>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</si>
  <si>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</si>
  <si>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ถุงพีช</t>
    </r>
  </si>
  <si>
    <t>20260710|SND|Cornflakes Malt (M)</t>
  </si>
  <si>
    <t>20260710|SND|Granola (M)</t>
  </si>
  <si>
    <t>20260710|SND|Choc Chip Cookies</t>
  </si>
  <si>
    <t>20260710|SND|Cookies Crumbs</t>
  </si>
  <si>
    <t>20260710|SND|Oreo</t>
  </si>
  <si>
    <t>20260710|SND|Choc Chips</t>
  </si>
  <si>
    <t>20260710|SND|Cornflakes (Topping)</t>
  </si>
  <si>
    <t>20260710|SND|Granola (Topping)</t>
  </si>
  <si>
    <t>20260710|SND|Almond</t>
  </si>
  <si>
    <t>20260710|SND|Pecan</t>
  </si>
  <si>
    <t>20260710|SND|Walnut</t>
  </si>
  <si>
    <t>20260710|SND|Coconut Chips</t>
  </si>
  <si>
    <t>20260710|SND|Chia Seed</t>
  </si>
  <si>
    <t>20260710|SND|Flax Seed</t>
  </si>
  <si>
    <t>20260710|SND|Cacao Nibs</t>
  </si>
  <si>
    <t>20260710|SND|Grape Jelly</t>
  </si>
  <si>
    <t>20260710|SND|Honey Jelly</t>
  </si>
  <si>
    <t>20260710|SND|Blueberry (125g)</t>
  </si>
  <si>
    <t>20260710|SND|Blueberry (300g)</t>
  </si>
  <si>
    <t>20260710|SND|Blueberry (500g)</t>
  </si>
  <si>
    <t>20260710|SND|Apple Cinnamon</t>
  </si>
  <si>
    <t>20260710|SND|Banana</t>
  </si>
  <si>
    <t>20260710|SND|Honey</t>
  </si>
  <si>
    <t>20260710|SND|Caramel</t>
  </si>
  <si>
    <t>20260710|SND|Peanut Butter Sauce</t>
  </si>
  <si>
    <t>20260710|SND|Cup P (5oz)</t>
  </si>
  <si>
    <t>20260710|SND|Cup S (9oz)</t>
  </si>
  <si>
    <t>20260710|SND|Small Bowl</t>
  </si>
  <si>
    <t>20260710|SND|Cup (14oz)</t>
  </si>
  <si>
    <t>20260710|SND|Cup 3oz (Topping)</t>
  </si>
  <si>
    <t>20260710|SND|Cup+Lid (Big) 3oz</t>
  </si>
  <si>
    <t>20260710|SND|Cup+Lid (Small) 1oz</t>
  </si>
  <si>
    <t>20260710|SND|Bowl Lid</t>
  </si>
  <si>
    <t>20260710|SND|Smoothies Lid</t>
  </si>
  <si>
    <t>20260710|SND|Lid S (92)</t>
  </si>
  <si>
    <t>20260710|SND|Lid Top / Lid P (75)</t>
  </si>
  <si>
    <t>20260710|SND|Wood Spoon in bag</t>
  </si>
  <si>
    <t>20260710|SND|Wood Spoon</t>
  </si>
  <si>
    <r>
      <rPr>
        <sz val="11"/>
        <color theme="1"/>
        <rFont val="Calibri"/>
        <family val="2"/>
        <charset val="1"/>
      </rPr>
      <t xml:space="preserve">20260710|SND|Tester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</si>
  <si>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20260710|SND|Short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</si>
  <si>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20260710|SND|Straw/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</si>
  <si>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20260710|SND|Straw/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</si>
  <si>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20260710|SND|Fail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</si>
  <si>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</si>
  <si>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</si>
  <si>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</si>
  <si>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</si>
  <si>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</si>
  <si>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</si>
  <si>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</si>
  <si>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20260710|SND|Zip Bag Small / </t>
    </r>
    <r>
      <rPr>
        <sz val="11"/>
        <color theme="1"/>
        <rFont val="DejaVu Sans"/>
        <family val="2"/>
      </rPr>
      <t>ถุงซิป</t>
    </r>
  </si>
  <si>
    <t>20260710|SND|Bag 4x14</t>
  </si>
  <si>
    <t>20260710|SND|Bag 6x14</t>
  </si>
  <si>
    <t>20260710|SND|Bag 8x14</t>
  </si>
  <si>
    <t>20260710|SND|Bag 9x14</t>
  </si>
  <si>
    <r>
      <rPr>
        <sz val="11"/>
        <color theme="1"/>
        <rFont val="Calibri"/>
        <family val="2"/>
        <charset val="1"/>
      </rPr>
      <t xml:space="preserve">20260710|SND|Bag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</si>
  <si>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20260710|SND|Sticker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</si>
  <si>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20260710|SND|Print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</si>
  <si>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20260710|SND|Gloves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</si>
  <si>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20260710|SND|Black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</si>
  <si>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20260710|SND|Dry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</si>
  <si>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20260710|SND|Wet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</si>
  <si>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20260710|SND|Tissue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</si>
  <si>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</si>
  <si>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</si>
  <si>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</si>
  <si>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</si>
  <si>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น้ำยาล้างเครื่องไอดิม</t>
    </r>
  </si>
  <si>
    <t>20260710|SND|Wake up call (Banana)</t>
  </si>
  <si>
    <t>20260710|SND|Energy Sip (Straw+Banana)</t>
  </si>
  <si>
    <t>20260710|SND|Yellow Madness (Pineapple+Mango+Passion)</t>
  </si>
  <si>
    <t>20260710|SND|Ready to Glow (Straw+Blue+Banana)</t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</si>
  <si>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</si>
  <si>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</si>
  <si>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</si>
  <si>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</si>
  <si>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20260710|SND|Biscoff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</si>
  <si>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20260710|SND|Biscoff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</si>
  <si>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</si>
  <si>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</si>
  <si>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</si>
  <si>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20260710|SND|</t>
    </r>
    <r>
      <rPr>
        <sz val="11"/>
        <color theme="1"/>
        <rFont val="DejaVu Sans"/>
        <family val="2"/>
      </rPr>
      <t>ปีโป้ลิ้นจี่</t>
    </r>
  </si>
  <si>
    <t>20260601|NVP|Blueberry (300g)</t>
  </si>
  <si>
    <r>
      <rPr>
        <sz val="11"/>
        <color theme="1"/>
        <rFont val="Calibri"/>
        <family val="2"/>
        <charset val="1"/>
      </rPr>
      <t>20260601|NVP|</t>
    </r>
    <r>
      <rPr>
        <sz val="11"/>
        <color theme="1"/>
        <rFont val="DejaVu Sans"/>
        <family val="2"/>
      </rPr>
      <t>พิสตาชิโอ้ท๊อปปิ้ง</t>
    </r>
  </si>
  <si>
    <t>20260605|NVP|Greek Yogurt 1kg</t>
  </si>
  <si>
    <t>20260605|NVP|Yuzu</t>
  </si>
  <si>
    <t>20260605|NVP|Kyoho</t>
  </si>
  <si>
    <t>20260605|NVP|Mint</t>
  </si>
  <si>
    <t>20260605|NVP|Vanilla</t>
  </si>
  <si>
    <t>20260605|NVP|Pineapple</t>
  </si>
  <si>
    <t>20260605|NVP|Biscoff</t>
  </si>
  <si>
    <t>20260605|NVP|Overnight oats biscoff</t>
  </si>
  <si>
    <r>
      <rPr>
        <sz val="11"/>
        <color theme="1"/>
        <rFont val="Calibri"/>
        <family val="2"/>
        <charset val="1"/>
      </rPr>
      <t>20260605|NVP|Plain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</si>
  <si>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20260605|NVP|Greek Yogurt 500g</t>
  </si>
  <si>
    <t>20260605|NVP|Plain Yogurt 500g</t>
  </si>
  <si>
    <t>20260605|NVP|R-ACAI Bowl</t>
  </si>
  <si>
    <t>20260605|NVP|S-ACAI Cup (mini)</t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</si>
  <si>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</si>
  <si>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20260605|NVP|Granola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</si>
  <si>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20260605|NVP|Softserve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</si>
  <si>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20260605|NVP|Shake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</si>
  <si>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20260605|NVP|Peanut Butter</t>
  </si>
  <si>
    <r>
      <rPr>
        <sz val="11"/>
        <color theme="1"/>
        <rFont val="Calibri"/>
        <family val="2"/>
        <charset val="1"/>
      </rPr>
      <t xml:space="preserve">20260605|NVP|Water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</si>
  <si>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</si>
  <si>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</si>
  <si>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</si>
  <si>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</si>
  <si>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</si>
  <si>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ถุงพีช</t>
    </r>
  </si>
  <si>
    <t>20260605|NVP|Cornflakes Malt (M)</t>
  </si>
  <si>
    <t>20260605|NVP|Granola (M)</t>
  </si>
  <si>
    <t>20260605|NVP|Choc Chip Cookies</t>
  </si>
  <si>
    <t>20260605|NVP|Cookies Crumbs</t>
  </si>
  <si>
    <t>20260605|NVP|Oreo</t>
  </si>
  <si>
    <t>20260605|NVP|Choc Chips</t>
  </si>
  <si>
    <t>20260605|NVP|Cornflakes (Topping)</t>
  </si>
  <si>
    <t>20260605|NVP|Granola (Topping)</t>
  </si>
  <si>
    <t>20260605|NVP|Almond</t>
  </si>
  <si>
    <t>20260605|NVP|Pecan</t>
  </si>
  <si>
    <t>20260605|NVP|Walnut</t>
  </si>
  <si>
    <t>20260605|NVP|Coconut Chips</t>
  </si>
  <si>
    <t>20260605|NVP|Chia Seed</t>
  </si>
  <si>
    <t>20260605|NVP|Flax Seed</t>
  </si>
  <si>
    <t>20260605|NVP|Cacao Nibs</t>
  </si>
  <si>
    <t>20260605|NVP|Grape Jelly</t>
  </si>
  <si>
    <t>20260605|NVP|Honey Jelly</t>
  </si>
  <si>
    <t>20260605|NVP|Strawberry (250g)</t>
  </si>
  <si>
    <t>20260605|NVP|Blueberry (125g)</t>
  </si>
  <si>
    <t>20260605|NVP|Blueberry (300g)</t>
  </si>
  <si>
    <t>20260605|NVP|Blueberry (500g)</t>
  </si>
  <si>
    <t>20260605|NVP|Apple Cinnamon</t>
  </si>
  <si>
    <t>20260605|NVP|Banana</t>
  </si>
  <si>
    <t>20260605|NVP|Honey</t>
  </si>
  <si>
    <t>20260605|NVP|Caramel</t>
  </si>
  <si>
    <t>20260605|NVP|Peanut Butter Sauce</t>
  </si>
  <si>
    <t>20260605|NVP|Cup P (5oz)</t>
  </si>
  <si>
    <t>20260605|NVP|Cup S (9oz)</t>
  </si>
  <si>
    <t>20260605|NVP|Small Bowl</t>
  </si>
  <si>
    <t>20260605|NVP|Cup (14oz)</t>
  </si>
  <si>
    <t>20260605|NVP|Cup 3oz (Topping)</t>
  </si>
  <si>
    <t>20260605|NVP|Cup+Lid (Big) 3oz</t>
  </si>
  <si>
    <t>20260605|NVP|Cup+Lid (Small) 1oz</t>
  </si>
  <si>
    <t>20260605|NVP|Bowl Lid</t>
  </si>
  <si>
    <t>20260605|NVP|Smoothies Lid</t>
  </si>
  <si>
    <t>20260605|NVP|Lid S (92)</t>
  </si>
  <si>
    <t>20260605|NVP|Lid Top / Lid P (75)</t>
  </si>
  <si>
    <t>20260605|NVP|Wood Spoon in bag</t>
  </si>
  <si>
    <t>20260605|NVP|Wood Spoon</t>
  </si>
  <si>
    <r>
      <rPr>
        <sz val="11"/>
        <color theme="1"/>
        <rFont val="Calibri"/>
        <family val="2"/>
        <charset val="1"/>
      </rPr>
      <t xml:space="preserve">20260605|NVP|Tester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</si>
  <si>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20260605|NVP|Short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</si>
  <si>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20260605|NVP|Straw/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</si>
  <si>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20260605|NVP|Straw/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</si>
  <si>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20260605|NVP|Fail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</si>
  <si>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</si>
  <si>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</si>
  <si>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</si>
  <si>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</si>
  <si>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</si>
  <si>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</si>
  <si>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</si>
  <si>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20260605|NVP|Zip Bag Small / </t>
    </r>
    <r>
      <rPr>
        <sz val="11"/>
        <color theme="1"/>
        <rFont val="DejaVu Sans"/>
        <family val="2"/>
      </rPr>
      <t>ถุงซิป</t>
    </r>
  </si>
  <si>
    <t>20260605|NVP|Bag 4x14</t>
  </si>
  <si>
    <t>20260605|NVP|Bag 6x14</t>
  </si>
  <si>
    <t>20260605|NVP|Bag 8x14</t>
  </si>
  <si>
    <t>20260605|NVP|Bag 9x14</t>
  </si>
  <si>
    <r>
      <rPr>
        <sz val="11"/>
        <color theme="1"/>
        <rFont val="Calibri"/>
        <family val="2"/>
        <charset val="1"/>
      </rPr>
      <t xml:space="preserve">20260605|NVP|Bag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</si>
  <si>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20260605|NVP|Sticker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</si>
  <si>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20260605|NVP|Print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</si>
  <si>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20260605|NVP|Gloves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</si>
  <si>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20260605|NVP|Black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</si>
  <si>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20260605|NVP|Dry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</si>
  <si>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20260605|NVP|Wet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</si>
  <si>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20260605|NVP|Tissue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</si>
  <si>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</si>
  <si>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</si>
  <si>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</si>
  <si>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</si>
  <si>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น้ำยาล้างเครื่องไอดิม</t>
    </r>
  </si>
  <si>
    <t>20260605|NVP|Wake up call (Banana)</t>
  </si>
  <si>
    <t>20260605|NVP|Energy Sip (Straw+Banana)</t>
  </si>
  <si>
    <t>20260605|NVP|Yellow Madness (Pineapple+Mango+Passion)</t>
  </si>
  <si>
    <t>20260605|NVP|Ready to Glow (Straw+Blue+Banana)</t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</si>
  <si>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</si>
  <si>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</si>
  <si>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</si>
  <si>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</si>
  <si>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20260605|NVP|Biscoff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</si>
  <si>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20260605|NVP|Biscoff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</si>
  <si>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</si>
  <si>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</si>
  <si>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</si>
  <si>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</si>
  <si>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</si>
  <si>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</si>
  <si>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20260605|NVP|</t>
    </r>
    <r>
      <rPr>
        <sz val="11"/>
        <color theme="1"/>
        <rFont val="DejaVu Sans"/>
        <family val="2"/>
      </rPr>
      <t>พิสตาชิโอ้ท๊อปปิ้ง</t>
    </r>
  </si>
  <si>
    <t>20260606|NVP|Greek Yogurt 1kg</t>
  </si>
  <si>
    <t>20260606|NVP|Yuzu</t>
  </si>
  <si>
    <t>20260606|NVP|Kyoho</t>
  </si>
  <si>
    <t>20260606|NVP|Mint</t>
  </si>
  <si>
    <t>20260606|NVP|Vanilla</t>
  </si>
  <si>
    <t>20260606|NVP|Pineapple</t>
  </si>
  <si>
    <t>20260606|NVP|Biscoff</t>
  </si>
  <si>
    <t>20260606|NVP|Overnight oats biscoff</t>
  </si>
  <si>
    <r>
      <rPr>
        <sz val="11"/>
        <color theme="1"/>
        <rFont val="Calibri"/>
        <family val="2"/>
        <charset val="1"/>
      </rPr>
      <t>20260606|NVP|Plain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</si>
  <si>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20260606|NVP|Greek Yogurt 500g</t>
  </si>
  <si>
    <t>20260606|NVP|Plain Yogurt 500g</t>
  </si>
  <si>
    <t>20260606|NVP|R-ACAI Bowl</t>
  </si>
  <si>
    <t>20260606|NVP|S-ACAI Cup (mini)</t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</si>
  <si>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</si>
  <si>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20260606|NVP|Granola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</si>
  <si>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20260606|NVP|Softserve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</si>
  <si>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20260606|NVP|Shake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</si>
  <si>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20260606|NVP|Water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</si>
  <si>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</si>
  <si>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</si>
  <si>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</si>
  <si>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</si>
  <si>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</si>
  <si>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ถุงพีช</t>
    </r>
  </si>
  <si>
    <t>20260606|NVP|Cornflakes Malt (M)</t>
  </si>
  <si>
    <t>20260606|NVP|Granola (M)</t>
  </si>
  <si>
    <t>20260606|NVP|Choc Chip Cookies</t>
  </si>
  <si>
    <t>20260606|NVP|Cookies Crumbs</t>
  </si>
  <si>
    <t>20260606|NVP|Oreo</t>
  </si>
  <si>
    <t>20260606|NVP|Choc Chips</t>
  </si>
  <si>
    <t>20260606|NVP|Cornflakes (Topping)</t>
  </si>
  <si>
    <t>20260606|NVP|Granola (Topping)</t>
  </si>
  <si>
    <t>20260606|NVP|Almond</t>
  </si>
  <si>
    <t>20260606|NVP|Pecan</t>
  </si>
  <si>
    <t>20260606|NVP|Walnut</t>
  </si>
  <si>
    <t>20260606|NVP|Coconut Chips</t>
  </si>
  <si>
    <t>20260606|NVP|Chia Seed</t>
  </si>
  <si>
    <t>20260606|NVP|Flax Seed</t>
  </si>
  <si>
    <t>20260606|NVP|Cacao Nibs</t>
  </si>
  <si>
    <t>20260606|NVP|Grape Jelly</t>
  </si>
  <si>
    <t>20260606|NVP|Honey Jelly</t>
  </si>
  <si>
    <t>20260606|NVP|Strawberry (250g)</t>
  </si>
  <si>
    <t>20260606|NVP|Strawberry (500g)</t>
  </si>
  <si>
    <t>20260606|NVP|Blueberry (125g)</t>
  </si>
  <si>
    <t>20260606|NVP|Blueberry (300g)</t>
  </si>
  <si>
    <t>20260606|NVP|Blueberry (500g)</t>
  </si>
  <si>
    <t>20260606|NVP|Apple Cinnamon</t>
  </si>
  <si>
    <t>20260606|NVP|Banana</t>
  </si>
  <si>
    <t>20260606|NVP|Honey</t>
  </si>
  <si>
    <t>20260606|NVP|Caramel</t>
  </si>
  <si>
    <t>20260606|NVP|Peanut Butter Sauce</t>
  </si>
  <si>
    <t>20260606|NVP|Cup P (5oz)</t>
  </si>
  <si>
    <t>20260606|NVP|Cup S (9oz)</t>
  </si>
  <si>
    <t>20260606|NVP|Small Bowl</t>
  </si>
  <si>
    <t>20260606|NVP|Cup (14oz)</t>
  </si>
  <si>
    <t>20260606|NVP|Cup 3oz (Topping)</t>
  </si>
  <si>
    <t>20260606|NVP|Cup+Lid (Big) 3oz</t>
  </si>
  <si>
    <t>20260606|NVP|Cup+Lid (Small) 1oz</t>
  </si>
  <si>
    <t>20260606|NVP|Bowl Lid</t>
  </si>
  <si>
    <t>20260606|NVP|Smoothies Lid</t>
  </si>
  <si>
    <t>20260606|NVP|Lid S (92)</t>
  </si>
  <si>
    <t>20260606|NVP|Lid Top / Lid P (75)</t>
  </si>
  <si>
    <t>20260606|NVP|Wood Spoon in bag</t>
  </si>
  <si>
    <t>20260606|NVP|Wood Spoon</t>
  </si>
  <si>
    <r>
      <rPr>
        <sz val="11"/>
        <color theme="1"/>
        <rFont val="Calibri"/>
        <family val="2"/>
        <charset val="1"/>
      </rPr>
      <t xml:space="preserve">20260606|NVP|Tester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</si>
  <si>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20260606|NVP|Short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</si>
  <si>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20260606|NVP|Straw/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</si>
  <si>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20260606|NVP|Straw/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</si>
  <si>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20260606|NVP|Fail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</si>
  <si>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</si>
  <si>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</si>
  <si>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</si>
  <si>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</si>
  <si>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</si>
  <si>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</si>
  <si>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</si>
  <si>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20260606|NVP|Zip Bag Small / </t>
    </r>
    <r>
      <rPr>
        <sz val="11"/>
        <color theme="1"/>
        <rFont val="DejaVu Sans"/>
        <family val="2"/>
      </rPr>
      <t>ถุงซิป</t>
    </r>
  </si>
  <si>
    <t>20260606|NVP|Bag 4x14</t>
  </si>
  <si>
    <t>20260606|NVP|Bag 6x14</t>
  </si>
  <si>
    <t>20260606|NVP|Bag 8x14</t>
  </si>
  <si>
    <t>20260606|NVP|Bag 9x14</t>
  </si>
  <si>
    <r>
      <rPr>
        <sz val="11"/>
        <color theme="1"/>
        <rFont val="Calibri"/>
        <family val="2"/>
        <charset val="1"/>
      </rPr>
      <t xml:space="preserve">20260606|NVP|Bag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</si>
  <si>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20260606|NVP|Sticker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</si>
  <si>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20260606|NVP|Print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</si>
  <si>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20260606|NVP|Gloves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</si>
  <si>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20260606|NVP|Black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</si>
  <si>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20260606|NVP|Dry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</si>
  <si>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20260606|NVP|Wet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</si>
  <si>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20260606|NVP|Tissue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</si>
  <si>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</si>
  <si>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</si>
  <si>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</si>
  <si>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</si>
  <si>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น้ำยาล้างเครื่องไอดิม</t>
    </r>
  </si>
  <si>
    <t>20260606|NVP|Wake up call (Banana)</t>
  </si>
  <si>
    <t>20260606|NVP|Energy Sip (Straw+Banana)</t>
  </si>
  <si>
    <t>20260606|NVP|Yellow Madness (Pineapple+Mango+Passion)</t>
  </si>
  <si>
    <t>20260606|NVP|Ready to Glow (Straw+Blue+Banana)</t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</si>
  <si>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</si>
  <si>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</si>
  <si>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</si>
  <si>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</si>
  <si>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20260606|NVP|Biscoff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</si>
  <si>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20260606|NVP|Biscoff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</si>
  <si>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</si>
  <si>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</si>
  <si>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</si>
  <si>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</si>
  <si>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</si>
  <si>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</si>
  <si>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20260606|NVP|</t>
    </r>
    <r>
      <rPr>
        <sz val="11"/>
        <color theme="1"/>
        <rFont val="DejaVu Sans"/>
        <family val="2"/>
      </rPr>
      <t>พิสตาชิโอ้ท๊อปปิ้ง</t>
    </r>
  </si>
  <si>
    <t>20260607|NVP|Greek Yogurt 1kg</t>
  </si>
  <si>
    <t>20260607|NVP|Yuzu</t>
  </si>
  <si>
    <t>20260607|NVP|Kyoho</t>
  </si>
  <si>
    <t>20260607|NVP|Mint</t>
  </si>
  <si>
    <t>20260607|NVP|Vanilla</t>
  </si>
  <si>
    <t>20260607|NVP|Pineapple</t>
  </si>
  <si>
    <t>20260607|NVP|Biscoff</t>
  </si>
  <si>
    <t>20260607|NVP|Overnight oats biscoff</t>
  </si>
  <si>
    <r>
      <rPr>
        <sz val="11"/>
        <color theme="1"/>
        <rFont val="Calibri"/>
        <family val="2"/>
        <charset val="1"/>
      </rPr>
      <t>20260607|NVP|Plain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</si>
  <si>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20260607|NVP|Greek Yogurt 500g</t>
  </si>
  <si>
    <t>20260607|NVP|Plain Yogurt 500g</t>
  </si>
  <si>
    <t>20260607|NVP|R-ACAI Bowl</t>
  </si>
  <si>
    <t>20260607|NVP|S-ACAI Cup (mini)</t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</si>
  <si>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</si>
  <si>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20260607|NVP|Granola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</si>
  <si>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20260607|NVP|Softserve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</si>
  <si>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20260607|NVP|Shake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</si>
  <si>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20260607|NVP|Peanut Butter</t>
  </si>
  <si>
    <r>
      <rPr>
        <sz val="11"/>
        <color theme="1"/>
        <rFont val="Calibri"/>
        <family val="2"/>
        <charset val="1"/>
      </rPr>
      <t xml:space="preserve">20260607|NVP|Water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</si>
  <si>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</si>
  <si>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</si>
  <si>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</si>
  <si>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</si>
  <si>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</si>
  <si>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ถุงพีช</t>
    </r>
  </si>
  <si>
    <t>20260607|NVP|Cornflakes Malt (M)</t>
  </si>
  <si>
    <t>20260607|NVP|Granola (M)</t>
  </si>
  <si>
    <t>20260607|NVP|Choc Chip Cookies</t>
  </si>
  <si>
    <t>20260607|NVP|Cookies Crumbs</t>
  </si>
  <si>
    <t>20260607|NVP|Oreo</t>
  </si>
  <si>
    <t>20260607|NVP|Choc Chips</t>
  </si>
  <si>
    <t>20260607|NVP|Cornflakes (Topping)</t>
  </si>
  <si>
    <t>20260607|NVP|Granola (Topping)</t>
  </si>
  <si>
    <t>20260607|NVP|Almond</t>
  </si>
  <si>
    <t>20260607|NVP|Pecan</t>
  </si>
  <si>
    <t>20260607|NVP|Walnut</t>
  </si>
  <si>
    <t>20260607|NVP|Coconut Chips</t>
  </si>
  <si>
    <t>20260607|NVP|Chia Seed</t>
  </si>
  <si>
    <t>20260607|NVP|Flax Seed</t>
  </si>
  <si>
    <t>20260607|NVP|Cacao Nibs</t>
  </si>
  <si>
    <t>20260607|NVP|Grape Jelly</t>
  </si>
  <si>
    <t>20260607|NVP|Honey Jelly</t>
  </si>
  <si>
    <t>20260607|NVP|Strawberry (250g)</t>
  </si>
  <si>
    <t>20260607|NVP|Strawberry (500g)</t>
  </si>
  <si>
    <t>20260607|NVP|Blueberry (125g)</t>
  </si>
  <si>
    <t>20260607|NVP|Blueberry (300g)</t>
  </si>
  <si>
    <t>20260607|NVP|Blueberry (500g)</t>
  </si>
  <si>
    <t>20260607|NVP|Apple Cinnamon</t>
  </si>
  <si>
    <t>20260607|NVP|Banana</t>
  </si>
  <si>
    <t>20260607|NVP|Honey</t>
  </si>
  <si>
    <t>20260607|NVP|Caramel</t>
  </si>
  <si>
    <t>20260607|NVP|Peanut Butter Sauce</t>
  </si>
  <si>
    <t>20260607|NVP|Cup P (5oz)</t>
  </si>
  <si>
    <t>20260607|NVP|Cup S (9oz)</t>
  </si>
  <si>
    <t>20260607|NVP|Small Bowl</t>
  </si>
  <si>
    <t>20260607|NVP|Cup (14oz)</t>
  </si>
  <si>
    <t>20260607|NVP|Cup 3oz (Topping)</t>
  </si>
  <si>
    <t>20260607|NVP|Cup+Lid (Big) 3oz</t>
  </si>
  <si>
    <t>20260607|NVP|Cup+Lid (Small) 1oz</t>
  </si>
  <si>
    <t>20260607|NVP|Bowl Lid</t>
  </si>
  <si>
    <t>20260607|NVP|Smoothies Lid</t>
  </si>
  <si>
    <t>20260607|NVP|Lid S (92)</t>
  </si>
  <si>
    <t>20260607|NVP|Lid Top / Lid P (75)</t>
  </si>
  <si>
    <t>20260607|NVP|Wood Spoon in bag</t>
  </si>
  <si>
    <t>20260607|NVP|Wood Spoon</t>
  </si>
  <si>
    <r>
      <rPr>
        <sz val="11"/>
        <color theme="1"/>
        <rFont val="Calibri"/>
        <family val="2"/>
        <charset val="1"/>
      </rPr>
      <t xml:space="preserve">20260607|NVP|Tester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</si>
  <si>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20260607|NVP|Short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</si>
  <si>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20260607|NVP|Straw/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</si>
  <si>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20260607|NVP|Straw/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</si>
  <si>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20260607|NVP|Fail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</si>
  <si>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</si>
  <si>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</si>
  <si>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</si>
  <si>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</si>
  <si>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</si>
  <si>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</si>
  <si>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</si>
  <si>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20260607|NVP|Zip Bag Small / </t>
    </r>
    <r>
      <rPr>
        <sz val="11"/>
        <color theme="1"/>
        <rFont val="DejaVu Sans"/>
        <family val="2"/>
      </rPr>
      <t>ถุงซิป</t>
    </r>
  </si>
  <si>
    <t>20260607|NVP|Bag 4x14</t>
  </si>
  <si>
    <t>20260607|NVP|Bag 6x14</t>
  </si>
  <si>
    <t>20260607|NVP|Bag 8x14</t>
  </si>
  <si>
    <t>20260607|NVP|Bag 9x14</t>
  </si>
  <si>
    <r>
      <rPr>
        <sz val="11"/>
        <color theme="1"/>
        <rFont val="Calibri"/>
        <family val="2"/>
        <charset val="1"/>
      </rPr>
      <t xml:space="preserve">20260607|NVP|Bag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</si>
  <si>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20260607|NVP|Sticker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</si>
  <si>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20260607|NVP|Print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</si>
  <si>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20260607|NVP|Gloves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</si>
  <si>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20260607|NVP|Black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</si>
  <si>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20260607|NVP|Dry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</si>
  <si>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20260607|NVP|Wet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</si>
  <si>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20260607|NVP|Tissue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</si>
  <si>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</si>
  <si>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</si>
  <si>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</si>
  <si>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</si>
  <si>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น้ำยาล้างเครื่องไอดิม</t>
    </r>
  </si>
  <si>
    <t>20260607|NVP|Wake up call (Banana)</t>
  </si>
  <si>
    <t>20260607|NVP|Energy Sip (Straw+Banana)</t>
  </si>
  <si>
    <t>20260607|NVP|Yellow Madness (Pineapple+Mango+Passion)</t>
  </si>
  <si>
    <t>20260607|NVP|Ready to Glow (Straw+Blue+Banana)</t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</si>
  <si>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</si>
  <si>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</si>
  <si>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</si>
  <si>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</si>
  <si>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20260607|NVP|Biscoff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</si>
  <si>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20260607|NVP|Biscoff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</si>
  <si>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</si>
  <si>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</si>
  <si>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</si>
  <si>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</si>
  <si>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</si>
  <si>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</si>
  <si>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20260607|NVP|</t>
    </r>
    <r>
      <rPr>
        <sz val="11"/>
        <color theme="1"/>
        <rFont val="DejaVu Sans"/>
        <family val="2"/>
      </rPr>
      <t>พิสตาชิโอ้ท๊อปปิ้ง</t>
    </r>
  </si>
  <si>
    <t>20260608|NVP|Greek Yogurt 1kg</t>
  </si>
  <si>
    <t>20260608|NVP|Yuzu</t>
  </si>
  <si>
    <t>20260608|NVP|Kyoho</t>
  </si>
  <si>
    <t>20260608|NVP|Mint</t>
  </si>
  <si>
    <t>20260608|NVP|Vanilla</t>
  </si>
  <si>
    <t>20260608|NVP|Pineapple</t>
  </si>
  <si>
    <t>20260608|NVP|Biscoff</t>
  </si>
  <si>
    <t>20260608|NVP|Overnight oats biscoff</t>
  </si>
  <si>
    <r>
      <rPr>
        <sz val="11"/>
        <color theme="1"/>
        <rFont val="Calibri"/>
        <family val="2"/>
        <charset val="1"/>
      </rPr>
      <t>20260608|NVP|Plain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</si>
  <si>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20260608|NVP|Greek Yogurt 500g</t>
  </si>
  <si>
    <t>20260608|NVP|Plain Yogurt 500g</t>
  </si>
  <si>
    <t>20260608|NVP|R-ACAI Bowl</t>
  </si>
  <si>
    <t>20260608|NVP|S-ACAI Cup (mini)</t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</si>
  <si>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</si>
  <si>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20260608|NVP|Granola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</si>
  <si>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20260608|NVP|Softserve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</si>
  <si>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20260608|NVP|Shake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</si>
  <si>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20260608|NVP|Peanut Butter</t>
  </si>
  <si>
    <r>
      <rPr>
        <sz val="11"/>
        <color theme="1"/>
        <rFont val="Calibri"/>
        <family val="2"/>
        <charset val="1"/>
      </rPr>
      <t xml:space="preserve">20260608|NVP|Water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</si>
  <si>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</si>
  <si>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</si>
  <si>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</si>
  <si>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</si>
  <si>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</si>
  <si>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ถุงพีช</t>
    </r>
  </si>
  <si>
    <t>20260608|NVP|Cornflakes Malt (M)</t>
  </si>
  <si>
    <t>20260608|NVP|Granola (M)</t>
  </si>
  <si>
    <t>20260608|NVP|Choc Chip Cookies</t>
  </si>
  <si>
    <t>20260608|NVP|Cookies Crumbs</t>
  </si>
  <si>
    <t>20260608|NVP|Oreo</t>
  </si>
  <si>
    <t>20260608|NVP|Choc Chips</t>
  </si>
  <si>
    <t>20260608|NVP|Cornflakes (Topping)</t>
  </si>
  <si>
    <t>20260608|NVP|Granola (Topping)</t>
  </si>
  <si>
    <t>20260608|NVP|Almond</t>
  </si>
  <si>
    <t>20260608|NVP|Pecan</t>
  </si>
  <si>
    <t>20260608|NVP|Walnut</t>
  </si>
  <si>
    <t>20260608|NVP|Coconut Chips</t>
  </si>
  <si>
    <t>20260608|NVP|Chia Seed</t>
  </si>
  <si>
    <t>20260608|NVP|Flax Seed</t>
  </si>
  <si>
    <t>20260608|NVP|Cacao Nibs</t>
  </si>
  <si>
    <t>20260608|NVP|Grape Jelly</t>
  </si>
  <si>
    <t>20260608|NVP|Honey Jelly</t>
  </si>
  <si>
    <t>20260608|NVP|Strawberry (250g)</t>
  </si>
  <si>
    <t>20260608|NVP|Strawberry (500g)</t>
  </si>
  <si>
    <t>20260608|NVP|Blueberry (125g)</t>
  </si>
  <si>
    <t>20260608|NVP|Blueberry (300g)</t>
  </si>
  <si>
    <t>20260608|NVP|Blueberry (500g)</t>
  </si>
  <si>
    <t>20260608|NVP|Apple Cinnamon</t>
  </si>
  <si>
    <t>20260608|NVP|Banana</t>
  </si>
  <si>
    <t>20260608|NVP|Honey</t>
  </si>
  <si>
    <t>20260608|NVP|Caramel</t>
  </si>
  <si>
    <t>20260608|NVP|Peanut Butter Sauce</t>
  </si>
  <si>
    <t>20260608|NVP|Cup P (5oz)</t>
  </si>
  <si>
    <t>20260608|NVP|Cup S (9oz)</t>
  </si>
  <si>
    <t>20260608|NVP|Small Bowl</t>
  </si>
  <si>
    <t>20260608|NVP|Cup (14oz)</t>
  </si>
  <si>
    <t>20260608|NVP|Cup 3oz (Topping)</t>
  </si>
  <si>
    <t>20260608|NVP|Cup+Lid (Big) 3oz</t>
  </si>
  <si>
    <t>20260608|NVP|Cup+Lid (Small) 1oz</t>
  </si>
  <si>
    <t>20260608|NVP|Bowl Lid</t>
  </si>
  <si>
    <t>20260608|NVP|Smoothies Lid</t>
  </si>
  <si>
    <t>20260608|NVP|Lid S (92)</t>
  </si>
  <si>
    <t>20260608|NVP|Lid Top / Lid P (75)</t>
  </si>
  <si>
    <t>20260608|NVP|Wood Spoon in bag</t>
  </si>
  <si>
    <t>20260608|NVP|Wood Spoon</t>
  </si>
  <si>
    <r>
      <rPr>
        <sz val="11"/>
        <color theme="1"/>
        <rFont val="Calibri"/>
        <family val="2"/>
        <charset val="1"/>
      </rPr>
      <t xml:space="preserve">20260608|NVP|Tester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</si>
  <si>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20260608|NVP|Short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</si>
  <si>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20260608|NVP|Straw/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</si>
  <si>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20260608|NVP|Straw/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</si>
  <si>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20260608|NVP|Fail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</si>
  <si>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</si>
  <si>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</si>
  <si>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</si>
  <si>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</si>
  <si>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</si>
  <si>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</si>
  <si>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</si>
  <si>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20260608|NVP|Zip Bag Small / </t>
    </r>
    <r>
      <rPr>
        <sz val="11"/>
        <color theme="1"/>
        <rFont val="DejaVu Sans"/>
        <family val="2"/>
      </rPr>
      <t>ถุงซิป</t>
    </r>
  </si>
  <si>
    <t>20260608|NVP|Bag 4x14</t>
  </si>
  <si>
    <t>20260608|NVP|Bag 6x14</t>
  </si>
  <si>
    <t>20260608|NVP|Bag 8x14</t>
  </si>
  <si>
    <t>20260608|NVP|Bag 9x14</t>
  </si>
  <si>
    <r>
      <rPr>
        <sz val="11"/>
        <color theme="1"/>
        <rFont val="Calibri"/>
        <family val="2"/>
        <charset val="1"/>
      </rPr>
      <t xml:space="preserve">20260608|NVP|Bag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</si>
  <si>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20260608|NVP|Sticker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</si>
  <si>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20260608|NVP|Print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</si>
  <si>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20260608|NVP|Gloves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</si>
  <si>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20260608|NVP|Black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</si>
  <si>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20260608|NVP|Dry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</si>
  <si>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20260608|NVP|Wet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</si>
  <si>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20260608|NVP|Tissue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</si>
  <si>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</si>
  <si>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</si>
  <si>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</si>
  <si>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</si>
  <si>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น้ำยาล้างเครื่องไอดิม</t>
    </r>
  </si>
  <si>
    <t>20260608|NVP|Wake up call (Banana)</t>
  </si>
  <si>
    <t>20260608|NVP|Energy Sip (Straw+Banana)</t>
  </si>
  <si>
    <t>20260608|NVP|Yellow Madness (Pineapple+Mango+Passion)</t>
  </si>
  <si>
    <t>20260608|NVP|Ready to Glow (Straw+Blue+Banana)</t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</si>
  <si>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</si>
  <si>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</si>
  <si>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</si>
  <si>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</si>
  <si>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20260608|NVP|Biscoff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</si>
  <si>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20260608|NVP|Biscoff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</si>
  <si>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</si>
  <si>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</si>
  <si>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</si>
  <si>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</si>
  <si>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</si>
  <si>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</si>
  <si>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20260608|NVP|</t>
    </r>
    <r>
      <rPr>
        <sz val="11"/>
        <color theme="1"/>
        <rFont val="DejaVu Sans"/>
        <family val="2"/>
      </rPr>
      <t>พิสตาชิโอ้ท๊อปปิ้ง</t>
    </r>
  </si>
  <si>
    <t>20260609|NVP|Greek Yogurt 1kg</t>
  </si>
  <si>
    <t>20260609|NVP|Yuzu</t>
  </si>
  <si>
    <t>20260609|NVP|Kyoho</t>
  </si>
  <si>
    <t>20260609|NVP|Mint</t>
  </si>
  <si>
    <t>20260609|NVP|Vanilla</t>
  </si>
  <si>
    <t>20260609|NVP|Pineapple</t>
  </si>
  <si>
    <t>20260609|NVP|Biscoff</t>
  </si>
  <si>
    <t>20260609|NVP|Overnight oats biscoff</t>
  </si>
  <si>
    <r>
      <rPr>
        <sz val="11"/>
        <color theme="1"/>
        <rFont val="Calibri"/>
        <family val="2"/>
        <charset val="1"/>
      </rPr>
      <t>20260609|NVP|Plain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</si>
  <si>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20260609|NVP|Greek Yogurt 500g</t>
  </si>
  <si>
    <t>20260609|NVP|Plain Yogurt 500g</t>
  </si>
  <si>
    <t>20260609|NVP|R-ACAI Bowl</t>
  </si>
  <si>
    <t>20260609|NVP|S-ACAI Cup (mini)</t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</si>
  <si>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</si>
  <si>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20260609|NVP|Granola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</si>
  <si>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20260609|NVP|Softserve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</si>
  <si>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20260609|NVP|Shake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</si>
  <si>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20260609|NVP|Peanut Butter</t>
  </si>
  <si>
    <r>
      <rPr>
        <sz val="11"/>
        <color theme="1"/>
        <rFont val="Calibri"/>
        <family val="2"/>
        <charset val="1"/>
      </rPr>
      <t xml:space="preserve">20260609|NVP|Water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</si>
  <si>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</si>
  <si>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</si>
  <si>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</si>
  <si>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</si>
  <si>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</si>
  <si>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ถุงพีช</t>
    </r>
  </si>
  <si>
    <t>20260609|NVP|Cornflakes Malt (M)</t>
  </si>
  <si>
    <t>20260609|NVP|Granola (M)</t>
  </si>
  <si>
    <t>20260609|NVP|Choc Chip Cookies</t>
  </si>
  <si>
    <t>20260609|NVP|Cookies Crumbs</t>
  </si>
  <si>
    <t>20260609|NVP|Oreo</t>
  </si>
  <si>
    <t>20260609|NVP|Choc Chips</t>
  </si>
  <si>
    <t>20260609|NVP|Cornflakes (Topping)</t>
  </si>
  <si>
    <t>20260609|NVP|Granola (Topping)</t>
  </si>
  <si>
    <t>20260609|NVP|Almond</t>
  </si>
  <si>
    <t>20260609|NVP|Pecan</t>
  </si>
  <si>
    <t>20260609|NVP|Walnut</t>
  </si>
  <si>
    <t>20260609|NVP|Coconut Chips</t>
  </si>
  <si>
    <t>20260609|NVP|Chia Seed</t>
  </si>
  <si>
    <t>20260609|NVP|Flax Seed</t>
  </si>
  <si>
    <t>20260609|NVP|Cacao Nibs</t>
  </si>
  <si>
    <t>20260609|NVP|Grape Jelly</t>
  </si>
  <si>
    <t>20260609|NVP|Honey Jelly</t>
  </si>
  <si>
    <t>20260609|NVP|Strawberry (250g)</t>
  </si>
  <si>
    <t>20260609|NVP|Strawberry (500g)</t>
  </si>
  <si>
    <t>20260609|NVP|Blueberry (125g)</t>
  </si>
  <si>
    <t>20260609|NVP|Blueberry (300g)</t>
  </si>
  <si>
    <t>20260609|NVP|Blueberry (500g)</t>
  </si>
  <si>
    <t>20260609|NVP|Apple Cinnamon</t>
  </si>
  <si>
    <t>20260609|NVP|Banana</t>
  </si>
  <si>
    <t>20260609|NVP|Honey</t>
  </si>
  <si>
    <t>20260609|NVP|Caramel</t>
  </si>
  <si>
    <t>20260609|NVP|Peanut Butter Sauce</t>
  </si>
  <si>
    <t>20260609|NVP|Cup P (5oz)</t>
  </si>
  <si>
    <t>20260609|NVP|Cup S (9oz)</t>
  </si>
  <si>
    <t>20260609|NVP|Small Bowl</t>
  </si>
  <si>
    <t>20260609|NVP|Cup (14oz)</t>
  </si>
  <si>
    <t>20260609|NVP|Cup 3oz (Topping)</t>
  </si>
  <si>
    <t>20260609|NVP|Cup+Lid (Big) 3oz</t>
  </si>
  <si>
    <t>20260609|NVP|Cup+Lid (Small) 1oz</t>
  </si>
  <si>
    <t>20260609|NVP|Bowl Lid</t>
  </si>
  <si>
    <t>20260609|NVP|Smoothies Lid</t>
  </si>
  <si>
    <t>20260609|NVP|Lid S (92)</t>
  </si>
  <si>
    <t>20260609|NVP|Lid Top / Lid P (75)</t>
  </si>
  <si>
    <t>20260609|NVP|Wood Spoon in bag</t>
  </si>
  <si>
    <t>20260609|NVP|Wood Spoon</t>
  </si>
  <si>
    <r>
      <rPr>
        <sz val="11"/>
        <color theme="1"/>
        <rFont val="Calibri"/>
        <family val="2"/>
        <charset val="1"/>
      </rPr>
      <t xml:space="preserve">20260609|NVP|Tester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</si>
  <si>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20260609|NVP|Short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</si>
  <si>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20260609|NVP|Straw/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</si>
  <si>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20260609|NVP|Straw/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</si>
  <si>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20260609|NVP|Fail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</si>
  <si>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</si>
  <si>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</si>
  <si>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</si>
  <si>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</si>
  <si>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</si>
  <si>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</si>
  <si>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</si>
  <si>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20260609|NVP|Zip Bag Small / </t>
    </r>
    <r>
      <rPr>
        <sz val="11"/>
        <color theme="1"/>
        <rFont val="DejaVu Sans"/>
        <family val="2"/>
      </rPr>
      <t>ถุงซิป</t>
    </r>
  </si>
  <si>
    <t>20260609|NVP|Bag 4x14</t>
  </si>
  <si>
    <t>20260609|NVP|Bag 6x14</t>
  </si>
  <si>
    <t>20260609|NVP|Bag 8x14</t>
  </si>
  <si>
    <t>20260609|NVP|Bag 9x14</t>
  </si>
  <si>
    <r>
      <rPr>
        <sz val="11"/>
        <color theme="1"/>
        <rFont val="Calibri"/>
        <family val="2"/>
        <charset val="1"/>
      </rPr>
      <t xml:space="preserve">20260609|NVP|Bag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</si>
  <si>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20260609|NVP|Sticker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</si>
  <si>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20260609|NVP|Print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</si>
  <si>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20260609|NVP|Gloves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</si>
  <si>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20260609|NVP|Black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</si>
  <si>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20260609|NVP|Dry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</si>
  <si>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20260609|NVP|Wet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</si>
  <si>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20260609|NVP|Tissue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</si>
  <si>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</si>
  <si>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</si>
  <si>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</si>
  <si>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</si>
  <si>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น้ำยาล้างเครื่องไอดิม</t>
    </r>
  </si>
  <si>
    <t>20260609|NVP|Wake up call (Banana)</t>
  </si>
  <si>
    <t>20260609|NVP|Energy Sip (Straw+Banana)</t>
  </si>
  <si>
    <t>20260609|NVP|Yellow Madness (Pineapple+Mango+Passion)</t>
  </si>
  <si>
    <t>20260609|NVP|Ready to Glow (Straw+Blue+Banana)</t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</si>
  <si>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</si>
  <si>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</si>
  <si>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</si>
  <si>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</si>
  <si>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20260609|NVP|Biscoff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</si>
  <si>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20260609|NVP|Biscoff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</si>
  <si>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</si>
  <si>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</si>
  <si>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</si>
  <si>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</si>
  <si>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</si>
  <si>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</si>
  <si>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20260609|NVP|</t>
    </r>
    <r>
      <rPr>
        <sz val="11"/>
        <color theme="1"/>
        <rFont val="DejaVu Sans"/>
        <family val="2"/>
      </rPr>
      <t>พิสตาชิโอ้ท๊อปปิ้ง</t>
    </r>
  </si>
  <si>
    <t>20260610|NVP|Greek Yogurt 1kg</t>
  </si>
  <si>
    <t>20260610|NVP|Yuzu</t>
  </si>
  <si>
    <t>20260610|NVP|Kyoho</t>
  </si>
  <si>
    <t>20260610|NVP|Mint</t>
  </si>
  <si>
    <t>20260610|NVP|Vanilla</t>
  </si>
  <si>
    <t>20260610|NVP|Pineapple</t>
  </si>
  <si>
    <t>20260610|NVP|Biscoff</t>
  </si>
  <si>
    <t>20260610|NVP|Overnight oats biscoff</t>
  </si>
  <si>
    <r>
      <rPr>
        <sz val="11"/>
        <color theme="1"/>
        <rFont val="Calibri"/>
        <family val="2"/>
        <charset val="1"/>
      </rPr>
      <t>20260610|NVP|Plain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</si>
  <si>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20260610|NVP|Greek Yogurt 500g</t>
  </si>
  <si>
    <t>20260610|NVP|Plain Yogurt 500g</t>
  </si>
  <si>
    <t>20260610|NVP|R-ACAI Bowl</t>
  </si>
  <si>
    <t>20260610|NVP|S-ACAI Cup (mini)</t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</si>
  <si>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</si>
  <si>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20260610|NVP|Granola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</si>
  <si>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20260610|NVP|Softserve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</si>
  <si>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20260610|NVP|Shake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</si>
  <si>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20260610|NVP|Peanut Butter</t>
  </si>
  <si>
    <r>
      <rPr>
        <sz val="11"/>
        <color theme="1"/>
        <rFont val="Calibri"/>
        <family val="2"/>
        <charset val="1"/>
      </rPr>
      <t xml:space="preserve">20260610|NVP|Water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</si>
  <si>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</si>
  <si>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</si>
  <si>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</si>
  <si>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</si>
  <si>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ถุงยูส</t>
    </r>
  </si>
  <si>
    <t>EXP 10/06</t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</si>
  <si>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ถุงพีช</t>
    </r>
  </si>
  <si>
    <t>20260610|NVP|Cornflakes Malt (M)</t>
  </si>
  <si>
    <t>20260610|NVP|Granola (M)</t>
  </si>
  <si>
    <t>20260610|NVP|Choc Chip Cookies</t>
  </si>
  <si>
    <t>20260610|NVP|Cookies Crumbs</t>
  </si>
  <si>
    <t>20260610|NVP|Oreo</t>
  </si>
  <si>
    <t>20260610|NVP|Choc Chips</t>
  </si>
  <si>
    <t>20260610|NVP|Cornflakes (Topping)</t>
  </si>
  <si>
    <t>20260610|NVP|Granola (Topping)</t>
  </si>
  <si>
    <t>20260610|NVP|Almond</t>
  </si>
  <si>
    <t>20260610|NVP|Pecan</t>
  </si>
  <si>
    <t>20260610|NVP|Walnut</t>
  </si>
  <si>
    <t>20260610|NVP|Coconut Chips</t>
  </si>
  <si>
    <t>20260610|NVP|Chia Seed</t>
  </si>
  <si>
    <t>20260610|NVP|Flax Seed</t>
  </si>
  <si>
    <t>20260610|NVP|Cacao Nibs</t>
  </si>
  <si>
    <t>20260610|NVP|Grape Jelly</t>
  </si>
  <si>
    <t>20260610|NVP|Honey Jelly</t>
  </si>
  <si>
    <t>20260610|NVP|Strawberry (250g)</t>
  </si>
  <si>
    <t>20260610|NVP|Strawberry (500g)</t>
  </si>
  <si>
    <t>20260610|NVP|Blueberry (125g)</t>
  </si>
  <si>
    <t>20260610|NVP|Blueberry (300g)</t>
  </si>
  <si>
    <t>20260610|NVP|Blueberry (500g)</t>
  </si>
  <si>
    <t>20260610|NVP|Apple Cinnamon</t>
  </si>
  <si>
    <t>20260610|NVP|Banana</t>
  </si>
  <si>
    <t>20260610|NVP|Honey</t>
  </si>
  <si>
    <t>20260610|NVP|Caramel</t>
  </si>
  <si>
    <t>20260610|NVP|Peanut Butter Sauce</t>
  </si>
  <si>
    <t>20260610|NVP|Cup P (5oz)</t>
  </si>
  <si>
    <t>20260610|NVP|Cup S (9oz)</t>
  </si>
  <si>
    <t>20260610|NVP|Small Bowl</t>
  </si>
  <si>
    <t>20260610|NVP|Cup (14oz)</t>
  </si>
  <si>
    <t>20260610|NVP|Cup 3oz (Topping)</t>
  </si>
  <si>
    <t>20260610|NVP|Cup+Lid (Big) 3oz</t>
  </si>
  <si>
    <t>20260610|NVP|Cup+Lid (Small) 1oz</t>
  </si>
  <si>
    <t>20260610|NVP|Bowl Lid</t>
  </si>
  <si>
    <t>20260610|NVP|Smoothies Lid</t>
  </si>
  <si>
    <t>20260610|NVP|Lid S (92)</t>
  </si>
  <si>
    <t>20260610|NVP|Lid Top / Lid P (75)</t>
  </si>
  <si>
    <t>20260610|NVP|Wood Spoon in bag</t>
  </si>
  <si>
    <t>20260610|NVP|Wood Spoon</t>
  </si>
  <si>
    <r>
      <rPr>
        <sz val="11"/>
        <color theme="1"/>
        <rFont val="Calibri"/>
        <family val="2"/>
        <charset val="1"/>
      </rPr>
      <t xml:space="preserve">20260610|NVP|Tester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</si>
  <si>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20260610|NVP|Short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</si>
  <si>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20260610|NVP|Straw/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</si>
  <si>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20260610|NVP|Straw/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</si>
  <si>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20260610|NVP|Fail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</si>
  <si>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</si>
  <si>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</si>
  <si>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</si>
  <si>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</si>
  <si>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</si>
  <si>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</si>
  <si>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</si>
  <si>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20260610|NVP|Zip Bag Small / </t>
    </r>
    <r>
      <rPr>
        <sz val="11"/>
        <color theme="1"/>
        <rFont val="DejaVu Sans"/>
        <family val="2"/>
      </rPr>
      <t>ถุงซิป</t>
    </r>
  </si>
  <si>
    <t>20260610|NVP|Bag 4x14</t>
  </si>
  <si>
    <t>20260610|NVP|Bag 6x14</t>
  </si>
  <si>
    <t>20260610|NVP|Bag 8x14</t>
  </si>
  <si>
    <t>20260610|NVP|Bag 9x14</t>
  </si>
  <si>
    <r>
      <rPr>
        <sz val="11"/>
        <color theme="1"/>
        <rFont val="Calibri"/>
        <family val="2"/>
        <charset val="1"/>
      </rPr>
      <t xml:space="preserve">20260610|NVP|Bag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</si>
  <si>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20260610|NVP|Sticker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</si>
  <si>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20260610|NVP|Print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</si>
  <si>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20260610|NVP|Gloves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</si>
  <si>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20260610|NVP|Black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</si>
  <si>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20260610|NVP|Dry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</si>
  <si>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20260610|NVP|Wet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</si>
  <si>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20260610|NVP|Tissue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</si>
  <si>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</si>
  <si>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</si>
  <si>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</si>
  <si>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</si>
  <si>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น้ำยาล้างเครื่องไอดิม</t>
    </r>
  </si>
  <si>
    <t>20260610|NVP|Wake up call (Banana)</t>
  </si>
  <si>
    <t>20260610|NVP|Energy Sip (Straw+Banana)</t>
  </si>
  <si>
    <t>20260610|NVP|Yellow Madness (Pineapple+Mango+Passion)</t>
  </si>
  <si>
    <t>20260610|NVP|Ready to Glow (Straw+Blue+Banana)</t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</si>
  <si>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</si>
  <si>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</si>
  <si>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</si>
  <si>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</si>
  <si>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20260610|NVP|Biscoff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</si>
  <si>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20260610|NVP|Biscoff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</si>
  <si>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</si>
  <si>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</si>
  <si>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</si>
  <si>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</si>
  <si>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</si>
  <si>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</si>
  <si>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20260610|NVP|</t>
    </r>
    <r>
      <rPr>
        <sz val="11"/>
        <color theme="1"/>
        <rFont val="DejaVu Sans"/>
        <family val="2"/>
      </rPr>
      <t>พิสตาชิโอ้ท๊อปปิ้ง</t>
    </r>
  </si>
  <si>
    <t>20260611|NVP|Greek Yogurt 1kg</t>
  </si>
  <si>
    <t>20260611|NVP|Yuzu</t>
  </si>
  <si>
    <t>20260611|NVP|Kyoho</t>
  </si>
  <si>
    <t>20260611|NVP|Mint</t>
  </si>
  <si>
    <t>20260611|NVP|Vanilla</t>
  </si>
  <si>
    <t>20260611|NVP|Pineapple</t>
  </si>
  <si>
    <t>20260611|NVP|Biscoff</t>
  </si>
  <si>
    <t>20260611|NVP|Overnight oats biscoff</t>
  </si>
  <si>
    <r>
      <rPr>
        <sz val="11"/>
        <color theme="1"/>
        <rFont val="Calibri"/>
        <family val="2"/>
        <charset val="1"/>
      </rPr>
      <t>20260611|NVP|Plain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</si>
  <si>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20260611|NVP|Greek Yogurt 500g</t>
  </si>
  <si>
    <t>20260611|NVP|Plain Yogurt 500g</t>
  </si>
  <si>
    <t>20260611|NVP|R-ACAI Bowl</t>
  </si>
  <si>
    <t>20260611|NVP|S-ACAI Cup (mini)</t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</si>
  <si>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</si>
  <si>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20260611|NVP|Granola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</si>
  <si>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20260611|NVP|Softserve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</si>
  <si>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20260611|NVP|Shake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</si>
  <si>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20260611|NVP|Peanut Butter</t>
  </si>
  <si>
    <r>
      <rPr>
        <sz val="11"/>
        <color theme="1"/>
        <rFont val="Calibri"/>
        <family val="2"/>
        <charset val="1"/>
      </rPr>
      <t xml:space="preserve">20260611|NVP|Water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</si>
  <si>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</si>
  <si>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</si>
  <si>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</si>
  <si>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</si>
  <si>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</si>
  <si>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ถุงพีช</t>
    </r>
  </si>
  <si>
    <t>20260611|NVP|Cornflakes Malt (M)</t>
  </si>
  <si>
    <t>20260611|NVP|Granola (M)</t>
  </si>
  <si>
    <t>20260611|NVP|Choc Chip Cookies</t>
  </si>
  <si>
    <t>20260611|NVP|Cookies Crumbs</t>
  </si>
  <si>
    <t>20260611|NVP|Oreo</t>
  </si>
  <si>
    <t>20260611|NVP|Choc Chips</t>
  </si>
  <si>
    <t>20260611|NVP|Cornflakes (Topping)</t>
  </si>
  <si>
    <t>20260611|NVP|Granola (Topping)</t>
  </si>
  <si>
    <t>20260611|NVP|Almond</t>
  </si>
  <si>
    <t>20260611|NVP|Pecan</t>
  </si>
  <si>
    <t>20260611|NVP|Walnut</t>
  </si>
  <si>
    <t>20260611|NVP|Coconut Chips</t>
  </si>
  <si>
    <t>20260611|NVP|Chia Seed</t>
  </si>
  <si>
    <t>20260611|NVP|Flax Seed</t>
  </si>
  <si>
    <t>20260611|NVP|Cacao Nibs</t>
  </si>
  <si>
    <t>20260611|NVP|Grape Jelly</t>
  </si>
  <si>
    <t>20260611|NVP|Honey Jelly</t>
  </si>
  <si>
    <t>20260611|NVP|Strawberry (250g)</t>
  </si>
  <si>
    <t>20260611|NVP|Strawberry (500g)</t>
  </si>
  <si>
    <t>20260611|NVP|Blueberry (125g)</t>
  </si>
  <si>
    <t>20260611|NVP|Blueberry (300g)</t>
  </si>
  <si>
    <t>20260611|NVP|Blueberry (500g)</t>
  </si>
  <si>
    <t>20260611|NVP|Apple Cinnamon</t>
  </si>
  <si>
    <t>20260611|NVP|Banana</t>
  </si>
  <si>
    <t>20260611|NVP|Honey</t>
  </si>
  <si>
    <t>20260611|NVP|Caramel</t>
  </si>
  <si>
    <t>20260611|NVP|Peanut Butter Sauce</t>
  </si>
  <si>
    <t>20260611|NVP|Cup P (5oz)</t>
  </si>
  <si>
    <t>20260611|NVP|Cup S (9oz)</t>
  </si>
  <si>
    <t>20260611|NVP|Small Bowl</t>
  </si>
  <si>
    <t>20260611|NVP|Cup (14oz)</t>
  </si>
  <si>
    <t>20260611|NVP|Cup 3oz (Topping)</t>
  </si>
  <si>
    <t>20260611|NVP|Cup+Lid (Big) 3oz</t>
  </si>
  <si>
    <t>20260611|NVP|Cup+Lid (Small) 1oz</t>
  </si>
  <si>
    <t>20260611|NVP|Bowl Lid</t>
  </si>
  <si>
    <t>20260611|NVP|Smoothies Lid</t>
  </si>
  <si>
    <t>20260611|NVP|Lid S (92)</t>
  </si>
  <si>
    <t>20260611|NVP|Lid Top / Lid P (75)</t>
  </si>
  <si>
    <t>20260611|NVP|Wood Spoon in bag</t>
  </si>
  <si>
    <t>20260611|NVP|Wood Spoon</t>
  </si>
  <si>
    <r>
      <rPr>
        <sz val="11"/>
        <color theme="1"/>
        <rFont val="Calibri"/>
        <family val="2"/>
        <charset val="1"/>
      </rPr>
      <t xml:space="preserve">20260611|NVP|Tester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</si>
  <si>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20260611|NVP|Short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</si>
  <si>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20260611|NVP|Straw/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</si>
  <si>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20260611|NVP|Straw/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</si>
  <si>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20260611|NVP|Fail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</si>
  <si>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</si>
  <si>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</si>
  <si>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</si>
  <si>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</si>
  <si>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</si>
  <si>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</si>
  <si>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</si>
  <si>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20260611|NVP|Zip Bag Small / </t>
    </r>
    <r>
      <rPr>
        <sz val="11"/>
        <color theme="1"/>
        <rFont val="DejaVu Sans"/>
        <family val="2"/>
      </rPr>
      <t>ถุงซิป</t>
    </r>
  </si>
  <si>
    <t>20260611|NVP|Bag 4x14</t>
  </si>
  <si>
    <t>20260611|NVP|Bag 6x14</t>
  </si>
  <si>
    <t>20260611|NVP|Bag 8x14</t>
  </si>
  <si>
    <t>20260611|NVP|Bag 9x14</t>
  </si>
  <si>
    <r>
      <rPr>
        <sz val="11"/>
        <color theme="1"/>
        <rFont val="Calibri"/>
        <family val="2"/>
        <charset val="1"/>
      </rPr>
      <t xml:space="preserve">20260611|NVP|Bag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</si>
  <si>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20260611|NVP|Sticker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</si>
  <si>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20260611|NVP|Print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</si>
  <si>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20260611|NVP|Gloves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</si>
  <si>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20260611|NVP|Black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</si>
  <si>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20260611|NVP|Dry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</si>
  <si>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20260611|NVP|Wet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</si>
  <si>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20260611|NVP|Tissue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</si>
  <si>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</si>
  <si>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</si>
  <si>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</si>
  <si>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</si>
  <si>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น้ำยาล้างเครื่องไอดิม</t>
    </r>
  </si>
  <si>
    <t>20260611|NVP|Wake up call (Banana)</t>
  </si>
  <si>
    <t>20260611|NVP|Energy Sip (Straw+Banana)</t>
  </si>
  <si>
    <t>20260611|NVP|Yellow Madness (Pineapple+Mango+Passion)</t>
  </si>
  <si>
    <t>20260611|NVP|Ready to Glow (Straw+Blue+Banana)</t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</si>
  <si>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</si>
  <si>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</si>
  <si>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</si>
  <si>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</si>
  <si>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20260611|NVP|Biscoff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</si>
  <si>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20260611|NVP|Biscoff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</si>
  <si>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</si>
  <si>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</si>
  <si>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</si>
  <si>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</si>
  <si>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</si>
  <si>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</si>
  <si>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20260611|NVP|</t>
    </r>
    <r>
      <rPr>
        <sz val="11"/>
        <color theme="1"/>
        <rFont val="DejaVu Sans"/>
        <family val="2"/>
      </rPr>
      <t>พิสตาชิโอ้ท๊อปปิ้ง</t>
    </r>
  </si>
  <si>
    <t>20260612|NVP|Greek Yogurt 1kg</t>
  </si>
  <si>
    <t>20260612|NVP|Yuzu</t>
  </si>
  <si>
    <t>20260612|NVP|Kyoho</t>
  </si>
  <si>
    <t>20260612|NVP|Mint</t>
  </si>
  <si>
    <t>20260612|NVP|Vanilla</t>
  </si>
  <si>
    <t>20260612|NVP|Pineapple</t>
  </si>
  <si>
    <t>20260612|NVP|Biscoff</t>
  </si>
  <si>
    <t>20260612|NVP|Overnight oats biscoff</t>
  </si>
  <si>
    <r>
      <rPr>
        <sz val="11"/>
        <color theme="1"/>
        <rFont val="Calibri"/>
        <family val="2"/>
        <charset val="1"/>
      </rPr>
      <t>20260612|NVP|Plain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</si>
  <si>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20260612|NVP|Greek Yogurt 500g</t>
  </si>
  <si>
    <t>20260612|NVP|Plain Yogurt 500g</t>
  </si>
  <si>
    <t>20260612|NVP|R-ACAI Bowl</t>
  </si>
  <si>
    <t>20260612|NVP|S-ACAI Cup (mini)</t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</si>
  <si>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</si>
  <si>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20260612|NVP|Granola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</si>
  <si>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20260612|NVP|Softserve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</si>
  <si>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20260612|NVP|Shake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</si>
  <si>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20260612|NVP|Peanut Butter</t>
  </si>
  <si>
    <r>
      <rPr>
        <sz val="11"/>
        <color theme="1"/>
        <rFont val="Calibri"/>
        <family val="2"/>
        <charset val="1"/>
      </rPr>
      <t xml:space="preserve">20260612|NVP|Water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</si>
  <si>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</si>
  <si>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</si>
  <si>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</si>
  <si>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</si>
  <si>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</si>
  <si>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ถุงพีช</t>
    </r>
  </si>
  <si>
    <t>20260612|NVP|Cornflakes Malt (M)</t>
  </si>
  <si>
    <t>20260612|NVP|Granola (M)</t>
  </si>
  <si>
    <t>20260612|NVP|Choc Chip Cookies</t>
  </si>
  <si>
    <t>20260612|NVP|Cookies Crumbs</t>
  </si>
  <si>
    <t>20260612|NVP|Oreo</t>
  </si>
  <si>
    <t>20260612|NVP|Choc Chips</t>
  </si>
  <si>
    <t>20260612|NVP|Cornflakes (Topping)</t>
  </si>
  <si>
    <t>20260612|NVP|Granola (Topping)</t>
  </si>
  <si>
    <t>20260612|NVP|Almond</t>
  </si>
  <si>
    <t>20260612|NVP|Pecan</t>
  </si>
  <si>
    <t>20260612|NVP|Walnut</t>
  </si>
  <si>
    <t>20260612|NVP|Coconut Chips</t>
  </si>
  <si>
    <t>20260612|NVP|Chia Seed</t>
  </si>
  <si>
    <t>20260612|NVP|Flax Seed</t>
  </si>
  <si>
    <t>20260612|NVP|Cacao Nibs</t>
  </si>
  <si>
    <t>20260612|NVP|Grape Jelly</t>
  </si>
  <si>
    <t>20260612|NVP|Honey Jelly</t>
  </si>
  <si>
    <t>20260612|NVP|Strawberry (250g)</t>
  </si>
  <si>
    <t>20260612|NVP|Strawberry (500g)</t>
  </si>
  <si>
    <t>20260612|NVP|Blueberry (125g)</t>
  </si>
  <si>
    <t>20260612|NVP|Blueberry (300g)</t>
  </si>
  <si>
    <t>20260612|NVP|Blueberry (500g)</t>
  </si>
  <si>
    <t>20260612|NVP|Apple Cinnamon</t>
  </si>
  <si>
    <t>20260612|NVP|Banana</t>
  </si>
  <si>
    <t>20260612|NVP|Honey</t>
  </si>
  <si>
    <t>20260612|NVP|Caramel</t>
  </si>
  <si>
    <t>20260612|NVP|Peanut Butter Sauce</t>
  </si>
  <si>
    <t>20260612|NVP|Cup P (5oz)</t>
  </si>
  <si>
    <t>20260612|NVP|Cup S (9oz)</t>
  </si>
  <si>
    <t>20260612|NVP|Small Bowl</t>
  </si>
  <si>
    <t>20260612|NVP|Cup (14oz)</t>
  </si>
  <si>
    <t>20260612|NVP|Cup 3oz (Topping)</t>
  </si>
  <si>
    <t>20260612|NVP|Cup+Lid (Big) 3oz</t>
  </si>
  <si>
    <t>20260612|NVP|Cup+Lid (Small) 1oz</t>
  </si>
  <si>
    <t>20260612|NVP|Bowl Lid</t>
  </si>
  <si>
    <t>20260612|NVP|Smoothies Lid</t>
  </si>
  <si>
    <t>20260612|NVP|Lid S (92)</t>
  </si>
  <si>
    <t>20260612|NVP|Lid Top / Lid P (75)</t>
  </si>
  <si>
    <t>20260612|NVP|Wood Spoon in bag</t>
  </si>
  <si>
    <t>20260612|NVP|Wood Spoon</t>
  </si>
  <si>
    <r>
      <rPr>
        <sz val="11"/>
        <color theme="1"/>
        <rFont val="Calibri"/>
        <family val="2"/>
        <charset val="1"/>
      </rPr>
      <t xml:space="preserve">20260612|NVP|Tester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</si>
  <si>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20260612|NVP|Short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</si>
  <si>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20260612|NVP|Straw/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</si>
  <si>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20260612|NVP|Straw/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</si>
  <si>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20260612|NVP|Fail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</si>
  <si>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</si>
  <si>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</si>
  <si>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</si>
  <si>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</si>
  <si>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</si>
  <si>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</si>
  <si>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</si>
  <si>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20260612|NVP|Zip Bag Small / </t>
    </r>
    <r>
      <rPr>
        <sz val="11"/>
        <color theme="1"/>
        <rFont val="DejaVu Sans"/>
        <family val="2"/>
      </rPr>
      <t>ถุงซิป</t>
    </r>
  </si>
  <si>
    <t>20260612|NVP|Bag 4x14</t>
  </si>
  <si>
    <t>20260612|NVP|Bag 6x14</t>
  </si>
  <si>
    <t>20260612|NVP|Bag 8x14</t>
  </si>
  <si>
    <t>20260612|NVP|Bag 9x14</t>
  </si>
  <si>
    <r>
      <rPr>
        <sz val="11"/>
        <color theme="1"/>
        <rFont val="Calibri"/>
        <family val="2"/>
        <charset val="1"/>
      </rPr>
      <t xml:space="preserve">20260612|NVP|Bag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</si>
  <si>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20260612|NVP|Sticker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</si>
  <si>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20260612|NVP|Print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</si>
  <si>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20260612|NVP|Gloves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</si>
  <si>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20260612|NVP|Black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</si>
  <si>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20260612|NVP|Dry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</si>
  <si>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20260612|NVP|Wet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</si>
  <si>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20260612|NVP|Tissue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</si>
  <si>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</si>
  <si>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</si>
  <si>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</si>
  <si>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</si>
  <si>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น้ำยาล้างเครื่องไอดิม</t>
    </r>
  </si>
  <si>
    <t>20260612|NVP|Wake up call (Banana)</t>
  </si>
  <si>
    <t>20260612|NVP|Energy Sip (Straw+Banana)</t>
  </si>
  <si>
    <t>20260612|NVP|Yellow Madness (Pineapple+Mango+Passion)</t>
  </si>
  <si>
    <t>20260612|NVP|Ready to Glow (Straw+Blue+Banana)</t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</si>
  <si>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</si>
  <si>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</si>
  <si>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</si>
  <si>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</si>
  <si>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20260612|NVP|Biscoff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</si>
  <si>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20260612|NVP|Biscoff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</si>
  <si>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</si>
  <si>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</si>
  <si>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</si>
  <si>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</si>
  <si>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</si>
  <si>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</si>
  <si>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20260612|NVP|</t>
    </r>
    <r>
      <rPr>
        <sz val="11"/>
        <color theme="1"/>
        <rFont val="DejaVu Sans"/>
        <family val="2"/>
      </rPr>
      <t>พิสตาชิโอ้ท๊อปปิ้ง</t>
    </r>
  </si>
  <si>
    <t>20260613|NVP|Greek Yogurt 1kg</t>
  </si>
  <si>
    <t>20260613|NVP|Yuzu</t>
  </si>
  <si>
    <t>20260613|NVP|Kyoho</t>
  </si>
  <si>
    <t>20260613|NVP|Mint</t>
  </si>
  <si>
    <t>20260613|NVP|Vanilla</t>
  </si>
  <si>
    <t>20260613|NVP|Pineapple</t>
  </si>
  <si>
    <t>20260613|NVP|Biscoff</t>
  </si>
  <si>
    <t>20260613|NVP|Overnight oats biscoff</t>
  </si>
  <si>
    <r>
      <rPr>
        <sz val="11"/>
        <color theme="1"/>
        <rFont val="Calibri"/>
        <family val="2"/>
        <charset val="1"/>
      </rPr>
      <t>20260613|NVP|Plain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</si>
  <si>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20260613|NVP|Greek Yogurt 500g</t>
  </si>
  <si>
    <t>20260613|NVP|Plain Yogurt 500g</t>
  </si>
  <si>
    <t>20260613|NVP|R-ACAI Bowl</t>
  </si>
  <si>
    <t>20260613|NVP|S-ACAI Cup (mini)</t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</si>
  <si>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</si>
  <si>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20260613|NVP|Granola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</si>
  <si>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20260613|NVP|Softserve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</si>
  <si>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20260613|NVP|Shake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</si>
  <si>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20260613|NVP|Peanut Butter</t>
  </si>
  <si>
    <r>
      <rPr>
        <sz val="11"/>
        <color theme="1"/>
        <rFont val="Calibri"/>
        <family val="2"/>
        <charset val="1"/>
      </rPr>
      <t xml:space="preserve">20260613|NVP|Water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</si>
  <si>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</si>
  <si>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</si>
  <si>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</si>
  <si>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</si>
  <si>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</si>
  <si>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ถุงพีช</t>
    </r>
  </si>
  <si>
    <t>20260613|NVP|Cornflakes Malt (M)</t>
  </si>
  <si>
    <t>20260613|NVP|Granola (M)</t>
  </si>
  <si>
    <t>20260613|NVP|Choc Chip Cookies</t>
  </si>
  <si>
    <t>20260613|NVP|Cookies Crumbs</t>
  </si>
  <si>
    <t>20260613|NVP|Oreo</t>
  </si>
  <si>
    <t>20260613|NVP|Choc Chips</t>
  </si>
  <si>
    <t>20260613|NVP|Cornflakes (Topping)</t>
  </si>
  <si>
    <t>20260613|NVP|Granola (Topping)</t>
  </si>
  <si>
    <t>20260613|NVP|Almond</t>
  </si>
  <si>
    <t>20260613|NVP|Pecan</t>
  </si>
  <si>
    <t>20260613|NVP|Walnut</t>
  </si>
  <si>
    <t>20260613|NVP|Coconut Chips</t>
  </si>
  <si>
    <t>20260613|NVP|Chia Seed</t>
  </si>
  <si>
    <t>20260613|NVP|Flax Seed</t>
  </si>
  <si>
    <t>20260613|NVP|Cacao Nibs</t>
  </si>
  <si>
    <t>20260613|NVP|Grape Jelly</t>
  </si>
  <si>
    <t>20260613|NVP|Honey Jelly</t>
  </si>
  <si>
    <t>20260613|NVP|Strawberry (250g)</t>
  </si>
  <si>
    <t>20260613|NVP|Strawberry (500g)</t>
  </si>
  <si>
    <t>20260613|NVP|Blueberry (125g)</t>
  </si>
  <si>
    <t>20260613|NVP|Blueberry (300g)</t>
  </si>
  <si>
    <t>20260613|NVP|Blueberry (500g)</t>
  </si>
  <si>
    <t>20260613|NVP|Apple Cinnamon</t>
  </si>
  <si>
    <t>20260613|NVP|Banana</t>
  </si>
  <si>
    <t>20260613|NVP|Honey</t>
  </si>
  <si>
    <t>20260613|NVP|Caramel</t>
  </si>
  <si>
    <t>20260613|NVP|Peanut Butter Sauce</t>
  </si>
  <si>
    <t>20260613|NVP|Cup P (5oz)</t>
  </si>
  <si>
    <t>20260613|NVP|Cup S (9oz)</t>
  </si>
  <si>
    <t>20260613|NVP|Small Bowl</t>
  </si>
  <si>
    <t>20260613|NVP|Cup (14oz)</t>
  </si>
  <si>
    <t>20260613|NVP|Cup 3oz (Topping)</t>
  </si>
  <si>
    <t>20260613|NVP|Cup+Lid (Big) 3oz</t>
  </si>
  <si>
    <t>20260613|NVP|Cup+Lid (Small) 1oz</t>
  </si>
  <si>
    <t>20260613|NVP|Bowl Lid</t>
  </si>
  <si>
    <t>20260613|NVP|Smoothies Lid</t>
  </si>
  <si>
    <t>20260613|NVP|Lid S (92)</t>
  </si>
  <si>
    <t>20260613|NVP|Lid Top / Lid P (75)</t>
  </si>
  <si>
    <t>20260613|NVP|Wood Spoon in bag</t>
  </si>
  <si>
    <t>20260613|NVP|Wood Spoon</t>
  </si>
  <si>
    <r>
      <rPr>
        <sz val="11"/>
        <color theme="1"/>
        <rFont val="Calibri"/>
        <family val="2"/>
        <charset val="1"/>
      </rPr>
      <t xml:space="preserve">20260613|NVP|Tester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</si>
  <si>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20260613|NVP|Short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</si>
  <si>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20260613|NVP|Straw/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</si>
  <si>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20260613|NVP|Straw/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</si>
  <si>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20260613|NVP|Fail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</si>
  <si>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</si>
  <si>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</si>
  <si>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</si>
  <si>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</si>
  <si>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</si>
  <si>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</si>
  <si>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</si>
  <si>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20260613|NVP|Zip Bag Small / </t>
    </r>
    <r>
      <rPr>
        <sz val="11"/>
        <color theme="1"/>
        <rFont val="DejaVu Sans"/>
        <family val="2"/>
      </rPr>
      <t>ถุงซิป</t>
    </r>
  </si>
  <si>
    <t>20260613|NVP|Bag 4x14</t>
  </si>
  <si>
    <t>20260613|NVP|Bag 6x14</t>
  </si>
  <si>
    <t>20260613|NVP|Bag 8x14</t>
  </si>
  <si>
    <t>20260613|NVP|Bag 9x14</t>
  </si>
  <si>
    <r>
      <rPr>
        <sz val="11"/>
        <color theme="1"/>
        <rFont val="Calibri"/>
        <family val="2"/>
        <charset val="1"/>
      </rPr>
      <t xml:space="preserve">20260613|NVP|Bag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</si>
  <si>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20260613|NVP|Sticker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</si>
  <si>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20260613|NVP|Print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</si>
  <si>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20260613|NVP|Gloves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</si>
  <si>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20260613|NVP|Black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</si>
  <si>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20260613|NVP|Dry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</si>
  <si>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20260613|NVP|Wet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</si>
  <si>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20260613|NVP|Tissue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</si>
  <si>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</si>
  <si>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</si>
  <si>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</si>
  <si>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</si>
  <si>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น้ำยาล้างเครื่องไอดิม</t>
    </r>
  </si>
  <si>
    <t>20260613|NVP|Wake up call (Banana)</t>
  </si>
  <si>
    <t>20260613|NVP|Energy Sip (Straw+Banana)</t>
  </si>
  <si>
    <t>20260613|NVP|Yellow Madness (Pineapple+Mango+Passion)</t>
  </si>
  <si>
    <t>20260613|NVP|Ready to Glow (Straw+Blue+Banana)</t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</si>
  <si>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</si>
  <si>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</si>
  <si>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</si>
  <si>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</si>
  <si>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20260613|NVP|Biscoff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</si>
  <si>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20260613|NVP|Biscoff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</si>
  <si>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</si>
  <si>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</si>
  <si>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</si>
  <si>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</si>
  <si>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</si>
  <si>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</si>
  <si>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20260613|NVP|</t>
    </r>
    <r>
      <rPr>
        <sz val="11"/>
        <color theme="1"/>
        <rFont val="DejaVu Sans"/>
        <family val="2"/>
      </rPr>
      <t>พิสตาชิโอ้ท๊อปปิ้ง</t>
    </r>
  </si>
  <si>
    <t>20260614|NVP|Greek Yogurt 1kg</t>
  </si>
  <si>
    <t>20260614|NVP|Yuzu</t>
  </si>
  <si>
    <t>20260614|NVP|Kyoho</t>
  </si>
  <si>
    <t>20260614|NVP|Mint</t>
  </si>
  <si>
    <t>20260614|NVP|Vanilla</t>
  </si>
  <si>
    <t>20260614|NVP|Pineapple</t>
  </si>
  <si>
    <t>20260614|NVP|Biscoff</t>
  </si>
  <si>
    <t>20260614|NVP|Overnight oats biscoff</t>
  </si>
  <si>
    <r>
      <rPr>
        <sz val="11"/>
        <color theme="1"/>
        <rFont val="Calibri"/>
        <family val="2"/>
        <charset val="1"/>
      </rPr>
      <t>20260614|NVP|Plain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</si>
  <si>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20260614|NVP|Greek Yogurt 500g</t>
  </si>
  <si>
    <t>20260614|NVP|Plain Yogurt 500g</t>
  </si>
  <si>
    <t>20260614|NVP|R-ACAI Bowl</t>
  </si>
  <si>
    <t>20260614|NVP|S-ACAI Cup (mini)</t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</si>
  <si>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</si>
  <si>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20260614|NVP|Granola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</si>
  <si>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20260614|NVP|Softserve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</si>
  <si>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20260614|NVP|Shake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</si>
  <si>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20260614|NVP|Peanut Butter</t>
  </si>
  <si>
    <r>
      <rPr>
        <sz val="11"/>
        <color theme="1"/>
        <rFont val="Calibri"/>
        <family val="2"/>
        <charset val="1"/>
      </rPr>
      <t xml:space="preserve">20260614|NVP|Water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</si>
  <si>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</si>
  <si>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</si>
  <si>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</si>
  <si>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</si>
  <si>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</si>
  <si>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ถุงพีช</t>
    </r>
  </si>
  <si>
    <t>20260614|NVP|Cornflakes Malt (M)</t>
  </si>
  <si>
    <t>20260614|NVP|Granola (M)</t>
  </si>
  <si>
    <t>20260614|NVP|Choc Chip Cookies</t>
  </si>
  <si>
    <t>20260614|NVP|Cookies Crumbs</t>
  </si>
  <si>
    <t>20260614|NVP|Oreo</t>
  </si>
  <si>
    <t>20260614|NVP|Choc Chips</t>
  </si>
  <si>
    <t>20260614|NVP|Cornflakes (Topping)</t>
  </si>
  <si>
    <t>20260614|NVP|Granola (Topping)</t>
  </si>
  <si>
    <t>20260614|NVP|Almond</t>
  </si>
  <si>
    <t>20260614|NVP|Pecan</t>
  </si>
  <si>
    <t>20260614|NVP|Walnut</t>
  </si>
  <si>
    <t>20260614|NVP|Coconut Chips</t>
  </si>
  <si>
    <t>20260614|NVP|Chia Seed</t>
  </si>
  <si>
    <t>20260614|NVP|Flax Seed</t>
  </si>
  <si>
    <t>20260614|NVP|Cacao Nibs</t>
  </si>
  <si>
    <t>20260614|NVP|Grape Jelly</t>
  </si>
  <si>
    <t>20260614|NVP|Honey Jelly</t>
  </si>
  <si>
    <t>20260614|NVP|Strawberry (250g)</t>
  </si>
  <si>
    <t>20260614|NVP|Strawberry (500g)</t>
  </si>
  <si>
    <t>20260614|NVP|Blueberry (125g)</t>
  </si>
  <si>
    <t>20260614|NVP|Blueberry (300g)</t>
  </si>
  <si>
    <t>20260614|NVP|Blueberry (500g)</t>
  </si>
  <si>
    <t>20260614|NVP|Apple Cinnamon</t>
  </si>
  <si>
    <t>20260614|NVP|Banana</t>
  </si>
  <si>
    <t>20260614|NVP|Honey</t>
  </si>
  <si>
    <t>20260614|NVP|Caramel</t>
  </si>
  <si>
    <t>20260614|NVP|Peanut Butter Sauce</t>
  </si>
  <si>
    <t>20260614|NVP|Cup P (5oz)</t>
  </si>
  <si>
    <t>20260614|NVP|Cup S (9oz)</t>
  </si>
  <si>
    <t>20260614|NVP|Small Bowl</t>
  </si>
  <si>
    <t>20260614|NVP|Cup (14oz)</t>
  </si>
  <si>
    <t>20260614|NVP|Cup 3oz (Topping)</t>
  </si>
  <si>
    <t>20260614|NVP|Cup+Lid (Big) 3oz</t>
  </si>
  <si>
    <t>20260614|NVP|Cup+Lid (Small) 1oz</t>
  </si>
  <si>
    <t>20260614|NVP|Bowl Lid</t>
  </si>
  <si>
    <t>20260614|NVP|Smoothies Lid</t>
  </si>
  <si>
    <t>20260614|NVP|Lid S (92)</t>
  </si>
  <si>
    <t>20260614|NVP|Lid Top / Lid P (75)</t>
  </si>
  <si>
    <t>20260614|NVP|Wood Spoon in bag</t>
  </si>
  <si>
    <t>20260614|NVP|Wood Spoon</t>
  </si>
  <si>
    <r>
      <rPr>
        <sz val="11"/>
        <color theme="1"/>
        <rFont val="Calibri"/>
        <family val="2"/>
        <charset val="1"/>
      </rPr>
      <t xml:space="preserve">20260614|NVP|Tester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</si>
  <si>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20260614|NVP|Short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</si>
  <si>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20260614|NVP|Straw/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</si>
  <si>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20260614|NVP|Straw/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</si>
  <si>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20260614|NVP|Fail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</si>
  <si>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</si>
  <si>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</si>
  <si>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</si>
  <si>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</si>
  <si>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</si>
  <si>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</si>
  <si>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</si>
  <si>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20260614|NVP|Zip Bag Small / </t>
    </r>
    <r>
      <rPr>
        <sz val="11"/>
        <color theme="1"/>
        <rFont val="DejaVu Sans"/>
        <family val="2"/>
      </rPr>
      <t>ถุงซิป</t>
    </r>
  </si>
  <si>
    <t>20260614|NVP|Bag 4x14</t>
  </si>
  <si>
    <t>20260614|NVP|Bag 6x14</t>
  </si>
  <si>
    <t>20260614|NVP|Bag 8x14</t>
  </si>
  <si>
    <t>20260614|NVP|Bag 9x14</t>
  </si>
  <si>
    <r>
      <rPr>
        <sz val="11"/>
        <color theme="1"/>
        <rFont val="Calibri"/>
        <family val="2"/>
        <charset val="1"/>
      </rPr>
      <t xml:space="preserve">20260614|NVP|Bag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</si>
  <si>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20260614|NVP|Sticker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</si>
  <si>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20260614|NVP|Print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</si>
  <si>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20260614|NVP|Gloves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</si>
  <si>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20260614|NVP|Black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</si>
  <si>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20260614|NVP|Dry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</si>
  <si>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20260614|NVP|Wet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</si>
  <si>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20260614|NVP|Tissue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</si>
  <si>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</si>
  <si>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</si>
  <si>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</si>
  <si>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</si>
  <si>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น้ำยาล้างเครื่องไอดิม</t>
    </r>
  </si>
  <si>
    <t>20260614|NVP|Wake up call (Banana)</t>
  </si>
  <si>
    <t>20260614|NVP|Energy Sip (Straw+Banana)</t>
  </si>
  <si>
    <t>20260614|NVP|Yellow Madness (Pineapple+Mango+Passion)</t>
  </si>
  <si>
    <t>20260614|NVP|Ready to Glow (Straw+Blue+Banana)</t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</si>
  <si>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</si>
  <si>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</si>
  <si>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</si>
  <si>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</si>
  <si>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20260614|NVP|Biscoff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</si>
  <si>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20260614|NVP|Biscoff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</si>
  <si>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</si>
  <si>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</si>
  <si>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</si>
  <si>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</si>
  <si>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</si>
  <si>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</si>
  <si>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20260614|NVP|</t>
    </r>
    <r>
      <rPr>
        <sz val="11"/>
        <color theme="1"/>
        <rFont val="DejaVu Sans"/>
        <family val="2"/>
      </rPr>
      <t>พิสตาชิโอ้ท๊อปปิ้ง</t>
    </r>
  </si>
  <si>
    <t>20260615|NVP|Greek Yogurt 1kg</t>
  </si>
  <si>
    <t>20260615|NVP|Yuzu</t>
  </si>
  <si>
    <t>20260615|NVP|Kyoho</t>
  </si>
  <si>
    <t>20260615|NVP|Mint</t>
  </si>
  <si>
    <t>20260615|NVP|Vanilla</t>
  </si>
  <si>
    <t>20260615|NVP|Pineapple</t>
  </si>
  <si>
    <t>20260615|NVP|Biscoff</t>
  </si>
  <si>
    <t>20260615|NVP|Overnight oats biscoff</t>
  </si>
  <si>
    <r>
      <rPr>
        <sz val="11"/>
        <color theme="1"/>
        <rFont val="Calibri"/>
        <family val="2"/>
        <charset val="1"/>
      </rPr>
      <t>20260615|NVP|Plain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</si>
  <si>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EXP</t>
  </si>
  <si>
    <t>20260615|NVP|Greek Yogurt 500g</t>
  </si>
  <si>
    <t>20260615|NVP|Plain Yogurt 500g</t>
  </si>
  <si>
    <t>20260615|NVP|R-ACAI Bowl</t>
  </si>
  <si>
    <t>20260615|NVP|S-ACAI Cup (mini)</t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</si>
  <si>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</si>
  <si>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20260615|NVP|Granola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</si>
  <si>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20260615|NVP|Softserve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</si>
  <si>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20260615|NVP|Shake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</si>
  <si>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20260615|NVP|Peanut Butter</t>
  </si>
  <si>
    <r>
      <rPr>
        <sz val="11"/>
        <color theme="1"/>
        <rFont val="Calibri"/>
        <family val="2"/>
        <charset val="1"/>
      </rPr>
      <t xml:space="preserve">20260615|NVP|Water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</si>
  <si>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</si>
  <si>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</si>
  <si>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</si>
  <si>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</si>
  <si>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</si>
  <si>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ถุงพีช</t>
    </r>
  </si>
  <si>
    <t>20260615|NVP|Cornflakes Malt (M)</t>
  </si>
  <si>
    <t>20260615|NVP|Granola (M)</t>
  </si>
  <si>
    <t>20260615|NVP|Choc Chip Cookies</t>
  </si>
  <si>
    <t>20260615|NVP|Cookies Crumbs</t>
  </si>
  <si>
    <t>20260615|NVP|Oreo</t>
  </si>
  <si>
    <t>20260615|NVP|Choc Chips</t>
  </si>
  <si>
    <t>20260615|NVP|Cornflakes (Topping)</t>
  </si>
  <si>
    <t>20260615|NVP|Granola (Topping)</t>
  </si>
  <si>
    <t>20260615|NVP|Almond</t>
  </si>
  <si>
    <t>20260615|NVP|Pecan</t>
  </si>
  <si>
    <t>20260615|NVP|Walnut</t>
  </si>
  <si>
    <t>20260615|NVP|Coconut Chips</t>
  </si>
  <si>
    <t>20260615|NVP|Chia Seed</t>
  </si>
  <si>
    <t>20260615|NVP|Flax Seed</t>
  </si>
  <si>
    <t>20260615|NVP|Cacao Nibs</t>
  </si>
  <si>
    <t>20260615|NVP|Grape Jelly</t>
  </si>
  <si>
    <t>20260615|NVP|Honey Jelly</t>
  </si>
  <si>
    <t>20260615|NVP|Strawberry (250g)</t>
  </si>
  <si>
    <t>20260615|NVP|Strawberry (500g)</t>
  </si>
  <si>
    <t>20260615|NVP|Blueberry (125g)</t>
  </si>
  <si>
    <t>20260615|NVP|Blueberry (300g)</t>
  </si>
  <si>
    <t>20260615|NVP|Blueberry (500g)</t>
  </si>
  <si>
    <t>20260615|NVP|Apple Cinnamon</t>
  </si>
  <si>
    <t>20260615|NVP|Banana</t>
  </si>
  <si>
    <t>20260615|NVP|Honey</t>
  </si>
  <si>
    <t>20260615|NVP|Caramel</t>
  </si>
  <si>
    <t>20260615|NVP|Peanut Butter Sauce</t>
  </si>
  <si>
    <t>20260615|NVP|Cup P (5oz)</t>
  </si>
  <si>
    <t>20260615|NVP|Cup S (9oz)</t>
  </si>
  <si>
    <t>20260615|NVP|Small Bowl</t>
  </si>
  <si>
    <t>20260615|NVP|Cup (14oz)</t>
  </si>
  <si>
    <t>20260615|NVP|Cup 3oz (Topping)</t>
  </si>
  <si>
    <t>20260615|NVP|Cup+Lid (Big) 3oz</t>
  </si>
  <si>
    <t>20260615|NVP|Cup+Lid (Small) 1oz</t>
  </si>
  <si>
    <t>20260615|NVP|Bowl Lid</t>
  </si>
  <si>
    <t>20260615|NVP|Smoothies Lid</t>
  </si>
  <si>
    <t>20260615|NVP|Lid S (92)</t>
  </si>
  <si>
    <t>20260615|NVP|Lid Top / Lid P (75)</t>
  </si>
  <si>
    <t>20260615|NVP|Wood Spoon in bag</t>
  </si>
  <si>
    <t>20260615|NVP|Wood Spoon</t>
  </si>
  <si>
    <r>
      <rPr>
        <sz val="11"/>
        <color theme="1"/>
        <rFont val="Calibri"/>
        <family val="2"/>
        <charset val="1"/>
      </rPr>
      <t xml:space="preserve">20260615|NVP|Tester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</si>
  <si>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20260615|NVP|Short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</si>
  <si>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20260615|NVP|Straw/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</si>
  <si>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20260615|NVP|Straw/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</si>
  <si>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20260615|NVP|Fail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</si>
  <si>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</si>
  <si>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</si>
  <si>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</si>
  <si>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</si>
  <si>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</si>
  <si>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</si>
  <si>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</si>
  <si>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20260615|NVP|Zip Bag Small / </t>
    </r>
    <r>
      <rPr>
        <sz val="11"/>
        <color theme="1"/>
        <rFont val="DejaVu Sans"/>
        <family val="2"/>
      </rPr>
      <t>ถุงซิป</t>
    </r>
  </si>
  <si>
    <t>20260615|NVP|Bag 4x14</t>
  </si>
  <si>
    <t>20260615|NVP|Bag 6x14</t>
  </si>
  <si>
    <t>20260615|NVP|Bag 8x14</t>
  </si>
  <si>
    <t>20260615|NVP|Bag 9x14</t>
  </si>
  <si>
    <r>
      <rPr>
        <sz val="11"/>
        <color theme="1"/>
        <rFont val="Calibri"/>
        <family val="2"/>
        <charset val="1"/>
      </rPr>
      <t xml:space="preserve">20260615|NVP|Bag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</si>
  <si>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20260615|NVP|Sticker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</si>
  <si>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20260615|NVP|Print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</si>
  <si>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20260615|NVP|Gloves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</si>
  <si>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20260615|NVP|Black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</si>
  <si>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20260615|NVP|Dry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</si>
  <si>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20260615|NVP|Wet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</si>
  <si>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20260615|NVP|Tissue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</si>
  <si>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</si>
  <si>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</si>
  <si>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</si>
  <si>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</si>
  <si>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น้ำยาล้างเครื่องไอดิม</t>
    </r>
  </si>
  <si>
    <t>20260615|NVP|Wake up call (Banana)</t>
  </si>
  <si>
    <t>20260615|NVP|Energy Sip (Straw+Banana)</t>
  </si>
  <si>
    <t>20260615|NVP|Yellow Madness (Pineapple+Mango+Passion)</t>
  </si>
  <si>
    <t>20260615|NVP|Ready to Glow (Straw+Blue+Banana)</t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</si>
  <si>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</si>
  <si>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</si>
  <si>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</si>
  <si>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</si>
  <si>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20260615|NVP|Biscoff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</si>
  <si>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20260615|NVP|Biscoff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</si>
  <si>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</si>
  <si>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</si>
  <si>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</si>
  <si>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</si>
  <si>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</si>
  <si>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</si>
  <si>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20260615|NVP|</t>
    </r>
    <r>
      <rPr>
        <sz val="11"/>
        <color theme="1"/>
        <rFont val="DejaVu Sans"/>
        <family val="2"/>
      </rPr>
      <t>พิสตาชิโอ้ท๊อปปิ้ง</t>
    </r>
  </si>
  <si>
    <t>20260616|NVP|Greek Yogurt 1kg</t>
  </si>
  <si>
    <t>20260616|NVP|Yuzu</t>
  </si>
  <si>
    <t>20260616|NVP|Kyoho</t>
  </si>
  <si>
    <t>20260616|NVP|Mint</t>
  </si>
  <si>
    <t>20260616|NVP|Vanilla</t>
  </si>
  <si>
    <t>20260616|NVP|Pineapple</t>
  </si>
  <si>
    <t>20260616|NVP|Biscoff</t>
  </si>
  <si>
    <t>20260616|NVP|Overnight oats biscoff</t>
  </si>
  <si>
    <r>
      <rPr>
        <sz val="11"/>
        <color theme="1"/>
        <rFont val="Calibri"/>
        <family val="2"/>
        <charset val="1"/>
      </rPr>
      <t>20260616|NVP|Plain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</si>
  <si>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20260616|NVP|Greek Yogurt 500g</t>
  </si>
  <si>
    <t>20260616|NVP|Plain Yogurt 500g</t>
  </si>
  <si>
    <t>20260616|NVP|R-ACAI Bowl</t>
  </si>
  <si>
    <t>20260616|NVP|S-ACAI Cup (mini)</t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</si>
  <si>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</si>
  <si>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20260616|NVP|Granola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</si>
  <si>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20260616|NVP|Softserve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</si>
  <si>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20260616|NVP|Shake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</si>
  <si>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20260616|NVP|Peanut Butter</t>
  </si>
  <si>
    <r>
      <rPr>
        <sz val="11"/>
        <color theme="1"/>
        <rFont val="Calibri"/>
        <family val="2"/>
        <charset val="1"/>
      </rPr>
      <t xml:space="preserve">20260616|NVP|Water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</si>
  <si>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</si>
  <si>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</si>
  <si>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</si>
  <si>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</si>
  <si>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</si>
  <si>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ถุงพีช</t>
    </r>
  </si>
  <si>
    <t>20260616|NVP|Cornflakes Malt (M)</t>
  </si>
  <si>
    <t>20260616|NVP|Granola (M)</t>
  </si>
  <si>
    <t>20260616|NVP|Choc Chip Cookies</t>
  </si>
  <si>
    <t>20260616|NVP|Cookies Crumbs</t>
  </si>
  <si>
    <t>20260616|NVP|Oreo</t>
  </si>
  <si>
    <t>20260616|NVP|Choc Chips</t>
  </si>
  <si>
    <t>20260616|NVP|Cornflakes (Topping)</t>
  </si>
  <si>
    <t>20260616|NVP|Granola (Topping)</t>
  </si>
  <si>
    <t>20260616|NVP|Almond</t>
  </si>
  <si>
    <t>20260616|NVP|Pecan</t>
  </si>
  <si>
    <t>20260616|NVP|Walnut</t>
  </si>
  <si>
    <t>20260616|NVP|Coconut Chips</t>
  </si>
  <si>
    <t>20260616|NVP|Chia Seed</t>
  </si>
  <si>
    <t>20260616|NVP|Flax Seed</t>
  </si>
  <si>
    <t>20260616|NVP|Cacao Nibs</t>
  </si>
  <si>
    <t>20260616|NVP|Grape Jelly</t>
  </si>
  <si>
    <t>20260616|NVP|Honey Jelly</t>
  </si>
  <si>
    <t>20260616|NVP|Strawberry (250g)</t>
  </si>
  <si>
    <t>20260616|NVP|Strawberry (500g)</t>
  </si>
  <si>
    <t>20260616|NVP|Blueberry (125g)</t>
  </si>
  <si>
    <t>20260616|NVP|Blueberry (300g)</t>
  </si>
  <si>
    <t>20260616|NVP|Blueberry (500g)</t>
  </si>
  <si>
    <t>20260616|NVP|Apple Cinnamon</t>
  </si>
  <si>
    <t>20260616|NVP|Banana</t>
  </si>
  <si>
    <t>20260616|NVP|Honey</t>
  </si>
  <si>
    <t>20260616|NVP|Caramel</t>
  </si>
  <si>
    <t>20260616|NVP|Peanut Butter Sauce</t>
  </si>
  <si>
    <t>20260616|NVP|Cup P (5oz)</t>
  </si>
  <si>
    <t>20260616|NVP|Cup S (9oz)</t>
  </si>
  <si>
    <t>20260616|NVP|Small Bowl</t>
  </si>
  <si>
    <t>20260616|NVP|Cup (14oz)</t>
  </si>
  <si>
    <t>20260616|NVP|Cup 3oz (Topping)</t>
  </si>
  <si>
    <t>20260616|NVP|Cup+Lid (Big) 3oz</t>
  </si>
  <si>
    <t>20260616|NVP|Cup+Lid (Small) 1oz</t>
  </si>
  <si>
    <t>20260616|NVP|Bowl Lid</t>
  </si>
  <si>
    <t>20260616|NVP|Smoothies Lid</t>
  </si>
  <si>
    <t>20260616|NVP|Lid S (92)</t>
  </si>
  <si>
    <t>20260616|NVP|Lid Top / Lid P (75)</t>
  </si>
  <si>
    <t>20260616|NVP|Wood Spoon in bag</t>
  </si>
  <si>
    <t>20260616|NVP|Wood Spoon</t>
  </si>
  <si>
    <r>
      <rPr>
        <sz val="11"/>
        <color theme="1"/>
        <rFont val="Calibri"/>
        <family val="2"/>
        <charset val="1"/>
      </rPr>
      <t xml:space="preserve">20260616|NVP|Tester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</si>
  <si>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20260616|NVP|Short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</si>
  <si>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20260616|NVP|Straw/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</si>
  <si>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20260616|NVP|Straw/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</si>
  <si>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20260616|NVP|Fail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</si>
  <si>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</si>
  <si>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</si>
  <si>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</si>
  <si>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</si>
  <si>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</si>
  <si>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</si>
  <si>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</si>
  <si>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20260616|NVP|Zip Bag Small / </t>
    </r>
    <r>
      <rPr>
        <sz val="11"/>
        <color theme="1"/>
        <rFont val="DejaVu Sans"/>
        <family val="2"/>
      </rPr>
      <t>ถุงซิป</t>
    </r>
  </si>
  <si>
    <t>20260616|NVP|Bag 4x14</t>
  </si>
  <si>
    <t>20260616|NVP|Bag 6x14</t>
  </si>
  <si>
    <t>20260616|NVP|Bag 8x14</t>
  </si>
  <si>
    <t>20260616|NVP|Bag 9x14</t>
  </si>
  <si>
    <r>
      <rPr>
        <sz val="11"/>
        <color theme="1"/>
        <rFont val="Calibri"/>
        <family val="2"/>
        <charset val="1"/>
      </rPr>
      <t xml:space="preserve">20260616|NVP|Bag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</si>
  <si>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20260616|NVP|Sticker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</si>
  <si>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20260616|NVP|Print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</si>
  <si>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20260616|NVP|Gloves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</si>
  <si>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20260616|NVP|Black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</si>
  <si>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20260616|NVP|Dry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</si>
  <si>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20260616|NVP|Wet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</si>
  <si>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20260616|NVP|Tissue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</si>
  <si>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</si>
  <si>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</si>
  <si>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</si>
  <si>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</si>
  <si>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น้ำยาล้างเครื่องไอดิม</t>
    </r>
  </si>
  <si>
    <t>20260616|NVP|Wake up call (Banana)</t>
  </si>
  <si>
    <t>20260616|NVP|Energy Sip (Straw+Banana)</t>
  </si>
  <si>
    <t>20260616|NVP|Yellow Madness (Pineapple+Mango+Passion)</t>
  </si>
  <si>
    <t>20260616|NVP|Ready to Glow (Straw+Blue+Banana)</t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</si>
  <si>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</si>
  <si>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</si>
  <si>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</si>
  <si>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</si>
  <si>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20260616|NVP|Biscoff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</si>
  <si>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20260616|NVP|Biscoff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</si>
  <si>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</si>
  <si>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</si>
  <si>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</si>
  <si>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</si>
  <si>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</si>
  <si>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</si>
  <si>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20260616|NVP|</t>
    </r>
    <r>
      <rPr>
        <sz val="11"/>
        <color theme="1"/>
        <rFont val="DejaVu Sans"/>
        <family val="2"/>
      </rPr>
      <t>พิสตาชิโอ้ท๊อปปิ้ง</t>
    </r>
  </si>
  <si>
    <t>20260617|NVP|Greek Yogurt 1kg</t>
  </si>
  <si>
    <t>20260617|NVP|Yuzu</t>
  </si>
  <si>
    <t>20260617|NVP|Kyoho</t>
  </si>
  <si>
    <t>20260617|NVP|Mint</t>
  </si>
  <si>
    <t>20260617|NVP|Vanilla</t>
  </si>
  <si>
    <t>20260617|NVP|Pineapple</t>
  </si>
  <si>
    <t>20260617|NVP|Biscoff</t>
  </si>
  <si>
    <t>20260617|NVP|Overnight oats biscoff</t>
  </si>
  <si>
    <r>
      <rPr>
        <sz val="11"/>
        <color theme="1"/>
        <rFont val="Calibri"/>
        <family val="2"/>
        <charset val="1"/>
      </rPr>
      <t>20260617|NVP|Plain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</si>
  <si>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20260617|NVP|Greek Yogurt 500g</t>
  </si>
  <si>
    <t>20260617|NVP|Plain Yogurt 500g</t>
  </si>
  <si>
    <t>20260617|NVP|R-ACAI Bowl</t>
  </si>
  <si>
    <t>20260617|NVP|S-ACAI Cup (mini)</t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</si>
  <si>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</si>
  <si>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20260617|NVP|Granola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</si>
  <si>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20260617|NVP|Softserve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</si>
  <si>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20260617|NVP|Shake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</si>
  <si>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20260617|NVP|Peanut Butter</t>
  </si>
  <si>
    <r>
      <rPr>
        <sz val="11"/>
        <color theme="1"/>
        <rFont val="Calibri"/>
        <family val="2"/>
        <charset val="1"/>
      </rPr>
      <t xml:space="preserve">20260617|NVP|Water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</si>
  <si>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</si>
  <si>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</si>
  <si>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</si>
  <si>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</si>
  <si>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</si>
  <si>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ถุงพีช</t>
    </r>
  </si>
  <si>
    <t>20260617|NVP|Cornflakes Malt (M)</t>
  </si>
  <si>
    <t>20260617|NVP|Granola (M)</t>
  </si>
  <si>
    <t>20260617|NVP|Choc Chip Cookies</t>
  </si>
  <si>
    <t>20260617|NVP|Cookies Crumbs</t>
  </si>
  <si>
    <t>20260617|NVP|Oreo</t>
  </si>
  <si>
    <t>20260617|NVP|Choc Chips</t>
  </si>
  <si>
    <t>20260617|NVP|Cornflakes (Topping)</t>
  </si>
  <si>
    <t>20260617|NVP|Granola (Topping)</t>
  </si>
  <si>
    <t>20260617|NVP|Almond</t>
  </si>
  <si>
    <t>20260617|NVP|Pecan</t>
  </si>
  <si>
    <t>20260617|NVP|Walnut</t>
  </si>
  <si>
    <t>20260617|NVP|Coconut Chips</t>
  </si>
  <si>
    <t>20260617|NVP|Chia Seed</t>
  </si>
  <si>
    <t>20260617|NVP|Flax Seed</t>
  </si>
  <si>
    <t>20260617|NVP|Cacao Nibs</t>
  </si>
  <si>
    <t>20260617|NVP|Grape Jelly</t>
  </si>
  <si>
    <t>20260617|NVP|Honey Jelly</t>
  </si>
  <si>
    <t>20260617|NVP|Strawberry (250g)</t>
  </si>
  <si>
    <t>20260617|NVP|Strawberry (500g)</t>
  </si>
  <si>
    <t>20260617|NVP|Blueberry (125g)</t>
  </si>
  <si>
    <t>20260617|NVP|Blueberry (300g)</t>
  </si>
  <si>
    <t>20260617|NVP|Blueberry (500g)</t>
  </si>
  <si>
    <t>20260617|NVP|Apple Cinnamon</t>
  </si>
  <si>
    <t>20260617|NVP|Banana</t>
  </si>
  <si>
    <t>20260617|NVP|Honey</t>
  </si>
  <si>
    <t>20260617|NVP|Caramel</t>
  </si>
  <si>
    <t>20260617|NVP|Peanut Butter Sauce</t>
  </si>
  <si>
    <t>20260617|NVP|Cup P (5oz)</t>
  </si>
  <si>
    <t>20260617|NVP|Cup S (9oz)</t>
  </si>
  <si>
    <t>20260617|NVP|Small Bowl</t>
  </si>
  <si>
    <t>20260617|NVP|Cup (14oz)</t>
  </si>
  <si>
    <t>20260617|NVP|Cup 3oz (Topping)</t>
  </si>
  <si>
    <t>20260617|NVP|Cup+Lid (Big) 3oz</t>
  </si>
  <si>
    <t>20260617|NVP|Cup+Lid (Small) 1oz</t>
  </si>
  <si>
    <t>20260617|NVP|Bowl Lid</t>
  </si>
  <si>
    <t>20260617|NVP|Smoothies Lid</t>
  </si>
  <si>
    <t>20260617|NVP|Lid S (92)</t>
  </si>
  <si>
    <t>20260617|NVP|Lid Top / Lid P (75)</t>
  </si>
  <si>
    <t>20260617|NVP|Wood Spoon in bag</t>
  </si>
  <si>
    <t>20260617|NVP|Wood Spoon</t>
  </si>
  <si>
    <r>
      <rPr>
        <sz val="11"/>
        <color theme="1"/>
        <rFont val="Calibri"/>
        <family val="2"/>
        <charset val="1"/>
      </rPr>
      <t xml:space="preserve">20260617|NVP|Tester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</si>
  <si>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20260617|NVP|Short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</si>
  <si>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20260617|NVP|Straw/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</si>
  <si>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20260617|NVP|Straw/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</si>
  <si>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20260617|NVP|Fail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</si>
  <si>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</si>
  <si>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</si>
  <si>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</si>
  <si>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</si>
  <si>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</si>
  <si>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</si>
  <si>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</si>
  <si>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20260617|NVP|Zip Bag Small / </t>
    </r>
    <r>
      <rPr>
        <sz val="11"/>
        <color theme="1"/>
        <rFont val="DejaVu Sans"/>
        <family val="2"/>
      </rPr>
      <t>ถุงซิป</t>
    </r>
  </si>
  <si>
    <t>20260617|NVP|Bag 4x14</t>
  </si>
  <si>
    <t>20260617|NVP|Bag 6x14</t>
  </si>
  <si>
    <t>20260617|NVP|Bag 8x14</t>
  </si>
  <si>
    <t>20260617|NVP|Bag 9x14</t>
  </si>
  <si>
    <r>
      <rPr>
        <sz val="11"/>
        <color theme="1"/>
        <rFont val="Calibri"/>
        <family val="2"/>
        <charset val="1"/>
      </rPr>
      <t xml:space="preserve">20260617|NVP|Bag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</si>
  <si>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20260617|NVP|Sticker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</si>
  <si>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20260617|NVP|Print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</si>
  <si>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20260617|NVP|Gloves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</si>
  <si>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20260617|NVP|Black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</si>
  <si>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20260617|NVP|Dry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</si>
  <si>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20260617|NVP|Wet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</si>
  <si>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20260617|NVP|Tissue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</si>
  <si>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</si>
  <si>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</si>
  <si>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</si>
  <si>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</si>
  <si>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น้ำยาล้างเครื่องไอดิม</t>
    </r>
  </si>
  <si>
    <t>20260617|NVP|Wake up call (Banana)</t>
  </si>
  <si>
    <t>20260617|NVP|Energy Sip (Straw+Banana)</t>
  </si>
  <si>
    <t>20260617|NVP|Yellow Madness (Pineapple+Mango+Passion)</t>
  </si>
  <si>
    <t>20260617|NVP|Ready to Glow (Straw+Blue+Banana)</t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</si>
  <si>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</si>
  <si>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</si>
  <si>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</si>
  <si>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</si>
  <si>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20260617|NVP|Biscoff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</si>
  <si>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20260617|NVP|Biscoff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</si>
  <si>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</si>
  <si>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</si>
  <si>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</si>
  <si>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</si>
  <si>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</si>
  <si>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</si>
  <si>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20260617|NVP|</t>
    </r>
    <r>
      <rPr>
        <sz val="11"/>
        <color theme="1"/>
        <rFont val="DejaVu Sans"/>
        <family val="2"/>
      </rPr>
      <t>พิสตาชิโอ้ท๊อปปิ้ง</t>
    </r>
  </si>
  <si>
    <t>20260618|NVP|Greek Yogurt 1kg</t>
  </si>
  <si>
    <t>20260618|NVP|Yuzu</t>
  </si>
  <si>
    <t>20260618|NVP|Kyoho</t>
  </si>
  <si>
    <t>20260618|NVP|Mint</t>
  </si>
  <si>
    <t>20260618|NVP|Vanilla</t>
  </si>
  <si>
    <t>20260618|NVP|Pineapple</t>
  </si>
  <si>
    <t>20260618|NVP|Biscoff</t>
  </si>
  <si>
    <t>20260618|NVP|Overnight oats biscoff</t>
  </si>
  <si>
    <r>
      <rPr>
        <sz val="11"/>
        <color theme="1"/>
        <rFont val="Calibri"/>
        <family val="2"/>
        <charset val="1"/>
      </rPr>
      <t>20260618|NVP|Plain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</si>
  <si>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20260618|NVP|Greek Yogurt 500g</t>
  </si>
  <si>
    <t>20260618|NVP|Plain Yogurt 500g</t>
  </si>
  <si>
    <t>20260618|NVP|R-ACAI Bowl</t>
  </si>
  <si>
    <t>20260618|NVP|S-ACAI Cup (mini)</t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</si>
  <si>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</si>
  <si>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20260618|NVP|Granola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</si>
  <si>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20260618|NVP|Softserve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</si>
  <si>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20260618|NVP|Shake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</si>
  <si>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20260618|NVP|Peanut Butter</t>
  </si>
  <si>
    <r>
      <rPr>
        <sz val="11"/>
        <color theme="1"/>
        <rFont val="Calibri"/>
        <family val="2"/>
        <charset val="1"/>
      </rPr>
      <t xml:space="preserve">20260618|NVP|Water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</si>
  <si>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</si>
  <si>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</si>
  <si>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</si>
  <si>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</si>
  <si>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</si>
  <si>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ถุงพีช</t>
    </r>
  </si>
  <si>
    <t>20260618|NVP|Cornflakes Malt (M)</t>
  </si>
  <si>
    <t>20260618|NVP|Granola (M)</t>
  </si>
  <si>
    <t>20260618|NVP|Choc Chip Cookies</t>
  </si>
  <si>
    <t>20260618|NVP|Cookies Crumbs</t>
  </si>
  <si>
    <t>20260618|NVP|Oreo</t>
  </si>
  <si>
    <t>20260618|NVP|Choc Chips</t>
  </si>
  <si>
    <t>20260618|NVP|Cornflakes (Topping)</t>
  </si>
  <si>
    <t>20260618|NVP|Granola (Topping)</t>
  </si>
  <si>
    <t>20260618|NVP|Almond</t>
  </si>
  <si>
    <t>20260618|NVP|Pecan</t>
  </si>
  <si>
    <t>20260618|NVP|Walnut</t>
  </si>
  <si>
    <t>20260618|NVP|Coconut Chips</t>
  </si>
  <si>
    <t>20260618|NVP|Chia Seed</t>
  </si>
  <si>
    <t>20260618|NVP|Flax Seed</t>
  </si>
  <si>
    <t>20260618|NVP|Cacao Nibs</t>
  </si>
  <si>
    <t>20260618|NVP|Grape Jelly</t>
  </si>
  <si>
    <t>20260618|NVP|Honey Jelly</t>
  </si>
  <si>
    <t>20260618|NVP|Strawberry (250g)</t>
  </si>
  <si>
    <t>20260618|NVP|Strawberry (500g)</t>
  </si>
  <si>
    <t>20260618|NVP|Blueberry (125g)</t>
  </si>
  <si>
    <t>20260618|NVP|Blueberry (300g)</t>
  </si>
  <si>
    <t>20260618|NVP|Blueberry (500g)</t>
  </si>
  <si>
    <t>20260618|NVP|Apple Cinnamon</t>
  </si>
  <si>
    <t>20260618|NVP|Banana</t>
  </si>
  <si>
    <t>20260618|NVP|Honey</t>
  </si>
  <si>
    <t>20260618|NVP|Caramel</t>
  </si>
  <si>
    <t>20260618|NVP|Peanut Butter Sauce</t>
  </si>
  <si>
    <t>20260618|NVP|Cup P (5oz)</t>
  </si>
  <si>
    <t>20260618|NVP|Cup S (9oz)</t>
  </si>
  <si>
    <t>20260618|NVP|Small Bowl</t>
  </si>
  <si>
    <t>20260618|NVP|Cup (14oz)</t>
  </si>
  <si>
    <t>20260618|NVP|Cup 3oz (Topping)</t>
  </si>
  <si>
    <t>20260618|NVP|Cup+Lid (Big) 3oz</t>
  </si>
  <si>
    <t>20260618|NVP|Cup+Lid (Small) 1oz</t>
  </si>
  <si>
    <t>20260618|NVP|Bowl Lid</t>
  </si>
  <si>
    <t>20260618|NVP|Smoothies Lid</t>
  </si>
  <si>
    <t>20260618|NVP|Lid S (92)</t>
  </si>
  <si>
    <t>20260618|NVP|Lid Top / Lid P (75)</t>
  </si>
  <si>
    <t>20260618|NVP|Wood Spoon in bag</t>
  </si>
  <si>
    <t>20260618|NVP|Wood Spoon</t>
  </si>
  <si>
    <r>
      <rPr>
        <sz val="11"/>
        <color theme="1"/>
        <rFont val="Calibri"/>
        <family val="2"/>
        <charset val="1"/>
      </rPr>
      <t xml:space="preserve">20260618|NVP|Tester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</si>
  <si>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20260618|NVP|Short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</si>
  <si>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20260618|NVP|Straw/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</si>
  <si>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20260618|NVP|Straw/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</si>
  <si>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20260618|NVP|Fail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</si>
  <si>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</si>
  <si>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</si>
  <si>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</si>
  <si>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</si>
  <si>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</si>
  <si>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</si>
  <si>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</si>
  <si>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20260618|NVP|Zip Bag Small / </t>
    </r>
    <r>
      <rPr>
        <sz val="11"/>
        <color theme="1"/>
        <rFont val="DejaVu Sans"/>
        <family val="2"/>
      </rPr>
      <t>ถุงซิป</t>
    </r>
  </si>
  <si>
    <t>20260618|NVP|Bag 4x14</t>
  </si>
  <si>
    <t>20260618|NVP|Bag 6x14</t>
  </si>
  <si>
    <t>20260618|NVP|Bag 8x14</t>
  </si>
  <si>
    <t>20260618|NVP|Bag 9x14</t>
  </si>
  <si>
    <r>
      <rPr>
        <sz val="11"/>
        <color theme="1"/>
        <rFont val="Calibri"/>
        <family val="2"/>
        <charset val="1"/>
      </rPr>
      <t xml:space="preserve">20260618|NVP|Bag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</si>
  <si>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20260618|NVP|Sticker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</si>
  <si>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20260618|NVP|Print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</si>
  <si>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20260618|NVP|Gloves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</si>
  <si>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20260618|NVP|Black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</si>
  <si>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20260618|NVP|Dry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</si>
  <si>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20260618|NVP|Wet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</si>
  <si>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20260618|NVP|Tissue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</si>
  <si>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</si>
  <si>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</si>
  <si>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</si>
  <si>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</si>
  <si>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น้ำยาล้างเครื่องไอดิม</t>
    </r>
  </si>
  <si>
    <t>20260618|NVP|Wake up call (Banana)</t>
  </si>
  <si>
    <t>20260618|NVP|Energy Sip (Straw+Banana)</t>
  </si>
  <si>
    <t>20260618|NVP|Yellow Madness (Pineapple+Mango+Passion)</t>
  </si>
  <si>
    <t>20260618|NVP|Ready to Glow (Straw+Blue+Banana)</t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</si>
  <si>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</si>
  <si>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</si>
  <si>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</si>
  <si>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</si>
  <si>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20260618|NVP|Biscoff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</si>
  <si>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20260618|NVP|Biscoff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</si>
  <si>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</si>
  <si>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</si>
  <si>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</si>
  <si>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</si>
  <si>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</si>
  <si>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</si>
  <si>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20260618|NVP|</t>
    </r>
    <r>
      <rPr>
        <sz val="11"/>
        <color theme="1"/>
        <rFont val="DejaVu Sans"/>
        <family val="2"/>
      </rPr>
      <t>พิสตาชิโอ้ท๊อปปิ้ง</t>
    </r>
  </si>
  <si>
    <t>20260619|NVP|Greek Yogurt 1kg</t>
  </si>
  <si>
    <t>20260619|NVP|Yuzu</t>
  </si>
  <si>
    <t>20260619|NVP|Kyoho</t>
  </si>
  <si>
    <t>20260619|NVP|Mint</t>
  </si>
  <si>
    <t>20260619|NVP|Vanilla</t>
  </si>
  <si>
    <t>20260619|NVP|Pineapple</t>
  </si>
  <si>
    <t>20260619|NVP|Biscoff</t>
  </si>
  <si>
    <t>20260619|NVP|Overnight oats biscoff</t>
  </si>
  <si>
    <r>
      <rPr>
        <sz val="11"/>
        <color theme="1"/>
        <rFont val="Calibri"/>
        <family val="2"/>
        <charset val="1"/>
      </rPr>
      <t>20260619|NVP|Plain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</si>
  <si>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20260619|NVP|Greek Yogurt 500g</t>
  </si>
  <si>
    <t>20260619|NVP|Plain Yogurt 500g</t>
  </si>
  <si>
    <t>20260619|NVP|R-ACAI Bowl</t>
  </si>
  <si>
    <t>20260619|NVP|S-ACAI Cup (mini)</t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</si>
  <si>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</si>
  <si>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20260619|NVP|Granola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</si>
  <si>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20260619|NVP|Softserve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</si>
  <si>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20260619|NVP|Shake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</si>
  <si>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20260619|NVP|Peanut Butter</t>
  </si>
  <si>
    <r>
      <rPr>
        <sz val="11"/>
        <color theme="1"/>
        <rFont val="Calibri"/>
        <family val="2"/>
        <charset val="1"/>
      </rPr>
      <t xml:space="preserve">20260619|NVP|Water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</si>
  <si>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</si>
  <si>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</si>
  <si>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</si>
  <si>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</si>
  <si>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</si>
  <si>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ถุงพีช</t>
    </r>
  </si>
  <si>
    <t>20260619|NVP|Cornflakes Malt (M)</t>
  </si>
  <si>
    <t>20260619|NVP|Granola (M)</t>
  </si>
  <si>
    <t>20260619|NVP|Choc Chip Cookies</t>
  </si>
  <si>
    <t>20260619|NVP|Cookies Crumbs</t>
  </si>
  <si>
    <t>20260619|NVP|Oreo</t>
  </si>
  <si>
    <t>20260619|NVP|Choc Chips</t>
  </si>
  <si>
    <t>20260619|NVP|Cornflakes (Topping)</t>
  </si>
  <si>
    <t>20260619|NVP|Granola (Topping)</t>
  </si>
  <si>
    <t>20260619|NVP|Almond</t>
  </si>
  <si>
    <t>20260619|NVP|Pecan</t>
  </si>
  <si>
    <t>20260619|NVP|Walnut</t>
  </si>
  <si>
    <t>20260619|NVP|Coconut Chips</t>
  </si>
  <si>
    <t>20260619|NVP|Chia Seed</t>
  </si>
  <si>
    <t>20260619|NVP|Flax Seed</t>
  </si>
  <si>
    <t>20260619|NVP|Cacao Nibs</t>
  </si>
  <si>
    <t>20260619|NVP|Grape Jelly</t>
  </si>
  <si>
    <t>20260619|NVP|Honey Jelly</t>
  </si>
  <si>
    <t>20260619|NVP|Strawberry (250g)</t>
  </si>
  <si>
    <t>20260619|NVP|Strawberry (500g)</t>
  </si>
  <si>
    <t>20260619|NVP|Blueberry (125g)</t>
  </si>
  <si>
    <t>20260619|NVP|Blueberry (300g)</t>
  </si>
  <si>
    <t>20260619|NVP|Blueberry (500g)</t>
  </si>
  <si>
    <t>20260619|NVP|Apple Cinnamon</t>
  </si>
  <si>
    <t>20260619|NVP|Banana</t>
  </si>
  <si>
    <t>20260619|NVP|Honey</t>
  </si>
  <si>
    <t>20260619|NVP|Caramel</t>
  </si>
  <si>
    <t>20260619|NVP|Peanut Butter Sauce</t>
  </si>
  <si>
    <t>20260619|NVP|Cup P (5oz)</t>
  </si>
  <si>
    <t>20260619|NVP|Cup S (9oz)</t>
  </si>
  <si>
    <t>20260619|NVP|Small Bowl</t>
  </si>
  <si>
    <t>20260619|NVP|Cup (14oz)</t>
  </si>
  <si>
    <t>20260619|NVP|Cup 3oz (Topping)</t>
  </si>
  <si>
    <t>20260619|NVP|Cup+Lid (Big) 3oz</t>
  </si>
  <si>
    <t>20260619|NVP|Cup+Lid (Small) 1oz</t>
  </si>
  <si>
    <t>20260619|NVP|Bowl Lid</t>
  </si>
  <si>
    <t>20260619|NVP|Smoothies Lid</t>
  </si>
  <si>
    <t>20260619|NVP|Lid S (92)</t>
  </si>
  <si>
    <t>20260619|NVP|Lid Top / Lid P (75)</t>
  </si>
  <si>
    <t>20260619|NVP|Wood Spoon in bag</t>
  </si>
  <si>
    <t>20260619|NVP|Wood Spoon</t>
  </si>
  <si>
    <r>
      <rPr>
        <sz val="11"/>
        <color theme="1"/>
        <rFont val="Calibri"/>
        <family val="2"/>
        <charset val="1"/>
      </rPr>
      <t xml:space="preserve">20260619|NVP|Tester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</si>
  <si>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20260619|NVP|Short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</si>
  <si>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20260619|NVP|Straw/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</si>
  <si>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20260619|NVP|Straw/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</si>
  <si>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20260619|NVP|Fail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</si>
  <si>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</si>
  <si>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</si>
  <si>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</si>
  <si>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</si>
  <si>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</si>
  <si>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</si>
  <si>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</si>
  <si>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20260619|NVP|Zip Bag Small / </t>
    </r>
    <r>
      <rPr>
        <sz val="11"/>
        <color theme="1"/>
        <rFont val="DejaVu Sans"/>
        <family val="2"/>
      </rPr>
      <t>ถุงซิป</t>
    </r>
  </si>
  <si>
    <t>20260619|NVP|Bag 4x14</t>
  </si>
  <si>
    <t>20260619|NVP|Bag 6x14</t>
  </si>
  <si>
    <t>20260619|NVP|Bag 8x14</t>
  </si>
  <si>
    <t>20260619|NVP|Bag 9x14</t>
  </si>
  <si>
    <r>
      <rPr>
        <sz val="11"/>
        <color theme="1"/>
        <rFont val="Calibri"/>
        <family val="2"/>
        <charset val="1"/>
      </rPr>
      <t xml:space="preserve">20260619|NVP|Bag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</si>
  <si>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20260619|NVP|Sticker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</si>
  <si>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20260619|NVP|Print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</si>
  <si>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20260619|NVP|Gloves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</si>
  <si>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20260619|NVP|Black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</si>
  <si>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20260619|NVP|Dry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</si>
  <si>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20260619|NVP|Wet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</si>
  <si>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20260619|NVP|Tissue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</si>
  <si>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</si>
  <si>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</si>
  <si>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</si>
  <si>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</si>
  <si>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น้ำยาล้างเครื่องไอดิม</t>
    </r>
  </si>
  <si>
    <t>20260619|NVP|Wake up call (Banana)</t>
  </si>
  <si>
    <t>20260619|NVP|Energy Sip (Straw+Banana)</t>
  </si>
  <si>
    <t>20260619|NVP|Yellow Madness (Pineapple+Mango+Passion)</t>
  </si>
  <si>
    <t>20260619|NVP|Ready to Glow (Straw+Blue+Banana)</t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</si>
  <si>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</si>
  <si>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</si>
  <si>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</si>
  <si>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</si>
  <si>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20260619|NVP|Biscoff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</si>
  <si>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20260619|NVP|Biscoff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</si>
  <si>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</si>
  <si>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</si>
  <si>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</si>
  <si>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</si>
  <si>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</si>
  <si>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</si>
  <si>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20260619|NVP|</t>
    </r>
    <r>
      <rPr>
        <sz val="11"/>
        <color theme="1"/>
        <rFont val="DejaVu Sans"/>
        <family val="2"/>
      </rPr>
      <t>พิสตาชิโอ้ท๊อปปิ้ง</t>
    </r>
  </si>
  <si>
    <t>20260620|NVP|Greek Yogurt 1kg</t>
  </si>
  <si>
    <t>20260620|NVP|Yuzu</t>
  </si>
  <si>
    <t>20260620|NVP|Kyoho</t>
  </si>
  <si>
    <t>20260620|NVP|Mint</t>
  </si>
  <si>
    <t>20260620|NVP|Vanilla</t>
  </si>
  <si>
    <t>20260620|NVP|Pineapple</t>
  </si>
  <si>
    <t>20260620|NVP|Biscoff</t>
  </si>
  <si>
    <t>20260620|NVP|Overnight oats biscoff</t>
  </si>
  <si>
    <r>
      <rPr>
        <sz val="11"/>
        <color theme="1"/>
        <rFont val="Calibri"/>
        <family val="2"/>
        <charset val="1"/>
      </rPr>
      <t>20260620|NVP|Plain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</si>
  <si>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20260620|NVP|Greek Yogurt 500g</t>
  </si>
  <si>
    <t>20260620|NVP|Plain Yogurt 500g</t>
  </si>
  <si>
    <t>20260620|NVP|R-ACAI Bowl</t>
  </si>
  <si>
    <t>20260620|NVP|S-ACAI Cup (mini)</t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</si>
  <si>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</si>
  <si>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20260620|NVP|Granola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</si>
  <si>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20260620|NVP|Softserve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</si>
  <si>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20260620|NVP|Shake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</si>
  <si>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20260620|NVP|Peanut Butter</t>
  </si>
  <si>
    <r>
      <rPr>
        <sz val="11"/>
        <color theme="1"/>
        <rFont val="Calibri"/>
        <family val="2"/>
        <charset val="1"/>
      </rPr>
      <t xml:space="preserve">20260620|NVP|Water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</si>
  <si>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</si>
  <si>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</si>
  <si>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</si>
  <si>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</si>
  <si>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</si>
  <si>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ถุงพีช</t>
    </r>
  </si>
  <si>
    <t>20260620|NVP|Cornflakes Malt (M)</t>
  </si>
  <si>
    <t>20260620|NVP|Granola (M)</t>
  </si>
  <si>
    <t>20260620|NVP|Choc Chip Cookies</t>
  </si>
  <si>
    <t>20260620|NVP|Cookies Crumbs</t>
  </si>
  <si>
    <t>20260620|NVP|Oreo</t>
  </si>
  <si>
    <t>20260620|NVP|Choc Chips</t>
  </si>
  <si>
    <t>20260620|NVP|Cornflakes (Topping)</t>
  </si>
  <si>
    <t>20260620|NVP|Granola (Topping)</t>
  </si>
  <si>
    <t>20260620|NVP|Almond</t>
  </si>
  <si>
    <t>20260620|NVP|Pecan</t>
  </si>
  <si>
    <t>20260620|NVP|Walnut</t>
  </si>
  <si>
    <t>20260620|NVP|Coconut Chips</t>
  </si>
  <si>
    <t>20260620|NVP|Chia Seed</t>
  </si>
  <si>
    <t>20260620|NVP|Flax Seed</t>
  </si>
  <si>
    <t>20260620|NVP|Cacao Nibs</t>
  </si>
  <si>
    <t>20260620|NVP|Grape Jelly</t>
  </si>
  <si>
    <t>20260620|NVP|Honey Jelly</t>
  </si>
  <si>
    <t>20260620|NVP|Strawberry (250g)</t>
  </si>
  <si>
    <t>20260620|NVP|Strawberry (500g)</t>
  </si>
  <si>
    <t>20260620|NVP|Blueberry (125g)</t>
  </si>
  <si>
    <t>20260620|NVP|Blueberry (300g)</t>
  </si>
  <si>
    <t>20260620|NVP|Blueberry (500g)</t>
  </si>
  <si>
    <t>20260620|NVP|Apple Cinnamon</t>
  </si>
  <si>
    <t>20260620|NVP|Banana</t>
  </si>
  <si>
    <t>20260620|NVP|Honey</t>
  </si>
  <si>
    <t>20260620|NVP|Caramel</t>
  </si>
  <si>
    <t>20260620|NVP|Peanut Butter Sauce</t>
  </si>
  <si>
    <t>20260620|NVP|Cup P (5oz)</t>
  </si>
  <si>
    <t>20260620|NVP|Cup S (9oz)</t>
  </si>
  <si>
    <t>20260620|NVP|Small Bowl</t>
  </si>
  <si>
    <t>20260620|NVP|Cup (14oz)</t>
  </si>
  <si>
    <t>20260620|NVP|Cup 3oz (Topping)</t>
  </si>
  <si>
    <t>20260620|NVP|Cup+Lid (Big) 3oz</t>
  </si>
  <si>
    <t>20260620|NVP|Cup+Lid (Small) 1oz</t>
  </si>
  <si>
    <t>20260620|NVP|Bowl Lid</t>
  </si>
  <si>
    <t>20260620|NVP|Smoothies Lid</t>
  </si>
  <si>
    <t>20260620|NVP|Lid S (92)</t>
  </si>
  <si>
    <t>20260620|NVP|Lid Top / Lid P (75)</t>
  </si>
  <si>
    <t>20260620|NVP|Wood Spoon in bag</t>
  </si>
  <si>
    <t>20260620|NVP|Wood Spoon</t>
  </si>
  <si>
    <r>
      <rPr>
        <sz val="11"/>
        <color theme="1"/>
        <rFont val="Calibri"/>
        <family val="2"/>
        <charset val="1"/>
      </rPr>
      <t xml:space="preserve">20260620|NVP|Tester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</si>
  <si>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20260620|NVP|Short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</si>
  <si>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20260620|NVP|Straw/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</si>
  <si>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20260620|NVP|Straw/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</si>
  <si>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20260620|NVP|Fail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</si>
  <si>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</si>
  <si>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</si>
  <si>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</si>
  <si>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</si>
  <si>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</si>
  <si>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</si>
  <si>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</si>
  <si>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20260620|NVP|Zip Bag Small / </t>
    </r>
    <r>
      <rPr>
        <sz val="11"/>
        <color theme="1"/>
        <rFont val="DejaVu Sans"/>
        <family val="2"/>
      </rPr>
      <t>ถุงซิป</t>
    </r>
  </si>
  <si>
    <t>20260620|NVP|Bag 4x14</t>
  </si>
  <si>
    <t>20260620|NVP|Bag 6x14</t>
  </si>
  <si>
    <t>20260620|NVP|Bag 8x14</t>
  </si>
  <si>
    <t>20260620|NVP|Bag 9x14</t>
  </si>
  <si>
    <r>
      <rPr>
        <sz val="11"/>
        <color theme="1"/>
        <rFont val="Calibri"/>
        <family val="2"/>
        <charset val="1"/>
      </rPr>
      <t xml:space="preserve">20260620|NVP|Bag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</si>
  <si>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20260620|NVP|Sticker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</si>
  <si>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20260620|NVP|Print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</si>
  <si>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20260620|NVP|Gloves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</si>
  <si>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20260620|NVP|Black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</si>
  <si>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20260620|NVP|Dry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</si>
  <si>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20260620|NVP|Wet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</si>
  <si>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20260620|NVP|Tissue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</si>
  <si>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</si>
  <si>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</si>
  <si>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</si>
  <si>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</si>
  <si>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น้ำยาล้างเครื่องไอดิม</t>
    </r>
  </si>
  <si>
    <t>20260620|NVP|Wake up call (Banana)</t>
  </si>
  <si>
    <t>20260620|NVP|Energy Sip (Straw+Banana)</t>
  </si>
  <si>
    <t>20260620|NVP|Yellow Madness (Pineapple+Mango+Passion)</t>
  </si>
  <si>
    <t>20260620|NVP|Ready to Glow (Straw+Blue+Banana)</t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</si>
  <si>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</si>
  <si>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</si>
  <si>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</si>
  <si>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</si>
  <si>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20260620|NVP|Biscoff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</si>
  <si>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20260620|NVP|Biscoff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</si>
  <si>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</si>
  <si>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</si>
  <si>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</si>
  <si>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</si>
  <si>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</si>
  <si>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</si>
  <si>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20260620|NVP|</t>
    </r>
    <r>
      <rPr>
        <sz val="11"/>
        <color theme="1"/>
        <rFont val="DejaVu Sans"/>
        <family val="2"/>
      </rPr>
      <t>พิสตาชิโอ้ท๊อปปิ้ง</t>
    </r>
  </si>
  <si>
    <t>20260621|NVP|Greek Yogurt 1kg</t>
  </si>
  <si>
    <t>20260621|NVP|Yuzu</t>
  </si>
  <si>
    <t>20260621|NVP|Kyoho</t>
  </si>
  <si>
    <t>20260621|NVP|Mint</t>
  </si>
  <si>
    <t>20260621|NVP|Vanilla</t>
  </si>
  <si>
    <t>20260621|NVP|Pineapple</t>
  </si>
  <si>
    <t>20260621|NVP|Biscoff</t>
  </si>
  <si>
    <t>20260621|NVP|Overnight oats biscoff</t>
  </si>
  <si>
    <r>
      <rPr>
        <sz val="11"/>
        <color theme="1"/>
        <rFont val="Calibri"/>
        <family val="2"/>
        <charset val="1"/>
      </rPr>
      <t>20260621|NVP|Plain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</si>
  <si>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20260621|NVP|Greek Yogurt 500g</t>
  </si>
  <si>
    <t>20260621|NVP|Plain Yogurt 500g</t>
  </si>
  <si>
    <t>20260621|NVP|R-ACAI Bowl</t>
  </si>
  <si>
    <t>20260621|NVP|S-ACAI Cup (mini)</t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</si>
  <si>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</si>
  <si>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20260621|NVP|Granola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</si>
  <si>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20260621|NVP|Softserve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</si>
  <si>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20260621|NVP|Shake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</si>
  <si>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20260621|NVP|Peanut Butter</t>
  </si>
  <si>
    <r>
      <rPr>
        <sz val="11"/>
        <color theme="1"/>
        <rFont val="Calibri"/>
        <family val="2"/>
        <charset val="1"/>
      </rPr>
      <t xml:space="preserve">20260621|NVP|Water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</si>
  <si>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</si>
  <si>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</si>
  <si>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</si>
  <si>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</si>
  <si>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</si>
  <si>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ถุงพีช</t>
    </r>
  </si>
  <si>
    <t>20260621|NVP|Cornflakes Malt (M)</t>
  </si>
  <si>
    <t>20260621|NVP|Granola (M)</t>
  </si>
  <si>
    <t>20260621|NVP|Choc Chip Cookies</t>
  </si>
  <si>
    <t>20260621|NVP|Cookies Crumbs</t>
  </si>
  <si>
    <t>20260621|NVP|Oreo</t>
  </si>
  <si>
    <t>20260621|NVP|Choc Chips</t>
  </si>
  <si>
    <t>20260621|NVP|Cornflakes (Topping)</t>
  </si>
  <si>
    <t>20260621|NVP|Granola (Topping)</t>
  </si>
  <si>
    <t>20260621|NVP|Almond</t>
  </si>
  <si>
    <t>20260621|NVP|Pecan</t>
  </si>
  <si>
    <t>20260621|NVP|Walnut</t>
  </si>
  <si>
    <t>20260621|NVP|Coconut Chips</t>
  </si>
  <si>
    <t>20260621|NVP|Chia Seed</t>
  </si>
  <si>
    <t>20260621|NVP|Flax Seed</t>
  </si>
  <si>
    <t>20260621|NVP|Cacao Nibs</t>
  </si>
  <si>
    <t>20260621|NVP|Grape Jelly</t>
  </si>
  <si>
    <t>20260621|NVP|Honey Jelly</t>
  </si>
  <si>
    <t>20260621|NVP|Strawberry (250g)</t>
  </si>
  <si>
    <t>20260621|NVP|Strawberry (500g)</t>
  </si>
  <si>
    <t>20260621|NVP|Blueberry (125g)</t>
  </si>
  <si>
    <t>20260621|NVP|Blueberry (300g)</t>
  </si>
  <si>
    <t>20260621|NVP|Blueberry (500g)</t>
  </si>
  <si>
    <t>20260621|NVP|Apple Cinnamon</t>
  </si>
  <si>
    <t>20260621|NVP|Banana</t>
  </si>
  <si>
    <t>20260621|NVP|Honey</t>
  </si>
  <si>
    <t>20260621|NVP|Caramel</t>
  </si>
  <si>
    <t>20260621|NVP|Peanut Butter Sauce</t>
  </si>
  <si>
    <t>customer own cup 1</t>
  </si>
  <si>
    <t>20260621|NVP|Cup P (5oz)</t>
  </si>
  <si>
    <t>20260621|NVP|Cup S (9oz)</t>
  </si>
  <si>
    <t>20260621|NVP|Small Bowl</t>
  </si>
  <si>
    <t>20260621|NVP|Cup (14oz)</t>
  </si>
  <si>
    <t>20260621|NVP|Cup 3oz (Topping)</t>
  </si>
  <si>
    <t>20260621|NVP|Cup+Lid (Big) 3oz</t>
  </si>
  <si>
    <t>20260621|NVP|Cup+Lid (Small) 1oz</t>
  </si>
  <si>
    <t>20260621|NVP|Bowl Lid</t>
  </si>
  <si>
    <t>20260621|NVP|Smoothies Lid</t>
  </si>
  <si>
    <t>20260621|NVP|Lid S (92)</t>
  </si>
  <si>
    <t>20260621|NVP|Lid Top / Lid P (75)</t>
  </si>
  <si>
    <t>20260621|NVP|Wood Spoon in bag</t>
  </si>
  <si>
    <t>20260621|NVP|Wood Spoon</t>
  </si>
  <si>
    <r>
      <rPr>
        <sz val="11"/>
        <color theme="1"/>
        <rFont val="Calibri"/>
        <family val="2"/>
        <charset val="1"/>
      </rPr>
      <t xml:space="preserve">20260621|NVP|Tester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</si>
  <si>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20260621|NVP|Short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</si>
  <si>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20260621|NVP|Straw/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</si>
  <si>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20260621|NVP|Straw/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</si>
  <si>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20260621|NVP|Fail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</si>
  <si>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</si>
  <si>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</si>
  <si>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</si>
  <si>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</si>
  <si>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</si>
  <si>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</si>
  <si>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</si>
  <si>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20260621|NVP|Zip Bag Small / </t>
    </r>
    <r>
      <rPr>
        <sz val="11"/>
        <color theme="1"/>
        <rFont val="DejaVu Sans"/>
        <family val="2"/>
      </rPr>
      <t>ถุงซิป</t>
    </r>
  </si>
  <si>
    <t>20260621|NVP|Bag 4x14</t>
  </si>
  <si>
    <t>20260621|NVP|Bag 6x14</t>
  </si>
  <si>
    <t>20260621|NVP|Bag 8x14</t>
  </si>
  <si>
    <t>20260621|NVP|Bag 9x14</t>
  </si>
  <si>
    <r>
      <rPr>
        <sz val="11"/>
        <color theme="1"/>
        <rFont val="Calibri"/>
        <family val="2"/>
        <charset val="1"/>
      </rPr>
      <t xml:space="preserve">20260621|NVP|Bag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</si>
  <si>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20260621|NVP|Sticker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</si>
  <si>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20260621|NVP|Print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</si>
  <si>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20260621|NVP|Gloves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</si>
  <si>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20260621|NVP|Black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</si>
  <si>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20260621|NVP|Dry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</si>
  <si>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20260621|NVP|Wet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</si>
  <si>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20260621|NVP|Tissue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</si>
  <si>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</si>
  <si>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</si>
  <si>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</si>
  <si>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</si>
  <si>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น้ำยาล้างเครื่องไอดิม</t>
    </r>
  </si>
  <si>
    <t>20260621|NVP|Wake up call (Banana)</t>
  </si>
  <si>
    <t>20260621|NVP|Energy Sip (Straw+Banana)</t>
  </si>
  <si>
    <t>20260621|NVP|Yellow Madness (Pineapple+Mango+Passion)</t>
  </si>
  <si>
    <t>20260621|NVP|Ready to Glow (Straw+Blue+Banana)</t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</si>
  <si>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</si>
  <si>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</si>
  <si>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</si>
  <si>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</si>
  <si>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20260621|NVP|Biscoff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</si>
  <si>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20260621|NVP|Biscoff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</si>
  <si>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</si>
  <si>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</si>
  <si>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</si>
  <si>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</si>
  <si>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</si>
  <si>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</si>
  <si>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20260621|NVP|</t>
    </r>
    <r>
      <rPr>
        <sz val="11"/>
        <color theme="1"/>
        <rFont val="DejaVu Sans"/>
        <family val="2"/>
      </rPr>
      <t>พิสตาชิโอ้ท๊อปปิ้ง</t>
    </r>
  </si>
  <si>
    <t>20260622|NVP|Greek Yogurt 1kg</t>
  </si>
  <si>
    <t>20260622|NVP|Yuzu</t>
  </si>
  <si>
    <t>20260622|NVP|Kyoho</t>
  </si>
  <si>
    <t>20260622|NVP|Mint</t>
  </si>
  <si>
    <t>20260622|NVP|Vanilla</t>
  </si>
  <si>
    <t>20260622|NVP|Pineapple</t>
  </si>
  <si>
    <t>20260622|NVP|Biscoff</t>
  </si>
  <si>
    <t>20260622|NVP|Overnight oats biscoff</t>
  </si>
  <si>
    <r>
      <rPr>
        <sz val="11"/>
        <color theme="1"/>
        <rFont val="Calibri"/>
        <family val="2"/>
        <charset val="1"/>
      </rPr>
      <t>20260622|NVP|Plain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</si>
  <si>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20260622|NVP|Greek Yogurt 500g</t>
  </si>
  <si>
    <t>20260622|NVP|Plain Yogurt 500g</t>
  </si>
  <si>
    <t>20260622|NVP|R-ACAI Bowl</t>
  </si>
  <si>
    <t>20260622|NVP|S-ACAI Cup (mini)</t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</si>
  <si>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</si>
  <si>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20260622|NVP|Granola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</si>
  <si>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20260622|NVP|Softserve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</si>
  <si>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20260622|NVP|Shake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</si>
  <si>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20260622|NVP|Peanut Butter</t>
  </si>
  <si>
    <r>
      <rPr>
        <sz val="11"/>
        <color theme="1"/>
        <rFont val="Calibri"/>
        <family val="2"/>
        <charset val="1"/>
      </rPr>
      <t xml:space="preserve">20260622|NVP|Water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</si>
  <si>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</si>
  <si>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</si>
  <si>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</si>
  <si>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</si>
  <si>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</si>
  <si>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ถุงพีช</t>
    </r>
  </si>
  <si>
    <t>20260622|NVP|Cornflakes Malt (M)</t>
  </si>
  <si>
    <t>20260622|NVP|Granola (M)</t>
  </si>
  <si>
    <t>20260622|NVP|Choc Chip Cookies</t>
  </si>
  <si>
    <t>20260622|NVP|Cookies Crumbs</t>
  </si>
  <si>
    <t>20260622|NVP|Oreo</t>
  </si>
  <si>
    <t>20260622|NVP|Choc Chips</t>
  </si>
  <si>
    <t>20260622|NVP|Cornflakes (Topping)</t>
  </si>
  <si>
    <t>20260622|NVP|Granola (Topping)</t>
  </si>
  <si>
    <t>20260622|NVP|Almond</t>
  </si>
  <si>
    <t>20260622|NVP|Pecan</t>
  </si>
  <si>
    <t>20260622|NVP|Walnut</t>
  </si>
  <si>
    <t>20260622|NVP|Coconut Chips</t>
  </si>
  <si>
    <t>20260622|NVP|Chia Seed</t>
  </si>
  <si>
    <t>20260622|NVP|Flax Seed</t>
  </si>
  <si>
    <t>20260622|NVP|Cacao Nibs</t>
  </si>
  <si>
    <t>20260622|NVP|Grape Jelly</t>
  </si>
  <si>
    <t>20260622|NVP|Honey Jelly</t>
  </si>
  <si>
    <t>20260622|NVP|Strawberry (250g)</t>
  </si>
  <si>
    <t>20260622|NVP|Strawberry (500g)</t>
  </si>
  <si>
    <t>20260622|NVP|Blueberry (125g)</t>
  </si>
  <si>
    <t>20260622|NVP|Blueberry (300g)</t>
  </si>
  <si>
    <t>20260622|NVP|Blueberry (500g)</t>
  </si>
  <si>
    <t>20260622|NVP|Apple Cinnamon</t>
  </si>
  <si>
    <t>20260622|NVP|Banana</t>
  </si>
  <si>
    <t>20260622|NVP|Honey</t>
  </si>
  <si>
    <t>20260622|NVP|Caramel</t>
  </si>
  <si>
    <t>20260622|NVP|Peanut Butter Sauce</t>
  </si>
  <si>
    <t>20260622|NVP|Cup P (5oz)</t>
  </si>
  <si>
    <t>20260622|NVP|Cup S (9oz)</t>
  </si>
  <si>
    <t>20260622|NVP|Small Bowl</t>
  </si>
  <si>
    <t>20260622|NVP|Cup (14oz)</t>
  </si>
  <si>
    <t>20260622|NVP|Cup 3oz (Topping)</t>
  </si>
  <si>
    <t>20260622|NVP|Cup+Lid (Big) 3oz</t>
  </si>
  <si>
    <t>20260622|NVP|Cup+Lid (Small) 1oz</t>
  </si>
  <si>
    <t>20260622|NVP|Bowl Lid</t>
  </si>
  <si>
    <t>20260622|NVP|Smoothies Lid</t>
  </si>
  <si>
    <t>20260622|NVP|Lid S (92)</t>
  </si>
  <si>
    <t>20260622|NVP|Lid Top / Lid P (75)</t>
  </si>
  <si>
    <t>20260622|NVP|Wood Spoon in bag</t>
  </si>
  <si>
    <t>20260622|NVP|Wood Spoon</t>
  </si>
  <si>
    <r>
      <rPr>
        <sz val="11"/>
        <color theme="1"/>
        <rFont val="Calibri"/>
        <family val="2"/>
        <charset val="1"/>
      </rPr>
      <t xml:space="preserve">20260622|NVP|Tester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</si>
  <si>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20260622|NVP|Short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</si>
  <si>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20260622|NVP|Straw/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</si>
  <si>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20260622|NVP|Straw/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</si>
  <si>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20260622|NVP|Fail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</si>
  <si>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</si>
  <si>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</si>
  <si>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</si>
  <si>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</si>
  <si>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</si>
  <si>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</si>
  <si>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</si>
  <si>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20260622|NVP|Zip Bag Small / </t>
    </r>
    <r>
      <rPr>
        <sz val="11"/>
        <color theme="1"/>
        <rFont val="DejaVu Sans"/>
        <family val="2"/>
      </rPr>
      <t>ถุงซิป</t>
    </r>
  </si>
  <si>
    <t>20260622|NVP|Bag 4x14</t>
  </si>
  <si>
    <t>20260622|NVP|Bag 6x14</t>
  </si>
  <si>
    <t>20260622|NVP|Bag 8x14</t>
  </si>
  <si>
    <t>20260622|NVP|Bag 9x14</t>
  </si>
  <si>
    <r>
      <rPr>
        <sz val="11"/>
        <color theme="1"/>
        <rFont val="Calibri"/>
        <family val="2"/>
        <charset val="1"/>
      </rPr>
      <t xml:space="preserve">20260622|NVP|Bag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</si>
  <si>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20260622|NVP|Sticker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</si>
  <si>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20260622|NVP|Print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</si>
  <si>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20260622|NVP|Gloves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</si>
  <si>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20260622|NVP|Black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</si>
  <si>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20260622|NVP|Dry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</si>
  <si>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20260622|NVP|Wet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</si>
  <si>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20260622|NVP|Tissue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</si>
  <si>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</si>
  <si>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</si>
  <si>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</si>
  <si>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</si>
  <si>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น้ำยาล้างเครื่องไอดิม</t>
    </r>
  </si>
  <si>
    <t>20260622|NVP|Wake up call (Banana)</t>
  </si>
  <si>
    <t>20260622|NVP|Energy Sip (Straw+Banana)</t>
  </si>
  <si>
    <t>20260622|NVP|Yellow Madness (Pineapple+Mango+Passion)</t>
  </si>
  <si>
    <t>20260622|NVP|Ready to Glow (Straw+Blue+Banana)</t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</si>
  <si>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</si>
  <si>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</si>
  <si>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</si>
  <si>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</si>
  <si>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20260622|NVP|Biscoff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</si>
  <si>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20260622|NVP|Biscoff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</si>
  <si>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</si>
  <si>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</si>
  <si>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</si>
  <si>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</si>
  <si>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</si>
  <si>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</si>
  <si>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20260622|NVP|</t>
    </r>
    <r>
      <rPr>
        <sz val="11"/>
        <color theme="1"/>
        <rFont val="DejaVu Sans"/>
        <family val="2"/>
      </rPr>
      <t>พิสตาชิโอ้ท๊อปปิ้ง</t>
    </r>
  </si>
  <si>
    <t>20260623|NVP|Greek Yogurt 1kg</t>
  </si>
  <si>
    <t>20260623|NVP|Yuzu</t>
  </si>
  <si>
    <t>20260623|NVP|Kyoho</t>
  </si>
  <si>
    <t>20260623|NVP|Mint</t>
  </si>
  <si>
    <t>20260623|NVP|Vanilla</t>
  </si>
  <si>
    <t>20260623|NVP|Pineapple</t>
  </si>
  <si>
    <t>20260623|NVP|Biscoff</t>
  </si>
  <si>
    <t>20260623|NVP|Overnight oats biscoff</t>
  </si>
  <si>
    <r>
      <rPr>
        <sz val="11"/>
        <color theme="1"/>
        <rFont val="Calibri"/>
        <family val="2"/>
        <charset val="1"/>
      </rPr>
      <t>20260623|NVP|Plain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</si>
  <si>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20260623|NVP|Greek Yogurt 500g</t>
  </si>
  <si>
    <t>20260623|NVP|Plain Yogurt 500g</t>
  </si>
  <si>
    <t>20260623|NVP|R-ACAI Bowl</t>
  </si>
  <si>
    <t>20260623|NVP|S-ACAI Cup (mini)</t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</si>
  <si>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</si>
  <si>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20260623|NVP|Granola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</si>
  <si>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20260623|NVP|Softserve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</si>
  <si>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20260623|NVP|Shake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</si>
  <si>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20260623|NVP|Peanut Butter</t>
  </si>
  <si>
    <r>
      <rPr>
        <sz val="11"/>
        <color theme="1"/>
        <rFont val="Calibri"/>
        <family val="2"/>
        <charset val="1"/>
      </rPr>
      <t xml:space="preserve">20260623|NVP|Water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</si>
  <si>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</si>
  <si>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</si>
  <si>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</si>
  <si>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</si>
  <si>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</si>
  <si>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ถุงพีช</t>
    </r>
  </si>
  <si>
    <t>20260623|NVP|Cornflakes Malt (M)</t>
  </si>
  <si>
    <t>20260623|NVP|Granola (M)</t>
  </si>
  <si>
    <t>20260623|NVP|Choc Chip Cookies</t>
  </si>
  <si>
    <t>20260623|NVP|Cookies Crumbs</t>
  </si>
  <si>
    <t>20260623|NVP|Oreo</t>
  </si>
  <si>
    <t>20260623|NVP|Choc Chips</t>
  </si>
  <si>
    <t>20260623|NVP|Cornflakes (Topping)</t>
  </si>
  <si>
    <t>20260623|NVP|Granola (Topping)</t>
  </si>
  <si>
    <t>20260623|NVP|Almond</t>
  </si>
  <si>
    <t>20260623|NVP|Pecan</t>
  </si>
  <si>
    <t>20260623|NVP|Walnut</t>
  </si>
  <si>
    <t>20260623|NVP|Coconut Chips</t>
  </si>
  <si>
    <t>20260623|NVP|Chia Seed</t>
  </si>
  <si>
    <t>20260623|NVP|Flax Seed</t>
  </si>
  <si>
    <t>20260623|NVP|Cacao Nibs</t>
  </si>
  <si>
    <t>20260623|NVP|Grape Jelly</t>
  </si>
  <si>
    <t>20260623|NVP|Honey Jelly</t>
  </si>
  <si>
    <t>20260623|NVP|Strawberry (250g)</t>
  </si>
  <si>
    <t>20260623|NVP|Blueberry (125g)</t>
  </si>
  <si>
    <t>20260623|NVP|Blueberry (300g)</t>
  </si>
  <si>
    <t>20260623|NVP|Apple Cinnamon</t>
  </si>
  <si>
    <t>20260623|NVP|Banana</t>
  </si>
  <si>
    <t>20260623|NVP|Honey</t>
  </si>
  <si>
    <t>20260623|NVP|Caramel</t>
  </si>
  <si>
    <t>20260623|NVP|Peanut Butter Sauce</t>
  </si>
  <si>
    <t>20260623|NVP|Cup P (5oz)</t>
  </si>
  <si>
    <t>20260623|NVP|Cup S (9oz)</t>
  </si>
  <si>
    <t>20260623|NVP|Small Bowl</t>
  </si>
  <si>
    <t>20260623|NVP|Cup (14oz)</t>
  </si>
  <si>
    <t>20260623|NVP|Cup 3oz (Topping)</t>
  </si>
  <si>
    <t>20260623|NVP|Cup+Lid (Big) 3oz</t>
  </si>
  <si>
    <t>20260623|NVP|Cup+Lid (Small) 1oz</t>
  </si>
  <si>
    <t>20260623|NVP|Bowl Lid</t>
  </si>
  <si>
    <t>20260623|NVP|Smoothies Lid</t>
  </si>
  <si>
    <t>20260623|NVP|Lid S (92)</t>
  </si>
  <si>
    <t>20260623|NVP|Lid Top / Lid P (75)</t>
  </si>
  <si>
    <t>20260623|NVP|Wood Spoon in bag</t>
  </si>
  <si>
    <t>20260623|NVP|Wood Spoon</t>
  </si>
  <si>
    <r>
      <rPr>
        <sz val="11"/>
        <color theme="1"/>
        <rFont val="Calibri"/>
        <family val="2"/>
        <charset val="1"/>
      </rPr>
      <t xml:space="preserve">20260623|NVP|Tester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</si>
  <si>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20260623|NVP|Short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</si>
  <si>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20260623|NVP|Straw/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</si>
  <si>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20260623|NVP|Straw/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</si>
  <si>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20260623|NVP|Fail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</si>
  <si>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</si>
  <si>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</si>
  <si>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</si>
  <si>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</si>
  <si>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</si>
  <si>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</si>
  <si>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</si>
  <si>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20260623|NVP|Zip Bag Small / </t>
    </r>
    <r>
      <rPr>
        <sz val="11"/>
        <color theme="1"/>
        <rFont val="DejaVu Sans"/>
        <family val="2"/>
      </rPr>
      <t>ถุงซิป</t>
    </r>
  </si>
  <si>
    <t>20260623|NVP|Bag 4x14</t>
  </si>
  <si>
    <t>20260623|NVP|Bag 6x14</t>
  </si>
  <si>
    <t>20260623|NVP|Bag 8x14</t>
  </si>
  <si>
    <t>20260623|NVP|Bag 9x14</t>
  </si>
  <si>
    <r>
      <rPr>
        <sz val="11"/>
        <color theme="1"/>
        <rFont val="Calibri"/>
        <family val="2"/>
        <charset val="1"/>
      </rPr>
      <t xml:space="preserve">20260623|NVP|Bag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</si>
  <si>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20260623|NVP|Sticker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</si>
  <si>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20260623|NVP|Print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</si>
  <si>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20260623|NVP|Gloves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</si>
  <si>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20260623|NVP|Black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</si>
  <si>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20260623|NVP|Dry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</si>
  <si>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20260623|NVP|Wet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</si>
  <si>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20260623|NVP|Tissue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</si>
  <si>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</si>
  <si>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</si>
  <si>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</si>
  <si>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</si>
  <si>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น้ำยาล้างเครื่องไอดิม</t>
    </r>
  </si>
  <si>
    <t>20260623|NVP|Wake up call (Banana)</t>
  </si>
  <si>
    <t>20260623|NVP|Energy Sip (Straw+Banana)</t>
  </si>
  <si>
    <t>20260623|NVP|Yellow Madness (Pineapple+Mango+Passion)</t>
  </si>
  <si>
    <t>20260623|NVP|Ready to Glow (Straw+Blue+Banana)</t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</si>
  <si>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</si>
  <si>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</si>
  <si>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</si>
  <si>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</si>
  <si>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20260623|NVP|Biscoff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</si>
  <si>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20260623|NVP|Biscoff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</si>
  <si>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</si>
  <si>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</si>
  <si>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</si>
  <si>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</si>
  <si>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</si>
  <si>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</si>
  <si>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20260623|NVP|</t>
    </r>
    <r>
      <rPr>
        <sz val="11"/>
        <color theme="1"/>
        <rFont val="DejaVu Sans"/>
        <family val="2"/>
      </rPr>
      <t>พิสตาชิโอ้ท๊อปปิ้ง</t>
    </r>
  </si>
  <si>
    <t>20260624|NVP|Greek Yogurt 1kg</t>
  </si>
  <si>
    <t>20260624|NVP|Yuzu</t>
  </si>
  <si>
    <t>20260624|NVP|Kyoho</t>
  </si>
  <si>
    <t>20260624|NVP|Mint</t>
  </si>
  <si>
    <t>20260624|NVP|Vanilla</t>
  </si>
  <si>
    <t>20260624|NVP|Pineapple</t>
  </si>
  <si>
    <t>20260624|NVP|Biscoff</t>
  </si>
  <si>
    <t>20260624|NVP|Overnight oats biscoff</t>
  </si>
  <si>
    <r>
      <rPr>
        <sz val="11"/>
        <color theme="1"/>
        <rFont val="Calibri"/>
        <family val="2"/>
        <charset val="1"/>
      </rPr>
      <t>20260624|NVP|Plain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</si>
  <si>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20260624|NVP|Greek Yogurt 500g</t>
  </si>
  <si>
    <t>20260624|NVP|Plain Yogurt 500g</t>
  </si>
  <si>
    <t>20260624|NVP|R-ACAI Bowl</t>
  </si>
  <si>
    <t>20260624|NVP|S-ACAI Cup (mini)</t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</si>
  <si>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</si>
  <si>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20260624|NVP|Granola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</si>
  <si>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20260624|NVP|Softserve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</si>
  <si>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20260624|NVP|Shake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</si>
  <si>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20260624|NVP|Peanut Butter</t>
  </si>
  <si>
    <r>
      <rPr>
        <sz val="11"/>
        <color theme="1"/>
        <rFont val="Calibri"/>
        <family val="2"/>
        <charset val="1"/>
      </rPr>
      <t xml:space="preserve">20260624|NVP|Water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</si>
  <si>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</si>
  <si>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</si>
  <si>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</si>
  <si>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</si>
  <si>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</si>
  <si>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ถุงพีช</t>
    </r>
  </si>
  <si>
    <t>20260624|NVP|Cornflakes Malt (M)</t>
  </si>
  <si>
    <t>20260624|NVP|Granola (M)</t>
  </si>
  <si>
    <t>20260624|NVP|Choc Chip Cookies</t>
  </si>
  <si>
    <t>20260624|NVP|Cookies Crumbs</t>
  </si>
  <si>
    <t>20260624|NVP|Oreo</t>
  </si>
  <si>
    <t>20260624|NVP|Choc Chips</t>
  </si>
  <si>
    <t>20260624|NVP|Cornflakes (Topping)</t>
  </si>
  <si>
    <t>20260624|NVP|Granola (Topping)</t>
  </si>
  <si>
    <t>20260624|NVP|Almond</t>
  </si>
  <si>
    <t>20260624|NVP|Pecan</t>
  </si>
  <si>
    <t>20260624|NVP|Walnut</t>
  </si>
  <si>
    <t>20260624|NVP|Coconut Chips</t>
  </si>
  <si>
    <t>20260624|NVP|Chia Seed</t>
  </si>
  <si>
    <t>20260624|NVP|Flax Seed</t>
  </si>
  <si>
    <t>20260624|NVP|Cacao Nibs</t>
  </si>
  <si>
    <t>20260624|NVP|Grape Jelly</t>
  </si>
  <si>
    <t>20260624|NVP|Honey Jelly</t>
  </si>
  <si>
    <t>20260624|NVP|Strawberry (250g)</t>
  </si>
  <si>
    <t>20260624|NVP|Strawberry (500g)</t>
  </si>
  <si>
    <t>20260624|NVP|Blueberry (125g)</t>
  </si>
  <si>
    <t>20260624|NVP|Blueberry (300g)</t>
  </si>
  <si>
    <t>20260624|NVP|Blueberry (500g)</t>
  </si>
  <si>
    <t>20260624|NVP|Apple Cinnamon</t>
  </si>
  <si>
    <t>20260624|NVP|Banana</t>
  </si>
  <si>
    <t>20260624|NVP|Honey</t>
  </si>
  <si>
    <t>20260624|NVP|Caramel</t>
  </si>
  <si>
    <t>20260624|NVP|Peanut Butter Sauce</t>
  </si>
  <si>
    <t>20260624|NVP|Cup P (5oz)</t>
  </si>
  <si>
    <t>20260624|NVP|Cup S (9oz)</t>
  </si>
  <si>
    <t>20260624|NVP|Small Bowl</t>
  </si>
  <si>
    <t>20260624|NVP|Cup (14oz)</t>
  </si>
  <si>
    <t>20260624|NVP|Cup 3oz (Topping)</t>
  </si>
  <si>
    <t>20260624|NVP|Cup+Lid (Big) 3oz</t>
  </si>
  <si>
    <t>20260624|NVP|Cup+Lid (Small) 1oz</t>
  </si>
  <si>
    <t>20260624|NVP|Bowl Lid</t>
  </si>
  <si>
    <t>20260624|NVP|Smoothies Lid</t>
  </si>
  <si>
    <t>20260624|NVP|Lid S (92)</t>
  </si>
  <si>
    <t>20260624|NVP|Lid Top / Lid P (75)</t>
  </si>
  <si>
    <t>20260624|NVP|Wood Spoon in bag</t>
  </si>
  <si>
    <t>20260624|NVP|Wood Spoon</t>
  </si>
  <si>
    <r>
      <rPr>
        <sz val="11"/>
        <color theme="1"/>
        <rFont val="Calibri"/>
        <family val="2"/>
        <charset val="1"/>
      </rPr>
      <t xml:space="preserve">20260624|NVP|Tester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</si>
  <si>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20260624|NVP|Short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</si>
  <si>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20260624|NVP|Straw/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</si>
  <si>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20260624|NVP|Straw/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</si>
  <si>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20260624|NVP|Fail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</si>
  <si>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</si>
  <si>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</si>
  <si>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</si>
  <si>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</si>
  <si>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</si>
  <si>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</si>
  <si>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</si>
  <si>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20260624|NVP|Zip Bag Small / </t>
    </r>
    <r>
      <rPr>
        <sz val="11"/>
        <color theme="1"/>
        <rFont val="DejaVu Sans"/>
        <family val="2"/>
      </rPr>
      <t>ถุงซิป</t>
    </r>
  </si>
  <si>
    <t>20260624|NVP|Bag 4x14</t>
  </si>
  <si>
    <t>20260624|NVP|Bag 6x14</t>
  </si>
  <si>
    <t>20260624|NVP|Bag 8x14</t>
  </si>
  <si>
    <t>20260624|NVP|Bag 9x14</t>
  </si>
  <si>
    <r>
      <rPr>
        <sz val="11"/>
        <color theme="1"/>
        <rFont val="Calibri"/>
        <family val="2"/>
        <charset val="1"/>
      </rPr>
      <t xml:space="preserve">20260624|NVP|Bag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</si>
  <si>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20260624|NVP|Sticker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</si>
  <si>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20260624|NVP|Print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</si>
  <si>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20260624|NVP|Gloves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</si>
  <si>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20260624|NVP|Black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</si>
  <si>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20260624|NVP|Dry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</si>
  <si>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20260624|NVP|Wet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</si>
  <si>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20260624|NVP|Tissue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</si>
  <si>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</si>
  <si>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</si>
  <si>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</si>
  <si>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</si>
  <si>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น้ำยาล้างเครื่องไอดิม</t>
    </r>
  </si>
  <si>
    <t>20260624|NVP|Wake up call (Banana)</t>
  </si>
  <si>
    <t>20260624|NVP|Energy Sip (Straw+Banana)</t>
  </si>
  <si>
    <t>20260624|NVP|Yellow Madness (Pineapple+Mango+Passion)</t>
  </si>
  <si>
    <t>20260624|NVP|Ready to Glow (Straw+Blue+Banana)</t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</si>
  <si>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</si>
  <si>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</si>
  <si>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</si>
  <si>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</si>
  <si>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20260624|NVP|Biscoff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</si>
  <si>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20260624|NVP|Biscoff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</si>
  <si>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</si>
  <si>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</si>
  <si>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</si>
  <si>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</si>
  <si>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</si>
  <si>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</si>
  <si>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20260624|NVP|</t>
    </r>
    <r>
      <rPr>
        <sz val="11"/>
        <color theme="1"/>
        <rFont val="DejaVu Sans"/>
        <family val="2"/>
      </rPr>
      <t>พิสตาชิโอ้ท๊อปปิ้ง</t>
    </r>
  </si>
  <si>
    <t>20260625|NVP|Greek Yogurt 1kg</t>
  </si>
  <si>
    <t>20260625|NVP|Yuzu</t>
  </si>
  <si>
    <t>20260625|NVP|Kyoho</t>
  </si>
  <si>
    <t>20260625|NVP|Mint</t>
  </si>
  <si>
    <t>20260625|NVP|Vanilla</t>
  </si>
  <si>
    <t>20260625|NVP|Pineapple</t>
  </si>
  <si>
    <t>20260625|NVP|Biscoff</t>
  </si>
  <si>
    <t>20260625|NVP|Overnight oats biscoff</t>
  </si>
  <si>
    <r>
      <rPr>
        <sz val="11"/>
        <color theme="1"/>
        <rFont val="Calibri"/>
        <family val="2"/>
        <charset val="1"/>
      </rPr>
      <t>20260625|NVP|Plain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</si>
  <si>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20260625|NVP|Greek Yogurt 500g</t>
  </si>
  <si>
    <t>20260625|NVP|Plain Yogurt 500g</t>
  </si>
  <si>
    <t>20260625|NVP|R-ACAI Bowl</t>
  </si>
  <si>
    <t>20260625|NVP|S-ACAI Cup (mini)</t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</si>
  <si>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</si>
  <si>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20260625|NVP|Granola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</si>
  <si>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20260625|NVP|Softserve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</si>
  <si>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20260625|NVP|Shake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</si>
  <si>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20260625|NVP|Peanut Butter</t>
  </si>
  <si>
    <r>
      <rPr>
        <sz val="11"/>
        <color theme="1"/>
        <rFont val="Calibri"/>
        <family val="2"/>
        <charset val="1"/>
      </rPr>
      <t xml:space="preserve">20260625|NVP|Water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</si>
  <si>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</si>
  <si>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</si>
  <si>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</si>
  <si>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</si>
  <si>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</si>
  <si>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ถุงพีช</t>
    </r>
  </si>
  <si>
    <t>20260625|NVP|Cornflakes Malt (M)</t>
  </si>
  <si>
    <t>20260625|NVP|Granola (M)</t>
  </si>
  <si>
    <t>20260625|NVP|Choc Chip Cookies</t>
  </si>
  <si>
    <t>20260625|NVP|Cookies Crumbs</t>
  </si>
  <si>
    <t>20260625|NVP|Oreo</t>
  </si>
  <si>
    <t>20260625|NVP|Choc Chips</t>
  </si>
  <si>
    <t>20260625|NVP|Cornflakes (Topping)</t>
  </si>
  <si>
    <t>20260625|NVP|Granola (Topping)</t>
  </si>
  <si>
    <t>20260625|NVP|Almond</t>
  </si>
  <si>
    <t>20260625|NVP|Pecan</t>
  </si>
  <si>
    <t>20260625|NVP|Walnut</t>
  </si>
  <si>
    <t>20260625|NVP|Coconut Chips</t>
  </si>
  <si>
    <t>20260625|NVP|Chia Seed</t>
  </si>
  <si>
    <t>20260625|NVP|Flax Seed</t>
  </si>
  <si>
    <t>20260625|NVP|Cacao Nibs</t>
  </si>
  <si>
    <t>20260625|NVP|Grape Jelly</t>
  </si>
  <si>
    <t>20260625|NVP|Honey Jelly</t>
  </si>
  <si>
    <t>20260625|NVP|Strawberry (250g)</t>
  </si>
  <si>
    <t>20260625|NVP|Strawberry (500g)</t>
  </si>
  <si>
    <t>20260625|NVP|Blueberry (125g)</t>
  </si>
  <si>
    <t>20260625|NVP|Blueberry (300g)</t>
  </si>
  <si>
    <t>20260625|NVP|Blueberry (500g)</t>
  </si>
  <si>
    <t>20260625|NVP|Apple Cinnamon</t>
  </si>
  <si>
    <t>20260625|NVP|Banana</t>
  </si>
  <si>
    <t>20260625|NVP|Honey</t>
  </si>
  <si>
    <t>20260625|NVP|Caramel</t>
  </si>
  <si>
    <t>20260625|NVP|Peanut Butter Sauce</t>
  </si>
  <si>
    <t>20260625|NVP|Cup P (5oz)</t>
  </si>
  <si>
    <t>20260625|NVP|Cup S (9oz)</t>
  </si>
  <si>
    <t>20260625|NVP|Small Bowl</t>
  </si>
  <si>
    <t>20260625|NVP|Cup (14oz)</t>
  </si>
  <si>
    <t>20260625|NVP|Cup 3oz (Topping)</t>
  </si>
  <si>
    <t>20260625|NVP|Cup+Lid (Big) 3oz</t>
  </si>
  <si>
    <t>20260625|NVP|Cup+Lid (Small) 1oz</t>
  </si>
  <si>
    <t>20260625|NVP|Bowl Lid</t>
  </si>
  <si>
    <t>20260625|NVP|Smoothies Lid</t>
  </si>
  <si>
    <t>20260625|NVP|Lid S (92)</t>
  </si>
  <si>
    <t>20260625|NVP|Lid Top / Lid P (75)</t>
  </si>
  <si>
    <t>20260625|NVP|Wood Spoon in bag</t>
  </si>
  <si>
    <t>20260625|NVP|Wood Spoon</t>
  </si>
  <si>
    <r>
      <rPr>
        <sz val="11"/>
        <color theme="1"/>
        <rFont val="Calibri"/>
        <family val="2"/>
        <charset val="1"/>
      </rPr>
      <t xml:space="preserve">20260625|NVP|Tester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</si>
  <si>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20260625|NVP|Short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</si>
  <si>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20260625|NVP|Straw/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</si>
  <si>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20260625|NVP|Straw/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</si>
  <si>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20260625|NVP|Fail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</si>
  <si>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</si>
  <si>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</si>
  <si>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</si>
  <si>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</si>
  <si>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</si>
  <si>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</si>
  <si>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</si>
  <si>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20260625|NVP|Zip Bag Small / </t>
    </r>
    <r>
      <rPr>
        <sz val="11"/>
        <color theme="1"/>
        <rFont val="DejaVu Sans"/>
        <family val="2"/>
      </rPr>
      <t>ถุงซิป</t>
    </r>
  </si>
  <si>
    <t>20260625|NVP|Bag 4x14</t>
  </si>
  <si>
    <t>20260625|NVP|Bag 6x14</t>
  </si>
  <si>
    <t>20260625|NVP|Bag 8x14</t>
  </si>
  <si>
    <t>20260625|NVP|Bag 9x14</t>
  </si>
  <si>
    <r>
      <rPr>
        <sz val="11"/>
        <color theme="1"/>
        <rFont val="Calibri"/>
        <family val="2"/>
        <charset val="1"/>
      </rPr>
      <t xml:space="preserve">20260625|NVP|Bag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</si>
  <si>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20260625|NVP|Sticker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</si>
  <si>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20260625|NVP|Print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</si>
  <si>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20260625|NVP|Gloves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</si>
  <si>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20260625|NVP|Black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</si>
  <si>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20260625|NVP|Dry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</si>
  <si>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20260625|NVP|Wet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</si>
  <si>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20260625|NVP|Tissue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</si>
  <si>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</si>
  <si>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</si>
  <si>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</si>
  <si>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</si>
  <si>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น้ำยาล้างเครื่องไอดิม</t>
    </r>
  </si>
  <si>
    <t>20260625|NVP|Wake up call (Banana)</t>
  </si>
  <si>
    <t>20260625|NVP|Energy Sip (Straw+Banana)</t>
  </si>
  <si>
    <t>20260625|NVP|Yellow Madness (Pineapple+Mango+Passion)</t>
  </si>
  <si>
    <t>20260625|NVP|Ready to Glow (Straw+Blue+Banana)</t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</si>
  <si>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</si>
  <si>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</si>
  <si>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</si>
  <si>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</si>
  <si>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20260625|NVP|Biscoff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</si>
  <si>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20260625|NVP|Biscoff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</si>
  <si>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</si>
  <si>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</si>
  <si>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</si>
  <si>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</si>
  <si>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</si>
  <si>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</si>
  <si>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20260625|NVP|</t>
    </r>
    <r>
      <rPr>
        <sz val="11"/>
        <color theme="1"/>
        <rFont val="DejaVu Sans"/>
        <family val="2"/>
      </rPr>
      <t>พิสตาชิโอ้ท๊อปปิ้ง</t>
    </r>
  </si>
  <si>
    <t>20260626|NVP|Greek Yogurt 1kg</t>
  </si>
  <si>
    <t>20260626|NVP|Yuzu</t>
  </si>
  <si>
    <t>20260626|NVP|Kyoho</t>
  </si>
  <si>
    <t>20260626|NVP|Mint</t>
  </si>
  <si>
    <t>20260626|NVP|Vanilla</t>
  </si>
  <si>
    <t>20260626|NVP|Pineapple</t>
  </si>
  <si>
    <t>20260626|NVP|Biscoff</t>
  </si>
  <si>
    <t>20260626|NVP|Overnight oats biscoff</t>
  </si>
  <si>
    <r>
      <rPr>
        <sz val="11"/>
        <color theme="1"/>
        <rFont val="Calibri"/>
        <family val="2"/>
        <charset val="1"/>
      </rPr>
      <t>20260626|NVP|Plain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</si>
  <si>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20260626|NVP|Greek Yogurt 500g</t>
  </si>
  <si>
    <t>20260626|NVP|Plain Yogurt 500g</t>
  </si>
  <si>
    <t>20260626|NVP|R-ACAI Bowl</t>
  </si>
  <si>
    <t>20260626|NVP|S-ACAI Cup (mini)</t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</si>
  <si>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</si>
  <si>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20260626|NVP|Granola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</si>
  <si>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20260626|NVP|Softserve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</si>
  <si>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20260626|NVP|Shake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</si>
  <si>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20260626|NVP|Peanut Butter</t>
  </si>
  <si>
    <r>
      <rPr>
        <sz val="11"/>
        <color theme="1"/>
        <rFont val="Calibri"/>
        <family val="2"/>
        <charset val="1"/>
      </rPr>
      <t xml:space="preserve">20260626|NVP|Water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</si>
  <si>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</si>
  <si>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</si>
  <si>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</si>
  <si>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</si>
  <si>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</si>
  <si>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ถุงพีช</t>
    </r>
  </si>
  <si>
    <t>20260626|NVP|Cornflakes Malt (M)</t>
  </si>
  <si>
    <t>20260626|NVP|Granola (M)</t>
  </si>
  <si>
    <t>20260626|NVP|Choc Chip Cookies</t>
  </si>
  <si>
    <t>20260626|NVP|Cookies Crumbs</t>
  </si>
  <si>
    <t>20260626|NVP|Oreo</t>
  </si>
  <si>
    <t>20260626|NVP|Choc Chips</t>
  </si>
  <si>
    <t>20260626|NVP|Cornflakes (Topping)</t>
  </si>
  <si>
    <t>20260626|NVP|Granola (Topping)</t>
  </si>
  <si>
    <t>20260626|NVP|Almond</t>
  </si>
  <si>
    <t>20260626|NVP|Pecan</t>
  </si>
  <si>
    <t>20260626|NVP|Walnut</t>
  </si>
  <si>
    <t>20260626|NVP|Coconut Chips</t>
  </si>
  <si>
    <t>20260626|NVP|Chia Seed</t>
  </si>
  <si>
    <t>20260626|NVP|Flax Seed</t>
  </si>
  <si>
    <t>20260626|NVP|Cacao Nibs</t>
  </si>
  <si>
    <t>20260626|NVP|Grape Jelly</t>
  </si>
  <si>
    <t>20260626|NVP|Honey Jelly</t>
  </si>
  <si>
    <t>20260626|NVP|Strawberry (250g)</t>
  </si>
  <si>
    <t>20260626|NVP|Strawberry (500g)</t>
  </si>
  <si>
    <t>20260626|NVP|Blueberry (125g)</t>
  </si>
  <si>
    <t>20260626|NVP|Blueberry (300g)</t>
  </si>
  <si>
    <t>20260626|NVP|Blueberry (500g)</t>
  </si>
  <si>
    <t>20260626|NVP|Apple Cinnamon</t>
  </si>
  <si>
    <t>20260626|NVP|Banana</t>
  </si>
  <si>
    <t>20260626|NVP|Honey</t>
  </si>
  <si>
    <t>20260626|NVP|Caramel</t>
  </si>
  <si>
    <t>20260626|NVP|Peanut Butter Sauce</t>
  </si>
  <si>
    <t>20260626|NVP|Cup P (5oz)</t>
  </si>
  <si>
    <t>20260626|NVP|Cup S (9oz)</t>
  </si>
  <si>
    <t>20260626|NVP|Small Bowl</t>
  </si>
  <si>
    <t>20260626|NVP|Cup (14oz)</t>
  </si>
  <si>
    <t>20260626|NVP|Cup 3oz (Topping)</t>
  </si>
  <si>
    <t>20260626|NVP|Cup+Lid (Big) 3oz</t>
  </si>
  <si>
    <t>20260626|NVP|Cup+Lid (Small) 1oz</t>
  </si>
  <si>
    <t>20260626|NVP|Bowl Lid</t>
  </si>
  <si>
    <t>20260626|NVP|Smoothies Lid</t>
  </si>
  <si>
    <t>20260626|NVP|Lid S (92)</t>
  </si>
  <si>
    <t>20260626|NVP|Lid Top / Lid P (75)</t>
  </si>
  <si>
    <t>20260626|NVP|Wood Spoon in bag</t>
  </si>
  <si>
    <t>20260626|NVP|Wood Spoon</t>
  </si>
  <si>
    <r>
      <rPr>
        <sz val="11"/>
        <color theme="1"/>
        <rFont val="Calibri"/>
        <family val="2"/>
        <charset val="1"/>
      </rPr>
      <t xml:space="preserve">20260626|NVP|Tester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</si>
  <si>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20260626|NVP|Short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</si>
  <si>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20260626|NVP|Straw/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</si>
  <si>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20260626|NVP|Straw/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</si>
  <si>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20260626|NVP|Fail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</si>
  <si>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</si>
  <si>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</si>
  <si>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</si>
  <si>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</si>
  <si>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</si>
  <si>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</si>
  <si>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</si>
  <si>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20260626|NVP|Zip Bag Small / </t>
    </r>
    <r>
      <rPr>
        <sz val="11"/>
        <color theme="1"/>
        <rFont val="DejaVu Sans"/>
        <family val="2"/>
      </rPr>
      <t>ถุงซิป</t>
    </r>
  </si>
  <si>
    <t>20260626|NVP|Bag 4x14</t>
  </si>
  <si>
    <t>20260626|NVP|Bag 6x14</t>
  </si>
  <si>
    <t>20260626|NVP|Bag 8x14</t>
  </si>
  <si>
    <t>20260626|NVP|Bag 9x14</t>
  </si>
  <si>
    <r>
      <rPr>
        <sz val="11"/>
        <color theme="1"/>
        <rFont val="Calibri"/>
        <family val="2"/>
        <charset val="1"/>
      </rPr>
      <t xml:space="preserve">20260626|NVP|Bag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</si>
  <si>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20260626|NVP|Sticker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</si>
  <si>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20260626|NVP|Print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</si>
  <si>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20260626|NVP|Gloves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</si>
  <si>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20260626|NVP|Black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</si>
  <si>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20260626|NVP|Dry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</si>
  <si>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20260626|NVP|Wet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</si>
  <si>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20260626|NVP|Tissue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</si>
  <si>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</si>
  <si>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</si>
  <si>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</si>
  <si>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</si>
  <si>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น้ำยาล้างเครื่องไอดิม</t>
    </r>
  </si>
  <si>
    <t>20260626|NVP|Wake up call (Banana)</t>
  </si>
  <si>
    <t>20260626|NVP|Energy Sip (Straw+Banana)</t>
  </si>
  <si>
    <t>20260626|NVP|Yellow Madness (Pineapple+Mango+Passion)</t>
  </si>
  <si>
    <t>20260626|NVP|Ready to Glow (Straw+Blue+Banana)</t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</si>
  <si>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</si>
  <si>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</si>
  <si>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</si>
  <si>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</si>
  <si>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20260626|NVP|Biscoff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</si>
  <si>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20260626|NVP|Biscoff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</si>
  <si>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</si>
  <si>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</si>
  <si>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</si>
  <si>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</si>
  <si>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</si>
  <si>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</si>
  <si>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20260626|NVP|</t>
    </r>
    <r>
      <rPr>
        <sz val="11"/>
        <color theme="1"/>
        <rFont val="DejaVu Sans"/>
        <family val="2"/>
      </rPr>
      <t>พิสตาชิโอ้ท๊อปปิ้ง</t>
    </r>
  </si>
  <si>
    <t>20260627|NVP|Greek Yogurt 1kg</t>
  </si>
  <si>
    <t>20260627|NVP|Yuzu</t>
  </si>
  <si>
    <t>20260627|NVP|Kyoho</t>
  </si>
  <si>
    <t>20260627|NVP|Mint</t>
  </si>
  <si>
    <t>20260627|NVP|Vanilla</t>
  </si>
  <si>
    <t>20260627|NVP|Pineapple</t>
  </si>
  <si>
    <t>20260627|NVP|Biscoff</t>
  </si>
  <si>
    <t>20260627|NVP|Overnight oats biscoff</t>
  </si>
  <si>
    <r>
      <rPr>
        <sz val="11"/>
        <color theme="1"/>
        <rFont val="Calibri"/>
        <family val="2"/>
        <charset val="1"/>
      </rPr>
      <t>20260627|NVP|Plain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</si>
  <si>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20260627|NVP|Greek Yogurt 500g</t>
  </si>
  <si>
    <t>20260627|NVP|Plain Yogurt 500g</t>
  </si>
  <si>
    <t>20260627|NVP|R-ACAI Bowl</t>
  </si>
  <si>
    <t>20260627|NVP|S-ACAI Cup (mini)</t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</si>
  <si>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</si>
  <si>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20260627|NVP|Granola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</si>
  <si>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20260627|NVP|Softserve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</si>
  <si>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20260627|NVP|Shake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</si>
  <si>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20260627|NVP|Peanut Butter</t>
  </si>
  <si>
    <r>
      <rPr>
        <sz val="11"/>
        <color theme="1"/>
        <rFont val="Calibri"/>
        <family val="2"/>
        <charset val="1"/>
      </rPr>
      <t xml:space="preserve">20260627|NVP|Water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</si>
  <si>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</si>
  <si>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</si>
  <si>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</si>
  <si>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</si>
  <si>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</si>
  <si>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ถุงพีช</t>
    </r>
  </si>
  <si>
    <t>20260627|NVP|Cornflakes Malt (M)</t>
  </si>
  <si>
    <t>20260627|NVP|Granola (M)</t>
  </si>
  <si>
    <t>20260627|NVP|Choc Chip Cookies</t>
  </si>
  <si>
    <t>20260627|NVP|Cookies Crumbs</t>
  </si>
  <si>
    <t>20260627|NVP|Oreo</t>
  </si>
  <si>
    <t>20260627|NVP|Choc Chips</t>
  </si>
  <si>
    <t>20260627|NVP|Cornflakes (Topping)</t>
  </si>
  <si>
    <t>20260627|NVP|Granola (Topping)</t>
  </si>
  <si>
    <t>20260627|NVP|Almond</t>
  </si>
  <si>
    <t>20260627|NVP|Pecan</t>
  </si>
  <si>
    <t>20260627|NVP|Walnut</t>
  </si>
  <si>
    <t>20260627|NVP|Coconut Chips</t>
  </si>
  <si>
    <t>20260627|NVP|Chia Seed</t>
  </si>
  <si>
    <t>20260627|NVP|Flax Seed</t>
  </si>
  <si>
    <t>20260627|NVP|Cacao Nibs</t>
  </si>
  <si>
    <t>20260627|NVP|Grape Jelly</t>
  </si>
  <si>
    <t>20260627|NVP|Honey Jelly</t>
  </si>
  <si>
    <t>20260627|NVP|Strawberry (250g)</t>
  </si>
  <si>
    <t>20260627|NVP|Strawberry (500g)</t>
  </si>
  <si>
    <t>20260627|NVP|Blueberry (125g)</t>
  </si>
  <si>
    <t>20260627|NVP|Blueberry (300g)</t>
  </si>
  <si>
    <t>20260627|NVP|Blueberry (500g)</t>
  </si>
  <si>
    <t>20260627|NVP|Apple Cinnamon</t>
  </si>
  <si>
    <t>20260627|NVP|Banana</t>
  </si>
  <si>
    <t>20260627|NVP|Honey</t>
  </si>
  <si>
    <t>20260627|NVP|Caramel</t>
  </si>
  <si>
    <t>20260627|NVP|Peanut Butter Sauce</t>
  </si>
  <si>
    <t>20260627|NVP|Cup P (5oz)</t>
  </si>
  <si>
    <t>20260627|NVP|Cup S (9oz)</t>
  </si>
  <si>
    <t>20260627|NVP|Small Bowl</t>
  </si>
  <si>
    <t>20260627|NVP|Cup (14oz)</t>
  </si>
  <si>
    <t>20260627|NVP|Cup 3oz (Topping)</t>
  </si>
  <si>
    <t>20260627|NVP|Cup+Lid (Big) 3oz</t>
  </si>
  <si>
    <t>20260627|NVP|Cup+Lid (Small) 1oz</t>
  </si>
  <si>
    <t>20260627|NVP|Bowl Lid</t>
  </si>
  <si>
    <t>20260627|NVP|Smoothies Lid</t>
  </si>
  <si>
    <t>20260627|NVP|Lid S (92)</t>
  </si>
  <si>
    <t>20260627|NVP|Lid Top / Lid P (75)</t>
  </si>
  <si>
    <t>20260627|NVP|Wood Spoon in bag</t>
  </si>
  <si>
    <t>20260627|NVP|Wood Spoon</t>
  </si>
  <si>
    <r>
      <rPr>
        <sz val="11"/>
        <color theme="1"/>
        <rFont val="Calibri"/>
        <family val="2"/>
        <charset val="1"/>
      </rPr>
      <t xml:space="preserve">20260627|NVP|Tester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</si>
  <si>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20260627|NVP|Short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</si>
  <si>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20260627|NVP|Straw/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</si>
  <si>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20260627|NVP|Straw/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</si>
  <si>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20260627|NVP|Fail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</si>
  <si>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</si>
  <si>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</si>
  <si>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</si>
  <si>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</si>
  <si>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</si>
  <si>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</si>
  <si>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</si>
  <si>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20260627|NVP|Zip Bag Small / </t>
    </r>
    <r>
      <rPr>
        <sz val="11"/>
        <color theme="1"/>
        <rFont val="DejaVu Sans"/>
        <family val="2"/>
      </rPr>
      <t>ถุงซิป</t>
    </r>
  </si>
  <si>
    <t>20260627|NVP|Bag 4x14</t>
  </si>
  <si>
    <t>20260627|NVP|Bag 6x14</t>
  </si>
  <si>
    <t>20260627|NVP|Bag 8x14</t>
  </si>
  <si>
    <t>20260627|NVP|Bag 9x14</t>
  </si>
  <si>
    <r>
      <rPr>
        <sz val="11"/>
        <color theme="1"/>
        <rFont val="Calibri"/>
        <family val="2"/>
        <charset val="1"/>
      </rPr>
      <t xml:space="preserve">20260627|NVP|Bag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</si>
  <si>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20260627|NVP|Sticker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</si>
  <si>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20260627|NVP|Print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</si>
  <si>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20260627|NVP|Gloves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</si>
  <si>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20260627|NVP|Black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</si>
  <si>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20260627|NVP|Dry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</si>
  <si>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20260627|NVP|Wet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</si>
  <si>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20260627|NVP|Tissue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</si>
  <si>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</si>
  <si>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</si>
  <si>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</si>
  <si>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</si>
  <si>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น้ำยาล้างเครื่องไอดิม</t>
    </r>
  </si>
  <si>
    <t>20260627|NVP|Wake up call (Banana)</t>
  </si>
  <si>
    <t>20260627|NVP|Energy Sip (Straw+Banana)</t>
  </si>
  <si>
    <t>20260627|NVP|Yellow Madness (Pineapple+Mango+Passion)</t>
  </si>
  <si>
    <t>20260627|NVP|Ready to Glow (Straw+Blue+Banana)</t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</si>
  <si>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</si>
  <si>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</si>
  <si>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</si>
  <si>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</si>
  <si>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20260627|NVP|Biscoff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</si>
  <si>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20260627|NVP|Biscoff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</si>
  <si>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</si>
  <si>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</si>
  <si>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</si>
  <si>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</si>
  <si>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</si>
  <si>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</si>
  <si>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20260627|NVP|</t>
    </r>
    <r>
      <rPr>
        <sz val="11"/>
        <color theme="1"/>
        <rFont val="DejaVu Sans"/>
        <family val="2"/>
      </rPr>
      <t>พิสตาชิโอ้ท๊อปปิ้ง</t>
    </r>
  </si>
  <si>
    <t>20260628|NVP|Greek Yogurt 1kg</t>
  </si>
  <si>
    <t>20260628|NVP|Yuzu</t>
  </si>
  <si>
    <t>20260628|NVP|Kyoho</t>
  </si>
  <si>
    <t>20260628|NVP|Mint</t>
  </si>
  <si>
    <t>20260628|NVP|Vanilla</t>
  </si>
  <si>
    <t>20260628|NVP|Pineapple</t>
  </si>
  <si>
    <t>20260628|NVP|Biscoff</t>
  </si>
  <si>
    <t>20260628|NVP|Overnight oats biscoff</t>
  </si>
  <si>
    <r>
      <rPr>
        <sz val="11"/>
        <color theme="1"/>
        <rFont val="Calibri"/>
        <family val="2"/>
        <charset val="1"/>
      </rPr>
      <t>20260628|NVP|Plain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</si>
  <si>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20260628|NVP|Greek Yogurt 500g</t>
  </si>
  <si>
    <t>20260628|NVP|Plain Yogurt 500g</t>
  </si>
  <si>
    <t>20260628|NVP|R-ACAI Bowl</t>
  </si>
  <si>
    <t>20260628|NVP|S-ACAI Cup (mini)</t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</si>
  <si>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</si>
  <si>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20260628|NVP|Granola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</si>
  <si>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20260628|NVP|Softserve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</si>
  <si>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20260628|NVP|Shake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</si>
  <si>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20260628|NVP|Peanut Butter</t>
  </si>
  <si>
    <r>
      <rPr>
        <sz val="11"/>
        <color theme="1"/>
        <rFont val="Calibri"/>
        <family val="2"/>
        <charset val="1"/>
      </rPr>
      <t xml:space="preserve">20260628|NVP|Water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</si>
  <si>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</si>
  <si>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</si>
  <si>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</si>
  <si>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</si>
  <si>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</si>
  <si>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ถุงพีช</t>
    </r>
  </si>
  <si>
    <t>20260628|NVP|Cornflakes Malt (M)</t>
  </si>
  <si>
    <t>20260628|NVP|Granola (M)</t>
  </si>
  <si>
    <t>20260628|NVP|Choc Chip Cookies</t>
  </si>
  <si>
    <t>20260628|NVP|Cookies Crumbs</t>
  </si>
  <si>
    <t>20260628|NVP|Oreo</t>
  </si>
  <si>
    <t>20260628|NVP|Choc Chips</t>
  </si>
  <si>
    <t>20260628|NVP|Cornflakes (Topping)</t>
  </si>
  <si>
    <t>20260628|NVP|Granola (Topping)</t>
  </si>
  <si>
    <t>20260628|NVP|Almond</t>
  </si>
  <si>
    <t>20260628|NVP|Pecan</t>
  </si>
  <si>
    <t>20260628|NVP|Walnut</t>
  </si>
  <si>
    <t>20260628|NVP|Coconut Chips</t>
  </si>
  <si>
    <t>20260628|NVP|Chia Seed</t>
  </si>
  <si>
    <t>20260628|NVP|Flax Seed</t>
  </si>
  <si>
    <t>20260628|NVP|Cacao Nibs</t>
  </si>
  <si>
    <t>20260628|NVP|Grape Jelly</t>
  </si>
  <si>
    <t>20260628|NVP|Honey Jelly</t>
  </si>
  <si>
    <t>20260628|NVP|Strawberry (250g)</t>
  </si>
  <si>
    <t>20260628|NVP|Strawberry (500g)</t>
  </si>
  <si>
    <t>20260628|NVP|Blueberry (125g)</t>
  </si>
  <si>
    <t>20260628|NVP|Blueberry (300g)</t>
  </si>
  <si>
    <t>20260628|NVP|Blueberry (500g)</t>
  </si>
  <si>
    <t>20260628|NVP|Apple Cinnamon</t>
  </si>
  <si>
    <t>20260628|NVP|Banana</t>
  </si>
  <si>
    <t>20260628|NVP|Honey</t>
  </si>
  <si>
    <t>20260628|NVP|Caramel</t>
  </si>
  <si>
    <t>20260628|NVP|Peanut Butter Sauce</t>
  </si>
  <si>
    <t>20260628|NVP|Cup P (5oz)</t>
  </si>
  <si>
    <t>20260628|NVP|Cup S (9oz)</t>
  </si>
  <si>
    <t>20260628|NVP|Small Bowl</t>
  </si>
  <si>
    <t>20260628|NVP|Cup (14oz)</t>
  </si>
  <si>
    <t>20260628|NVP|Cup 3oz (Topping)</t>
  </si>
  <si>
    <t>20260628|NVP|Cup+Lid (Big) 3oz</t>
  </si>
  <si>
    <t>20260628|NVP|Cup+Lid (Small) 1oz</t>
  </si>
  <si>
    <t>20260628|NVP|Bowl Lid</t>
  </si>
  <si>
    <t>20260628|NVP|Smoothies Lid</t>
  </si>
  <si>
    <t>20260628|NVP|Lid S (92)</t>
  </si>
  <si>
    <t>20260628|NVP|Lid Top / Lid P (75)</t>
  </si>
  <si>
    <t>20260628|NVP|Wood Spoon in bag</t>
  </si>
  <si>
    <t>20260628|NVP|Wood Spoon</t>
  </si>
  <si>
    <r>
      <rPr>
        <sz val="11"/>
        <color theme="1"/>
        <rFont val="Calibri"/>
        <family val="2"/>
        <charset val="1"/>
      </rPr>
      <t xml:space="preserve">20260628|NVP|Tester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</si>
  <si>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20260628|NVP|Short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</si>
  <si>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20260628|NVP|Straw/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</si>
  <si>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20260628|NVP|Straw/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</si>
  <si>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20260628|NVP|Fail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</si>
  <si>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</si>
  <si>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</si>
  <si>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</si>
  <si>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</si>
  <si>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</si>
  <si>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</si>
  <si>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</si>
  <si>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20260628|NVP|Zip Bag Small / </t>
    </r>
    <r>
      <rPr>
        <sz val="11"/>
        <color theme="1"/>
        <rFont val="DejaVu Sans"/>
        <family val="2"/>
      </rPr>
      <t>ถุงซิป</t>
    </r>
  </si>
  <si>
    <t>20260628|NVP|Bag 4x14</t>
  </si>
  <si>
    <t>20260628|NVP|Bag 6x14</t>
  </si>
  <si>
    <t>20260628|NVP|Bag 8x14</t>
  </si>
  <si>
    <t>20260628|NVP|Bag 9x14</t>
  </si>
  <si>
    <r>
      <rPr>
        <sz val="11"/>
        <color theme="1"/>
        <rFont val="Calibri"/>
        <family val="2"/>
        <charset val="1"/>
      </rPr>
      <t xml:space="preserve">20260628|NVP|Bag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</si>
  <si>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20260628|NVP|Sticker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</si>
  <si>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20260628|NVP|Print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</si>
  <si>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20260628|NVP|Gloves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</si>
  <si>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20260628|NVP|Black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</si>
  <si>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20260628|NVP|Dry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</si>
  <si>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20260628|NVP|Wet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</si>
  <si>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20260628|NVP|Tissue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</si>
  <si>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</si>
  <si>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</si>
  <si>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</si>
  <si>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</si>
  <si>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น้ำยาล้างเครื่องไอดิม</t>
    </r>
  </si>
  <si>
    <t>20260628|NVP|Wake up call (Banana)</t>
  </si>
  <si>
    <t>20260628|NVP|Energy Sip (Straw+Banana)</t>
  </si>
  <si>
    <t>20260628|NVP|Yellow Madness (Pineapple+Mango+Passion)</t>
  </si>
  <si>
    <t>20260628|NVP|Ready to Glow (Straw+Blue+Banana)</t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</si>
  <si>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</si>
  <si>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</si>
  <si>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</si>
  <si>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</si>
  <si>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20260628|NVP|Biscoff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</si>
  <si>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20260628|NVP|Biscoff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</si>
  <si>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</si>
  <si>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</si>
  <si>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</si>
  <si>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</si>
  <si>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</si>
  <si>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</si>
  <si>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20260628|NVP|</t>
    </r>
    <r>
      <rPr>
        <sz val="11"/>
        <color theme="1"/>
        <rFont val="DejaVu Sans"/>
        <family val="2"/>
      </rPr>
      <t>พิสตาชิโอ้ท๊อปปิ้ง</t>
    </r>
  </si>
  <si>
    <t>20260629|NVP|Peanut Butter</t>
  </si>
  <si>
    <t>20260629|NVP|Strawberry (500g)</t>
  </si>
  <si>
    <t>20260629|NVP|Blueberry (500g)</t>
  </si>
  <si>
    <r>
      <rPr>
        <sz val="11"/>
        <color theme="1"/>
        <rFont val="Calibri"/>
        <family val="2"/>
        <charset val="1"/>
      </rPr>
      <t xml:space="preserve">20260629|NVP|Biscoff Spread </t>
    </r>
    <r>
      <rPr>
        <sz val="11"/>
        <color theme="1"/>
        <rFont val="DejaVu Sans"/>
        <family val="2"/>
      </rPr>
      <t>ใหญ่</t>
    </r>
  </si>
  <si>
    <t>20260630|NVP|Greek Yogurt 1kg</t>
  </si>
  <si>
    <t>20260630|NVP|Yuzu</t>
  </si>
  <si>
    <t>20260630|NVP|Kyoho</t>
  </si>
  <si>
    <t>20260630|NVP|Mint</t>
  </si>
  <si>
    <t>20260630|NVP|Vanilla</t>
  </si>
  <si>
    <t>20260630|NVP|Pineapple</t>
  </si>
  <si>
    <t>20260630|NVP|Biscoff</t>
  </si>
  <si>
    <t>20260630|NVP|Overnight oats biscoff</t>
  </si>
  <si>
    <r>
      <rPr>
        <sz val="11"/>
        <color theme="1"/>
        <rFont val="Calibri"/>
        <family val="2"/>
        <charset val="1"/>
      </rPr>
      <t>20260630|NVP|Plain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</si>
  <si>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20260630|NVP|Greek Yogurt 500g</t>
  </si>
  <si>
    <t>20260630|NVP|Plain Yogurt 500g</t>
  </si>
  <si>
    <t>10 from 18/06</t>
  </si>
  <si>
    <t>20260630|NVP|R-ACAI Bowl</t>
  </si>
  <si>
    <t>20260630|NVP|S-ACAI Cup (mini)</t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</si>
  <si>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</si>
  <si>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20260630|NVP|Granola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</si>
  <si>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20260630|NVP|Softserve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</si>
  <si>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20260630|NVP|Shake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</si>
  <si>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20260630|NVP|Peanut Butter</t>
  </si>
  <si>
    <r>
      <rPr>
        <sz val="11"/>
        <color theme="1"/>
        <rFont val="Calibri"/>
        <family val="2"/>
        <charset val="1"/>
      </rPr>
      <t xml:space="preserve">20260630|NVP|Water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</si>
  <si>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</si>
  <si>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</si>
  <si>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</si>
  <si>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</si>
  <si>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</si>
  <si>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ถุงพีช</t>
    </r>
  </si>
  <si>
    <t>20260630|NVP|Cornflakes Malt (M)</t>
  </si>
  <si>
    <t>20260630|NVP|Granola (M)</t>
  </si>
  <si>
    <t>20260630|NVP|Choc Chip Cookies</t>
  </si>
  <si>
    <t>20260630|NVP|Cookies Crumbs</t>
  </si>
  <si>
    <t>20260630|NVP|Oreo</t>
  </si>
  <si>
    <t>20260630|NVP|Choc Chips</t>
  </si>
  <si>
    <t>20260630|NVP|Cornflakes (Topping)</t>
  </si>
  <si>
    <t>20260630|NVP|Granola (Topping)</t>
  </si>
  <si>
    <t>20260630|NVP|Almond</t>
  </si>
  <si>
    <t>20260630|NVP|Pecan</t>
  </si>
  <si>
    <t>20260630|NVP|Walnut</t>
  </si>
  <si>
    <t>20260630|NVP|Coconut Chips</t>
  </si>
  <si>
    <t>20260630|NVP|Chia Seed</t>
  </si>
  <si>
    <t>20260630|NVP|Flax Seed</t>
  </si>
  <si>
    <t>20260630|NVP|Cacao Nibs</t>
  </si>
  <si>
    <t>20260630|NVP|Grape Jelly</t>
  </si>
  <si>
    <t>20260630|NVP|Honey Jelly</t>
  </si>
  <si>
    <t>20260630|NVP|Strawberry (250g)</t>
  </si>
  <si>
    <t>20260630|NVP|Strawberry (500g)</t>
  </si>
  <si>
    <t>20260630|NVP|Blueberry (125g)</t>
  </si>
  <si>
    <t>20260630|NVP|Blueberry (300g)</t>
  </si>
  <si>
    <t>20260630|NVP|Blueberry (500g)</t>
  </si>
  <si>
    <t>20260630|NVP|Apple Cinnamon</t>
  </si>
  <si>
    <t>20260630|NVP|Banana</t>
  </si>
  <si>
    <t>20260630|NVP|Honey</t>
  </si>
  <si>
    <t>20260630|NVP|Caramel</t>
  </si>
  <si>
    <t>20260630|NVP|Peanut Butter Sauce</t>
  </si>
  <si>
    <t>20260630|NVP|Cup P (5oz)</t>
  </si>
  <si>
    <t>20260630|NVP|Cup S (9oz)</t>
  </si>
  <si>
    <t>20260630|NVP|Small Bowl</t>
  </si>
  <si>
    <t>20260630|NVP|Cup (14oz)</t>
  </si>
  <si>
    <t>20260630|NVP|Cup 3oz (Topping)</t>
  </si>
  <si>
    <t>20260630|NVP|Cup+Lid (Big) 3oz</t>
  </si>
  <si>
    <t>20260630|NVP|Cup+Lid (Small) 1oz</t>
  </si>
  <si>
    <t>20260630|NVP|Bowl Lid</t>
  </si>
  <si>
    <t>20260630|NVP|Smoothies Lid</t>
  </si>
  <si>
    <t>20260630|NVP|Lid S (92)</t>
  </si>
  <si>
    <t>20260630|NVP|Lid Top / Lid P (75)</t>
  </si>
  <si>
    <t>20260630|NVP|Wood Spoon in bag</t>
  </si>
  <si>
    <t>20260630|NVP|Wood Spoon</t>
  </si>
  <si>
    <r>
      <rPr>
        <sz val="11"/>
        <color theme="1"/>
        <rFont val="Calibri"/>
        <family val="2"/>
        <charset val="1"/>
      </rPr>
      <t xml:space="preserve">20260630|NVP|Tester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</si>
  <si>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20260630|NVP|Short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</si>
  <si>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20260630|NVP|Straw/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</si>
  <si>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20260630|NVP|Straw/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</si>
  <si>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20260630|NVP|Fail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</si>
  <si>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</si>
  <si>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</si>
  <si>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</si>
  <si>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</si>
  <si>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</si>
  <si>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</si>
  <si>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</si>
  <si>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20260630|NVP|Zip Bag Small / </t>
    </r>
    <r>
      <rPr>
        <sz val="11"/>
        <color theme="1"/>
        <rFont val="DejaVu Sans"/>
        <family val="2"/>
      </rPr>
      <t>ถุงซิป</t>
    </r>
  </si>
  <si>
    <t>20260630|NVP|Bag 4x14</t>
  </si>
  <si>
    <t>20260630|NVP|Bag 6x14</t>
  </si>
  <si>
    <t>20260630|NVP|Bag 8x14</t>
  </si>
  <si>
    <t>20260630|NVP|Bag 9x14</t>
  </si>
  <si>
    <r>
      <rPr>
        <sz val="11"/>
        <color theme="1"/>
        <rFont val="Calibri"/>
        <family val="2"/>
        <charset val="1"/>
      </rPr>
      <t xml:space="preserve">20260630|NVP|Bag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</si>
  <si>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20260630|NVP|Sticker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</si>
  <si>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20260630|NVP|Print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</si>
  <si>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20260630|NVP|Gloves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</si>
  <si>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20260630|NVP|Black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</si>
  <si>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20260630|NVP|Dry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</si>
  <si>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20260630|NVP|Wet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</si>
  <si>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20260630|NVP|Tissue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</si>
  <si>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</si>
  <si>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</si>
  <si>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</si>
  <si>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</si>
  <si>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น้ำยาล้างเครื่องไอดิม</t>
    </r>
  </si>
  <si>
    <t>20260630|NVP|Wake up call (Banana)</t>
  </si>
  <si>
    <t>20260630|NVP|Energy Sip (Straw+Banana)</t>
  </si>
  <si>
    <t>20260630|NVP|Yellow Madness (Pineapple+Mango+Passion)</t>
  </si>
  <si>
    <t>20260630|NVP|Ready to Glow (Straw+Blue+Banana)</t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</si>
  <si>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</si>
  <si>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</si>
  <si>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</si>
  <si>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</si>
  <si>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20260630|NVP|Biscoff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</si>
  <si>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20260630|NVP|Biscoff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</si>
  <si>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</si>
  <si>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</si>
  <si>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</si>
  <si>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</si>
  <si>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</si>
  <si>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</si>
  <si>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20260630|NVP|</t>
    </r>
    <r>
      <rPr>
        <sz val="11"/>
        <color theme="1"/>
        <rFont val="DejaVu Sans"/>
        <family val="2"/>
      </rPr>
      <t>พิสตาชิโอ้ท๊อปปิ้ง</t>
    </r>
  </si>
  <si>
    <t>20260701|NVP|Greek Yogurt 1kg</t>
  </si>
  <si>
    <t>20260701|NVP|Yuzu</t>
  </si>
  <si>
    <t>20260701|NVP|Kyoho</t>
  </si>
  <si>
    <t>20260701|NVP|Mint</t>
  </si>
  <si>
    <t>20260701|NVP|Vanilla</t>
  </si>
  <si>
    <t>20260701|NVP|Pineapple</t>
  </si>
  <si>
    <t>20260701|NVP|Biscoff</t>
  </si>
  <si>
    <t>20260701|NVP|Overnight oats biscoff</t>
  </si>
  <si>
    <r>
      <rPr>
        <sz val="11"/>
        <color theme="1"/>
        <rFont val="Calibri"/>
        <family val="2"/>
        <charset val="1"/>
      </rPr>
      <t>20260701|NVP|Plain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</si>
  <si>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20260701|NVP|Greek Yogurt 500g</t>
  </si>
  <si>
    <t>20260701|NVP|Plain Yogurt 500g</t>
  </si>
  <si>
    <t>20260701|NVP|R-ACAI Bowl</t>
  </si>
  <si>
    <t>20260701|NVP|S-ACAI Cup (mini)</t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</si>
  <si>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</si>
  <si>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20260701|NVP|Granola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</si>
  <si>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20260701|NVP|Softserve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</si>
  <si>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20260701|NVP|Shake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</si>
  <si>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20260701|NVP|Peanut Butter</t>
  </si>
  <si>
    <r>
      <rPr>
        <sz val="11"/>
        <color theme="1"/>
        <rFont val="Calibri"/>
        <family val="2"/>
        <charset val="1"/>
      </rPr>
      <t xml:space="preserve">20260701|NVP|Water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</si>
  <si>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</si>
  <si>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</si>
  <si>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</si>
  <si>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</si>
  <si>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</si>
  <si>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ถุงพีช</t>
    </r>
  </si>
  <si>
    <t>20260701|NVP|Cornflakes Malt (M)</t>
  </si>
  <si>
    <t>20260701|NVP|Granola (M)</t>
  </si>
  <si>
    <t>20260701|NVP|Choc Chip Cookies</t>
  </si>
  <si>
    <t>20260701|NVP|Cookies Crumbs</t>
  </si>
  <si>
    <t>20260701|NVP|Oreo</t>
  </si>
  <si>
    <t>20260701|NVP|Choc Chips</t>
  </si>
  <si>
    <t>20260701|NVP|Cornflakes (Topping)</t>
  </si>
  <si>
    <t>20260701|NVP|Granola (Topping)</t>
  </si>
  <si>
    <t>20260701|NVP|Almond</t>
  </si>
  <si>
    <t>20260701|NVP|Pecan</t>
  </si>
  <si>
    <t>20260701|NVP|Walnut</t>
  </si>
  <si>
    <t>20260701|NVP|Coconut Chips</t>
  </si>
  <si>
    <t>20260701|NVP|Chia Seed</t>
  </si>
  <si>
    <t>20260701|NVP|Flax Seed</t>
  </si>
  <si>
    <t>20260701|NVP|Cacao Nibs</t>
  </si>
  <si>
    <t>20260701|NVP|Grape Jelly</t>
  </si>
  <si>
    <t>20260701|NVP|Honey Jelly</t>
  </si>
  <si>
    <t>20260701|NVP|Strawberry (250g)</t>
  </si>
  <si>
    <t>20260701|NVP|Strawberry (500g)</t>
  </si>
  <si>
    <t>20260701|NVP|Blueberry (125g)</t>
  </si>
  <si>
    <t>20260701|NVP|Blueberry (300g)</t>
  </si>
  <si>
    <t>20260701|NVP|Blueberry (500g)</t>
  </si>
  <si>
    <t>20260701|NVP|Apple Cinnamon</t>
  </si>
  <si>
    <t>20260701|NVP|Honey</t>
  </si>
  <si>
    <t>20260701|NVP|Caramel</t>
  </si>
  <si>
    <t>20260701|NVP|Peanut Butter Sauce</t>
  </si>
  <si>
    <t>20260701|NVP|Cup P (5oz)</t>
  </si>
  <si>
    <t>20260701|NVP|Cup S (9oz)</t>
  </si>
  <si>
    <t>20260701|NVP|Small Bowl</t>
  </si>
  <si>
    <t>20260701|NVP|Cup (14oz)</t>
  </si>
  <si>
    <t>20260701|NVP|Cup 3oz (Topping)</t>
  </si>
  <si>
    <t>20260701|NVP|Cup+Lid (Big) 3oz</t>
  </si>
  <si>
    <t>20260701|NVP|Cup+Lid (Small) 1oz</t>
  </si>
  <si>
    <t>20260701|NVP|Bowl Lid</t>
  </si>
  <si>
    <t>20260701|NVP|Smoothies Lid</t>
  </si>
  <si>
    <t>20260701|NVP|Lid S (92)</t>
  </si>
  <si>
    <t>20260701|NVP|Lid Top / Lid P (75)</t>
  </si>
  <si>
    <t>20260701|NVP|Wood Spoon in bag</t>
  </si>
  <si>
    <t>20260701|NVP|Wood Spoon</t>
  </si>
  <si>
    <r>
      <rPr>
        <sz val="11"/>
        <color theme="1"/>
        <rFont val="Calibri"/>
        <family val="2"/>
        <charset val="1"/>
      </rPr>
      <t xml:space="preserve">20260701|NVP|Tester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</si>
  <si>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20260701|NVP|Short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</si>
  <si>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20260701|NVP|Straw/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</si>
  <si>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20260701|NVP|Straw/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</si>
  <si>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20260701|NVP|Fail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</si>
  <si>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</si>
  <si>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</si>
  <si>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</si>
  <si>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</si>
  <si>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</si>
  <si>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</si>
  <si>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</si>
  <si>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20260701|NVP|Zip Bag Small / </t>
    </r>
    <r>
      <rPr>
        <sz val="11"/>
        <color theme="1"/>
        <rFont val="DejaVu Sans"/>
        <family val="2"/>
      </rPr>
      <t>ถุงซิป</t>
    </r>
  </si>
  <si>
    <t>20260701|NVP|Bag 4x14</t>
  </si>
  <si>
    <t>20260701|NVP|Bag 6x14</t>
  </si>
  <si>
    <t>20260701|NVP|Bag 8x14</t>
  </si>
  <si>
    <t>20260701|NVP|Bag 9x14</t>
  </si>
  <si>
    <r>
      <rPr>
        <sz val="11"/>
        <color theme="1"/>
        <rFont val="Calibri"/>
        <family val="2"/>
        <charset val="1"/>
      </rPr>
      <t xml:space="preserve">20260701|NVP|Bag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</si>
  <si>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20260701|NVP|Sticker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</si>
  <si>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20260701|NVP|Print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</si>
  <si>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20260701|NVP|Gloves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</si>
  <si>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20260701|NVP|Black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</si>
  <si>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20260701|NVP|Dry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</si>
  <si>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20260701|NVP|Wet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</si>
  <si>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20260701|NVP|Tissue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</si>
  <si>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</si>
  <si>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</si>
  <si>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</si>
  <si>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</si>
  <si>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น้ำยาล้างเครื่องไอดิม</t>
    </r>
  </si>
  <si>
    <t>20260701|NVP|Wake up call (Banana)</t>
  </si>
  <si>
    <t>20260701|NVP|Energy Sip (Straw+Banana)</t>
  </si>
  <si>
    <t>20260701|NVP|Yellow Madness (Pineapple+Mango+Passion)</t>
  </si>
  <si>
    <t>20260701|NVP|Ready to Glow (Straw+Blue+Banana)</t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</si>
  <si>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</si>
  <si>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</si>
  <si>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</si>
  <si>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</si>
  <si>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20260701|NVP|Biscoff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</si>
  <si>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20260701|NVP|Biscoff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</si>
  <si>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</si>
  <si>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</si>
  <si>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</si>
  <si>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</si>
  <si>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</si>
  <si>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</si>
  <si>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20260701|NVP|</t>
    </r>
    <r>
      <rPr>
        <sz val="11"/>
        <color theme="1"/>
        <rFont val="DejaVu Sans"/>
        <family val="2"/>
      </rPr>
      <t>พิสตาชิโอ้ท๊อปปิ้ง</t>
    </r>
  </si>
  <si>
    <t>20260702|NVP|Greek Yogurt 1kg</t>
  </si>
  <si>
    <t>20260702|NVP|Yuzu</t>
  </si>
  <si>
    <t>20260702|NVP|Kyoho</t>
  </si>
  <si>
    <t>20260702|NVP|Mint</t>
  </si>
  <si>
    <t>20260702|NVP|Vanilla</t>
  </si>
  <si>
    <t>20260702|NVP|Pineapple</t>
  </si>
  <si>
    <t>20260702|NVP|Biscoff</t>
  </si>
  <si>
    <t>20260702|NVP|Overnight oats biscoff</t>
  </si>
  <si>
    <r>
      <rPr>
        <sz val="11"/>
        <color theme="1"/>
        <rFont val="Calibri"/>
        <family val="2"/>
        <charset val="1"/>
      </rPr>
      <t>20260702|NVP|Plain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</si>
  <si>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20260702|NVP|Greek Yogurt 500g</t>
  </si>
  <si>
    <t>20260702|NVP|Plain Yogurt 500g</t>
  </si>
  <si>
    <t>20260702|NVP|R-ACAI Bowl</t>
  </si>
  <si>
    <t>20260702|NVP|S-ACAI Cup (mini)</t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</si>
  <si>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</si>
  <si>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20260702|NVP|Granola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</si>
  <si>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20260702|NVP|Softserve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</si>
  <si>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20260702|NVP|Shake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</si>
  <si>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20260702|NVP|Peanut Butter</t>
  </si>
  <si>
    <r>
      <rPr>
        <sz val="11"/>
        <color theme="1"/>
        <rFont val="Calibri"/>
        <family val="2"/>
        <charset val="1"/>
      </rPr>
      <t xml:space="preserve">20260702|NVP|Water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</si>
  <si>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</si>
  <si>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</si>
  <si>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</si>
  <si>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</si>
  <si>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</si>
  <si>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ถุงพีช</t>
    </r>
  </si>
  <si>
    <t>20260702|NVP|Cornflakes Malt (M)</t>
  </si>
  <si>
    <t>20260702|NVP|Granola (M)</t>
  </si>
  <si>
    <t>20260702|NVP|Choc Chip Cookies</t>
  </si>
  <si>
    <t>20260702|NVP|Cookies Crumbs</t>
  </si>
  <si>
    <t>20260702|NVP|Oreo</t>
  </si>
  <si>
    <t>20260702|NVP|Choc Chips</t>
  </si>
  <si>
    <t>20260702|NVP|Cornflakes (Topping)</t>
  </si>
  <si>
    <t>20260702|NVP|Granola (Topping)</t>
  </si>
  <si>
    <t>20260702|NVP|Almond</t>
  </si>
  <si>
    <t>20260702|NVP|Pecan</t>
  </si>
  <si>
    <t>20260702|NVP|Walnut</t>
  </si>
  <si>
    <t>20260702|NVP|Coconut Chips</t>
  </si>
  <si>
    <t>20260702|NVP|Chia Seed</t>
  </si>
  <si>
    <t>20260702|NVP|Flax Seed</t>
  </si>
  <si>
    <t>20260702|NVP|Cacao Nibs</t>
  </si>
  <si>
    <t>20260702|NVP|Grape Jelly</t>
  </si>
  <si>
    <t>20260702|NVP|Honey Jelly</t>
  </si>
  <si>
    <t>20260702|NVP|Strawberry (250g)</t>
  </si>
  <si>
    <t>20260702|NVP|Strawberry (500g)</t>
  </si>
  <si>
    <t>20260702|NVP|Blueberry (125g)</t>
  </si>
  <si>
    <t>20260702|NVP|Blueberry (300g)</t>
  </si>
  <si>
    <t>20260702|NVP|Blueberry (500g)</t>
  </si>
  <si>
    <t>20260702|NVP|Apple Cinnamon</t>
  </si>
  <si>
    <t>20260702|NVP|Honey</t>
  </si>
  <si>
    <t>20260702|NVP|Caramel</t>
  </si>
  <si>
    <t>20260702|NVP|Peanut Butter Sauce</t>
  </si>
  <si>
    <t>20260702|NVP|Cup P (5oz)</t>
  </si>
  <si>
    <t>20260702|NVP|Cup S (9oz)</t>
  </si>
  <si>
    <t>20260702|NVP|Small Bowl</t>
  </si>
  <si>
    <t>20260702|NVP|Cup (14oz)</t>
  </si>
  <si>
    <t>20260702|NVP|Cup 3oz (Topping)</t>
  </si>
  <si>
    <t>20260702|NVP|Cup+Lid (Big) 3oz</t>
  </si>
  <si>
    <t>20260702|NVP|Cup+Lid (Small) 1oz</t>
  </si>
  <si>
    <t>20260702|NVP|Bowl Lid</t>
  </si>
  <si>
    <t>20260702|NVP|Smoothies Lid</t>
  </si>
  <si>
    <t>20260702|NVP|Lid S (92)</t>
  </si>
  <si>
    <t>20260702|NVP|Lid Top / Lid P (75)</t>
  </si>
  <si>
    <t>20260702|NVP|Wood Spoon in bag</t>
  </si>
  <si>
    <t>20260702|NVP|Wood Spoon</t>
  </si>
  <si>
    <r>
      <rPr>
        <sz val="11"/>
        <color theme="1"/>
        <rFont val="Calibri"/>
        <family val="2"/>
        <charset val="1"/>
      </rPr>
      <t xml:space="preserve">20260702|NVP|Tester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</si>
  <si>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20260702|NVP|Short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</si>
  <si>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20260702|NVP|Straw/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</si>
  <si>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20260702|NVP|Straw/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</si>
  <si>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20260702|NVP|Fail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</si>
  <si>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</si>
  <si>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</si>
  <si>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</si>
  <si>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</si>
  <si>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</si>
  <si>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</si>
  <si>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</si>
  <si>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20260702|NVP|Zip Bag Small / </t>
    </r>
    <r>
      <rPr>
        <sz val="11"/>
        <color theme="1"/>
        <rFont val="DejaVu Sans"/>
        <family val="2"/>
      </rPr>
      <t>ถุงซิป</t>
    </r>
  </si>
  <si>
    <t>20260702|NVP|Bag 4x14</t>
  </si>
  <si>
    <t>20260702|NVP|Bag 6x14</t>
  </si>
  <si>
    <t>20260702|NVP|Bag 8x14</t>
  </si>
  <si>
    <t>20260702|NVP|Bag 9x14</t>
  </si>
  <si>
    <r>
      <rPr>
        <sz val="11"/>
        <color theme="1"/>
        <rFont val="Calibri"/>
        <family val="2"/>
        <charset val="1"/>
      </rPr>
      <t xml:space="preserve">20260702|NVP|Bag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</si>
  <si>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20260702|NVP|Sticker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</si>
  <si>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20260702|NVP|Print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</si>
  <si>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20260702|NVP|Gloves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</si>
  <si>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20260702|NVP|Black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</si>
  <si>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20260702|NVP|Dry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</si>
  <si>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20260702|NVP|Wet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</si>
  <si>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20260702|NVP|Tissue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</si>
  <si>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</si>
  <si>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</si>
  <si>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</si>
  <si>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</si>
  <si>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น้ำยาล้างเครื่องไอดิม</t>
    </r>
  </si>
  <si>
    <t>20260702|NVP|Wake up call (Banana)</t>
  </si>
  <si>
    <t>20260702|NVP|Energy Sip (Straw+Banana)</t>
  </si>
  <si>
    <t>20260702|NVP|Yellow Madness (Pineapple+Mango+Passion)</t>
  </si>
  <si>
    <t>20260702|NVP|Ready to Glow (Straw+Blue+Banana)</t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</si>
  <si>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</si>
  <si>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</si>
  <si>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</si>
  <si>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</si>
  <si>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20260702|NVP|Biscoff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</si>
  <si>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20260702|NVP|Biscoff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</si>
  <si>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</si>
  <si>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</si>
  <si>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</si>
  <si>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</si>
  <si>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</si>
  <si>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</si>
  <si>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20260702|NVP|</t>
    </r>
    <r>
      <rPr>
        <sz val="11"/>
        <color theme="1"/>
        <rFont val="DejaVu Sans"/>
        <family val="2"/>
      </rPr>
      <t>พิสตาชิโอ้ท๊อปปิ้ง</t>
    </r>
  </si>
  <si>
    <t>20260702|NVP|Banana</t>
  </si>
  <si>
    <t>20260703|NVP|Greek Yogurt 1kg</t>
  </si>
  <si>
    <t>20260703|NVP|Yuzu</t>
  </si>
  <si>
    <t>20260703|NVP|Kyoho</t>
  </si>
  <si>
    <t>20260703|NVP|Mint</t>
  </si>
  <si>
    <t>20260703|NVP|Vanilla</t>
  </si>
  <si>
    <t>20260703|NVP|Pineapple</t>
  </si>
  <si>
    <t>20260703|NVP|Biscoff</t>
  </si>
  <si>
    <t>20260703|NVP|Overnight oats biscoff</t>
  </si>
  <si>
    <r>
      <rPr>
        <sz val="11"/>
        <color theme="1"/>
        <rFont val="Calibri"/>
        <family val="2"/>
        <charset val="1"/>
      </rPr>
      <t>20260703|NVP|Plain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</si>
  <si>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20260703|NVP|Greek Yogurt 500g</t>
  </si>
  <si>
    <t>20260703|NVP|Plain Yogurt 500g</t>
  </si>
  <si>
    <t>20260703|NVP|R-ACAI Bowl</t>
  </si>
  <si>
    <t>20260703|NVP|S-ACAI Cup (mini)</t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</si>
  <si>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</si>
  <si>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20260703|NVP|Granola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</si>
  <si>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20260703|NVP|Softserve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</si>
  <si>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20260703|NVP|Shake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</si>
  <si>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20260703|NVP|Peanut Butter</t>
  </si>
  <si>
    <r>
      <rPr>
        <sz val="11"/>
        <color theme="1"/>
        <rFont val="Calibri"/>
        <family val="2"/>
        <charset val="1"/>
      </rPr>
      <t xml:space="preserve">20260703|NVP|Water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</si>
  <si>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</si>
  <si>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</si>
  <si>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</si>
  <si>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</si>
  <si>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</si>
  <si>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ถุงพีช</t>
    </r>
  </si>
  <si>
    <t>20260703|NVP|Cornflakes Malt (M)</t>
  </si>
  <si>
    <t>20260703|NVP|Granola (M)</t>
  </si>
  <si>
    <t>20260703|NVP|Choc Chip Cookies</t>
  </si>
  <si>
    <t>20260703|NVP|Cookies Crumbs</t>
  </si>
  <si>
    <t>20260703|NVP|Oreo</t>
  </si>
  <si>
    <t>20260703|NVP|Choc Chips</t>
  </si>
  <si>
    <t>20260703|NVP|Cornflakes (Topping)</t>
  </si>
  <si>
    <t>20260703|NVP|Granola (Topping)</t>
  </si>
  <si>
    <t>20260703|NVP|Almond</t>
  </si>
  <si>
    <t>20260703|NVP|Pecan</t>
  </si>
  <si>
    <t>20260703|NVP|Walnut</t>
  </si>
  <si>
    <t>20260703|NVP|Coconut Chips</t>
  </si>
  <si>
    <t>20260703|NVP|Chia Seed</t>
  </si>
  <si>
    <t>20260703|NVP|Flax Seed</t>
  </si>
  <si>
    <t>20260703|NVP|Cacao Nibs</t>
  </si>
  <si>
    <t>20260703|NVP|Grape Jelly</t>
  </si>
  <si>
    <t>20260703|NVP|Honey Jelly</t>
  </si>
  <si>
    <t>20260703|NVP|Strawberry (250g)</t>
  </si>
  <si>
    <t>20260703|NVP|Strawberry (500g)</t>
  </si>
  <si>
    <t>20260703|NVP|Blueberry (125g)</t>
  </si>
  <si>
    <t>20260703|NVP|Blueberry (300g)</t>
  </si>
  <si>
    <t>20260703|NVP|Blueberry (500g)</t>
  </si>
  <si>
    <t>20260703|NVP|Apple Cinnamon</t>
  </si>
  <si>
    <t>20260703|NVP|Banana</t>
  </si>
  <si>
    <t>20260703|NVP|Honey</t>
  </si>
  <si>
    <t>20260703|NVP|Caramel</t>
  </si>
  <si>
    <t>20260703|NVP|Peanut Butter Sauce</t>
  </si>
  <si>
    <t>20260703|NVP|Cup P (5oz)</t>
  </si>
  <si>
    <t>20260703|NVP|Cup S (9oz)</t>
  </si>
  <si>
    <t>20260703|NVP|Small Bowl</t>
  </si>
  <si>
    <t>20260703|NVP|Cup (14oz)</t>
  </si>
  <si>
    <t>20260703|NVP|Cup 3oz (Topping)</t>
  </si>
  <si>
    <t>20260703|NVP|Cup+Lid (Big) 3oz</t>
  </si>
  <si>
    <t>20260703|NVP|Cup+Lid (Small) 1oz</t>
  </si>
  <si>
    <t>20260703|NVP|Bowl Lid</t>
  </si>
  <si>
    <t>20260703|NVP|Smoothies Lid</t>
  </si>
  <si>
    <t>20260703|NVP|Lid S (92)</t>
  </si>
  <si>
    <t>20260703|NVP|Lid Top / Lid P (75)</t>
  </si>
  <si>
    <t>20260703|NVP|Wood Spoon in bag</t>
  </si>
  <si>
    <t>20260703|NVP|Wood Spoon</t>
  </si>
  <si>
    <r>
      <rPr>
        <sz val="11"/>
        <color theme="1"/>
        <rFont val="Calibri"/>
        <family val="2"/>
        <charset val="1"/>
      </rPr>
      <t xml:space="preserve">20260703|NVP|Tester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</si>
  <si>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20260703|NVP|Short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</si>
  <si>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20260703|NVP|Straw/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</si>
  <si>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20260703|NVP|Straw/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</si>
  <si>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20260703|NVP|Fail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</si>
  <si>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</si>
  <si>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</si>
  <si>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</si>
  <si>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</si>
  <si>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</si>
  <si>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</si>
  <si>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</si>
  <si>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20260703|NVP|Zip Bag Small / </t>
    </r>
    <r>
      <rPr>
        <sz val="11"/>
        <color theme="1"/>
        <rFont val="DejaVu Sans"/>
        <family val="2"/>
      </rPr>
      <t>ถุงซิป</t>
    </r>
  </si>
  <si>
    <t>20260703|NVP|Bag 4x14</t>
  </si>
  <si>
    <t>20260703|NVP|Bag 6x14</t>
  </si>
  <si>
    <t>20260703|NVP|Bag 8x14</t>
  </si>
  <si>
    <t>20260703|NVP|Bag 9x14</t>
  </si>
  <si>
    <r>
      <rPr>
        <sz val="11"/>
        <color theme="1"/>
        <rFont val="Calibri"/>
        <family val="2"/>
        <charset val="1"/>
      </rPr>
      <t xml:space="preserve">20260703|NVP|Bag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</si>
  <si>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20260703|NVP|Sticker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</si>
  <si>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20260703|NVP|Print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</si>
  <si>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20260703|NVP|Gloves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</si>
  <si>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20260703|NVP|Black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</si>
  <si>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20260703|NVP|Dry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</si>
  <si>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20260703|NVP|Wet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</si>
  <si>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20260703|NVP|Tissue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</si>
  <si>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</si>
  <si>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</si>
  <si>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</si>
  <si>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</si>
  <si>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น้ำยาล้างเครื่องไอดิม</t>
    </r>
  </si>
  <si>
    <t>20260703|NVP|Wake up call (Banana)</t>
  </si>
  <si>
    <t>20260703|NVP|Energy Sip (Straw+Banana)</t>
  </si>
  <si>
    <t>20260703|NVP|Yellow Madness (Pineapple+Mango+Passion)</t>
  </si>
  <si>
    <t>20260703|NVP|Ready to Glow (Straw+Blue+Banana)</t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</si>
  <si>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</si>
  <si>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</si>
  <si>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</si>
  <si>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</si>
  <si>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20260703|NVP|Biscoff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</si>
  <si>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20260703|NVP|Biscoff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</si>
  <si>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</si>
  <si>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</si>
  <si>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</si>
  <si>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</si>
  <si>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</si>
  <si>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</si>
  <si>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20260703|NVP|</t>
    </r>
    <r>
      <rPr>
        <sz val="11"/>
        <color theme="1"/>
        <rFont val="DejaVu Sans"/>
        <family val="2"/>
      </rPr>
      <t>พิสตาชิโอ้ท๊อปปิ้ง</t>
    </r>
  </si>
  <si>
    <t>20260704|NVP|Greek Yogurt 1kg</t>
  </si>
  <si>
    <t>20260704|NVP|Yuzu</t>
  </si>
  <si>
    <t>20260704|NVP|Kyoho</t>
  </si>
  <si>
    <t>20260704|NVP|Mint</t>
  </si>
  <si>
    <t>20260704|NVP|Vanilla</t>
  </si>
  <si>
    <t>20260704|NVP|Pineapple</t>
  </si>
  <si>
    <t>20260704|NVP|Biscoff</t>
  </si>
  <si>
    <t>20260704|NVP|Overnight oats biscoff</t>
  </si>
  <si>
    <r>
      <rPr>
        <sz val="11"/>
        <color theme="1"/>
        <rFont val="Calibri"/>
        <family val="2"/>
        <charset val="1"/>
      </rPr>
      <t>20260704|NVP|Plain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</si>
  <si>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20260704|NVP|Greek Yogurt 500g</t>
  </si>
  <si>
    <t>20260704|NVP|Plain Yogurt 500g</t>
  </si>
  <si>
    <t>20260704|NVP|R-ACAI Bowl</t>
  </si>
  <si>
    <t>20260704|NVP|S-ACAI Cup (mini)</t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</si>
  <si>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</si>
  <si>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20260704|NVP|Granola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</si>
  <si>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20260704|NVP|Softserve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</si>
  <si>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20260704|NVP|Shake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</si>
  <si>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20260704|NVP|Peanut Butter</t>
  </si>
  <si>
    <r>
      <rPr>
        <sz val="11"/>
        <color theme="1"/>
        <rFont val="Calibri"/>
        <family val="2"/>
        <charset val="1"/>
      </rPr>
      <t xml:space="preserve">20260704|NVP|Water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</si>
  <si>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</si>
  <si>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</si>
  <si>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</si>
  <si>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</si>
  <si>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</si>
  <si>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ถุงพีช</t>
    </r>
  </si>
  <si>
    <t>20260704|NVP|Cornflakes Malt (M)</t>
  </si>
  <si>
    <t>20260704|NVP|Granola (M)</t>
  </si>
  <si>
    <t>20260704|NVP|Choc Chip Cookies</t>
  </si>
  <si>
    <t>20260704|NVP|Cookies Crumbs</t>
  </si>
  <si>
    <t>20260704|NVP|Oreo</t>
  </si>
  <si>
    <t>20260704|NVP|Choc Chips</t>
  </si>
  <si>
    <t>20260704|NVP|Cornflakes (Topping)</t>
  </si>
  <si>
    <t>20260704|NVP|Granola (Topping)</t>
  </si>
  <si>
    <t>20260704|NVP|Almond</t>
  </si>
  <si>
    <t>20260704|NVP|Pecan</t>
  </si>
  <si>
    <t>20260704|NVP|Walnut</t>
  </si>
  <si>
    <t>20260704|NVP|Coconut Chips</t>
  </si>
  <si>
    <t>20260704|NVP|Chia Seed</t>
  </si>
  <si>
    <t>20260704|NVP|Flax Seed</t>
  </si>
  <si>
    <t>20260704|NVP|Cacao Nibs</t>
  </si>
  <si>
    <t>20260704|NVP|Grape Jelly</t>
  </si>
  <si>
    <t>20260704|NVP|Honey Jelly</t>
  </si>
  <si>
    <t>20260704|NVP|Strawberry (250g)</t>
  </si>
  <si>
    <t>20260704|NVP|Strawberry (500g)</t>
  </si>
  <si>
    <t>20260704|NVP|Blueberry (125g)</t>
  </si>
  <si>
    <t>20260704|NVP|Blueberry (300g)</t>
  </si>
  <si>
    <t>20260704|NVP|Blueberry (500g)</t>
  </si>
  <si>
    <t>20260704|NVP|Apple Cinnamon</t>
  </si>
  <si>
    <t>20260704|NVP|Banana</t>
  </si>
  <si>
    <t>20260704|NVP|Honey</t>
  </si>
  <si>
    <t>20260704|NVP|Caramel</t>
  </si>
  <si>
    <t>20260704|NVP|Peanut Butter Sauce</t>
  </si>
  <si>
    <t>20260704|NVP|Cup P (5oz)</t>
  </si>
  <si>
    <t>20260704|NVP|Cup S (9oz)</t>
  </si>
  <si>
    <t>20260704|NVP|Small Bowl</t>
  </si>
  <si>
    <t>20260704|NVP|Cup (14oz)</t>
  </si>
  <si>
    <t>20260704|NVP|Cup 3oz (Topping)</t>
  </si>
  <si>
    <t>20260704|NVP|Cup+Lid (Big) 3oz</t>
  </si>
  <si>
    <t>20260704|NVP|Cup+Lid (Small) 1oz</t>
  </si>
  <si>
    <t>20260704|NVP|Bowl Lid</t>
  </si>
  <si>
    <t>20260704|NVP|Smoothies Lid</t>
  </si>
  <si>
    <t>20260704|NVP|Lid S (92)</t>
  </si>
  <si>
    <t>20260704|NVP|Lid Top / Lid P (75)</t>
  </si>
  <si>
    <t>20260704|NVP|Wood Spoon in bag</t>
  </si>
  <si>
    <t>20260704|NVP|Wood Spoon</t>
  </si>
  <si>
    <r>
      <rPr>
        <sz val="11"/>
        <color theme="1"/>
        <rFont val="Calibri"/>
        <family val="2"/>
        <charset val="1"/>
      </rPr>
      <t xml:space="preserve">20260704|NVP|Tester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</si>
  <si>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20260704|NVP|Short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</si>
  <si>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20260704|NVP|Straw/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</si>
  <si>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20260704|NVP|Straw/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</si>
  <si>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20260704|NVP|Fail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</si>
  <si>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</si>
  <si>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</si>
  <si>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</si>
  <si>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</si>
  <si>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</si>
  <si>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</si>
  <si>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</si>
  <si>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20260704|NVP|Zip Bag Small / </t>
    </r>
    <r>
      <rPr>
        <sz val="11"/>
        <color theme="1"/>
        <rFont val="DejaVu Sans"/>
        <family val="2"/>
      </rPr>
      <t>ถุงซิป</t>
    </r>
  </si>
  <si>
    <t>20260704|NVP|Bag 4x14</t>
  </si>
  <si>
    <t>20260704|NVP|Bag 6x14</t>
  </si>
  <si>
    <t>20260704|NVP|Bag 8x14</t>
  </si>
  <si>
    <t>20260704|NVP|Bag 9x14</t>
  </si>
  <si>
    <r>
      <rPr>
        <sz val="11"/>
        <color theme="1"/>
        <rFont val="Calibri"/>
        <family val="2"/>
        <charset val="1"/>
      </rPr>
      <t xml:space="preserve">20260704|NVP|Bag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</si>
  <si>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20260704|NVP|Sticker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</si>
  <si>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20260704|NVP|Print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</si>
  <si>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20260704|NVP|Gloves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</si>
  <si>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20260704|NVP|Black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</si>
  <si>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20260704|NVP|Dry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</si>
  <si>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20260704|NVP|Wet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</si>
  <si>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20260704|NVP|Tissue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</si>
  <si>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</si>
  <si>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</si>
  <si>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</si>
  <si>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</si>
  <si>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น้ำยาล้างเครื่องไอดิม</t>
    </r>
  </si>
  <si>
    <t>20260704|NVP|Wake up call (Banana)</t>
  </si>
  <si>
    <t>20260704|NVP|Energy Sip (Straw+Banana)</t>
  </si>
  <si>
    <t>20260704|NVP|Yellow Madness (Pineapple+Mango+Passion)</t>
  </si>
  <si>
    <t>20260704|NVP|Ready to Glow (Straw+Blue+Banana)</t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</si>
  <si>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</si>
  <si>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</si>
  <si>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</si>
  <si>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</si>
  <si>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20260704|NVP|Biscoff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</si>
  <si>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20260704|NVP|Biscoff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</si>
  <si>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</si>
  <si>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</si>
  <si>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</si>
  <si>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</si>
  <si>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</si>
  <si>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</si>
  <si>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20260704|NVP|</t>
    </r>
    <r>
      <rPr>
        <sz val="11"/>
        <color theme="1"/>
        <rFont val="DejaVu Sans"/>
        <family val="2"/>
      </rPr>
      <t>พิสตาชิโอ้ท๊อปปิ้ง</t>
    </r>
  </si>
  <si>
    <t>20260705|NVP|Greek Yogurt 1kg</t>
  </si>
  <si>
    <t>20260705|NVP|Yuzu</t>
  </si>
  <si>
    <t>20260705|NVP|Kyoho</t>
  </si>
  <si>
    <t>20260705|NVP|Mint</t>
  </si>
  <si>
    <t>20260705|NVP|Vanilla</t>
  </si>
  <si>
    <t>20260705|NVP|Pineapple</t>
  </si>
  <si>
    <t>20260705|NVP|Biscoff</t>
  </si>
  <si>
    <t>20260705|NVP|Overnight oats biscoff</t>
  </si>
  <si>
    <r>
      <rPr>
        <sz val="11"/>
        <color theme="1"/>
        <rFont val="Calibri"/>
        <family val="2"/>
        <charset val="1"/>
      </rPr>
      <t>20260705|NVP|Plain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</si>
  <si>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20260705|NVP|Greek Yogurt 500g</t>
  </si>
  <si>
    <t>20260705|NVP|Plain Yogurt 500g</t>
  </si>
  <si>
    <t>20260705|NVP|R-ACAI Bowl</t>
  </si>
  <si>
    <t>20260705|NVP|S-ACAI Cup (mini)</t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</si>
  <si>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</si>
  <si>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20260705|NVP|Granola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</si>
  <si>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20260705|NVP|Softserve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</si>
  <si>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20260705|NVP|Shake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</si>
  <si>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20260705|NVP|Peanut Butter</t>
  </si>
  <si>
    <r>
      <rPr>
        <sz val="11"/>
        <color theme="1"/>
        <rFont val="Calibri"/>
        <family val="2"/>
        <charset val="1"/>
      </rPr>
      <t xml:space="preserve">20260705|NVP|Water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</si>
  <si>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</si>
  <si>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</si>
  <si>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</si>
  <si>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</si>
  <si>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</si>
  <si>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ถุงพีช</t>
    </r>
  </si>
  <si>
    <t>20260705|NVP|Cornflakes Malt (M)</t>
  </si>
  <si>
    <t>20260705|NVP|Granola (M)</t>
  </si>
  <si>
    <t>20260705|NVP|Choc Chip Cookies</t>
  </si>
  <si>
    <t>20260705|NVP|Cookies Crumbs</t>
  </si>
  <si>
    <t>20260705|NVP|Oreo</t>
  </si>
  <si>
    <t>20260705|NVP|Choc Chips</t>
  </si>
  <si>
    <t>20260705|NVP|Cornflakes (Topping)</t>
  </si>
  <si>
    <t>20260705|NVP|Granola (Topping)</t>
  </si>
  <si>
    <t>20260705|NVP|Almond</t>
  </si>
  <si>
    <t>20260705|NVP|Pecan</t>
  </si>
  <si>
    <t>20260705|NVP|Walnut</t>
  </si>
  <si>
    <t>20260705|NVP|Coconut Chips</t>
  </si>
  <si>
    <t>20260705|NVP|Chia Seed</t>
  </si>
  <si>
    <t>20260705|NVP|Flax Seed</t>
  </si>
  <si>
    <t>20260705|NVP|Cacao Nibs</t>
  </si>
  <si>
    <t>20260705|NVP|Grape Jelly</t>
  </si>
  <si>
    <t>20260705|NVP|Honey Jelly</t>
  </si>
  <si>
    <t>20260705|NVP|Strawberry (250g)</t>
  </si>
  <si>
    <t>20260705|NVP|Strawberry (500g)</t>
  </si>
  <si>
    <t>20260705|NVP|Blueberry (125g)</t>
  </si>
  <si>
    <t>20260705|NVP|Blueberry (300g)</t>
  </si>
  <si>
    <t>20260705|NVP|Blueberry (500g)</t>
  </si>
  <si>
    <t>20260705|NVP|Apple Cinnamon</t>
  </si>
  <si>
    <t>20260705|NVP|Banana</t>
  </si>
  <si>
    <t>20260705|NVP|Honey</t>
  </si>
  <si>
    <t>20260705|NVP|Caramel</t>
  </si>
  <si>
    <t>20260705|NVP|Peanut Butter Sauce</t>
  </si>
  <si>
    <t>20260705|NVP|Cup P (5oz)</t>
  </si>
  <si>
    <t>20260705|NVP|Cup S (9oz)</t>
  </si>
  <si>
    <t>20260705|NVP|Small Bowl</t>
  </si>
  <si>
    <t>20260705|NVP|Cup (14oz)</t>
  </si>
  <si>
    <t>20260705|NVP|Cup 3oz (Topping)</t>
  </si>
  <si>
    <t>20260705|NVP|Cup+Lid (Big) 3oz</t>
  </si>
  <si>
    <t>20260705|NVP|Cup+Lid (Small) 1oz</t>
  </si>
  <si>
    <t>20260705|NVP|Bowl Lid</t>
  </si>
  <si>
    <t>20260705|NVP|Smoothies Lid</t>
  </si>
  <si>
    <t>20260705|NVP|Lid S (92)</t>
  </si>
  <si>
    <t>20260705|NVP|Lid Top / Lid P (75)</t>
  </si>
  <si>
    <t>20260705|NVP|Wood Spoon in bag</t>
  </si>
  <si>
    <t>20260705|NVP|Wood Spoon</t>
  </si>
  <si>
    <r>
      <rPr>
        <sz val="11"/>
        <color theme="1"/>
        <rFont val="Calibri"/>
        <family val="2"/>
        <charset val="1"/>
      </rPr>
      <t xml:space="preserve">20260705|NVP|Tester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</si>
  <si>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20260705|NVP|Short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</si>
  <si>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20260705|NVP|Straw/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</si>
  <si>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20260705|NVP|Straw/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</si>
  <si>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20260705|NVP|Fail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</si>
  <si>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</si>
  <si>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</si>
  <si>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</si>
  <si>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</si>
  <si>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</si>
  <si>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</si>
  <si>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</si>
  <si>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20260705|NVP|Zip Bag Small / </t>
    </r>
    <r>
      <rPr>
        <sz val="11"/>
        <color theme="1"/>
        <rFont val="DejaVu Sans"/>
        <family val="2"/>
      </rPr>
      <t>ถุงซิป</t>
    </r>
  </si>
  <si>
    <t>20260705|NVP|Bag 4x14</t>
  </si>
  <si>
    <t>20260705|NVP|Bag 6x14</t>
  </si>
  <si>
    <t>20260705|NVP|Bag 8x14</t>
  </si>
  <si>
    <t>20260705|NVP|Bag 9x14</t>
  </si>
  <si>
    <r>
      <rPr>
        <sz val="11"/>
        <color theme="1"/>
        <rFont val="Calibri"/>
        <family val="2"/>
        <charset val="1"/>
      </rPr>
      <t xml:space="preserve">20260705|NVP|Bag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</si>
  <si>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20260705|NVP|Sticker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</si>
  <si>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20260705|NVP|Print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</si>
  <si>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20260705|NVP|Gloves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</si>
  <si>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20260705|NVP|Black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</si>
  <si>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20260705|NVP|Dry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</si>
  <si>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20260705|NVP|Wet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</si>
  <si>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20260705|NVP|Tissue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</si>
  <si>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</si>
  <si>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</si>
  <si>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</si>
  <si>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</si>
  <si>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น้ำยาล้างเครื่องไอดิม</t>
    </r>
  </si>
  <si>
    <t>20260705|NVP|Wake up call (Banana)</t>
  </si>
  <si>
    <t>20260705|NVP|Energy Sip (Straw+Banana)</t>
  </si>
  <si>
    <t>20260705|NVP|Yellow Madness (Pineapple+Mango+Passion)</t>
  </si>
  <si>
    <t>20260705|NVP|Ready to Glow (Straw+Blue+Banana)</t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</si>
  <si>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</si>
  <si>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</si>
  <si>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</si>
  <si>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</si>
  <si>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20260705|NVP|Biscoff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</si>
  <si>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20260705|NVP|Biscoff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</si>
  <si>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</si>
  <si>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</si>
  <si>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</si>
  <si>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</si>
  <si>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</si>
  <si>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</si>
  <si>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20260705|NVP|</t>
    </r>
    <r>
      <rPr>
        <sz val="11"/>
        <color theme="1"/>
        <rFont val="DejaVu Sans"/>
        <family val="2"/>
      </rPr>
      <t>พิสตาชิโอ้ท๊อปปิ้ง</t>
    </r>
  </si>
  <si>
    <t>20260706|NVP|Greek Yogurt 1kg</t>
  </si>
  <si>
    <t>20260706|NVP|Yuzu</t>
  </si>
  <si>
    <t>20260706|NVP|Kyoho</t>
  </si>
  <si>
    <t>20260706|NVP|Mint</t>
  </si>
  <si>
    <t>20260706|NVP|Vanilla</t>
  </si>
  <si>
    <t>20260706|NVP|Pineapple</t>
  </si>
  <si>
    <t>20260706|NVP|Biscoff</t>
  </si>
  <si>
    <t>20260706|NVP|Overnight oats biscoff</t>
  </si>
  <si>
    <r>
      <rPr>
        <sz val="11"/>
        <color theme="1"/>
        <rFont val="Calibri"/>
        <family val="2"/>
        <charset val="1"/>
      </rPr>
      <t>20260706|NVP|Plain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</si>
  <si>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20260706|NVP|Greek Yogurt 500g</t>
  </si>
  <si>
    <t>20260706|NVP|Plain Yogurt 500g</t>
  </si>
  <si>
    <t>20260706|NVP|R-ACAI Bowl</t>
  </si>
  <si>
    <t>20260706|NVP|S-ACAI Cup (mini)</t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</si>
  <si>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</si>
  <si>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20260706|NVP|Granola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</si>
  <si>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20260706|NVP|Softserve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</si>
  <si>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20260706|NVP|Shake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</si>
  <si>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20260706|NVP|Peanut Butter</t>
  </si>
  <si>
    <r>
      <rPr>
        <sz val="11"/>
        <color theme="1"/>
        <rFont val="Calibri"/>
        <family val="2"/>
        <charset val="1"/>
      </rPr>
      <t xml:space="preserve">20260706|NVP|Water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</si>
  <si>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</si>
  <si>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</si>
  <si>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</si>
  <si>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</si>
  <si>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</si>
  <si>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ถุงพีช</t>
    </r>
  </si>
  <si>
    <t>20260706|NVP|Cornflakes Malt (M)</t>
  </si>
  <si>
    <t>20260706|NVP|Granola (M)</t>
  </si>
  <si>
    <t>20260706|NVP|Choc Chip Cookies</t>
  </si>
  <si>
    <t>20260706|NVP|Cookies Crumbs</t>
  </si>
  <si>
    <t>20260706|NVP|Oreo</t>
  </si>
  <si>
    <t>20260706|NVP|Choc Chips</t>
  </si>
  <si>
    <t>20260706|NVP|Cornflakes (Topping)</t>
  </si>
  <si>
    <t>20260706|NVP|Granola (Topping)</t>
  </si>
  <si>
    <t>20260706|NVP|Almond</t>
  </si>
  <si>
    <t>20260706|NVP|Pecan</t>
  </si>
  <si>
    <t>20260706|NVP|Walnut</t>
  </si>
  <si>
    <t>20260706|NVP|Coconut Chips</t>
  </si>
  <si>
    <t>20260706|NVP|Chia Seed</t>
  </si>
  <si>
    <t>20260706|NVP|Flax Seed</t>
  </si>
  <si>
    <t>20260706|NVP|Cacao Nibs</t>
  </si>
  <si>
    <t>20260706|NVP|Grape Jelly</t>
  </si>
  <si>
    <t>20260706|NVP|Honey Jelly</t>
  </si>
  <si>
    <t>20260706|NVP|Strawberry (250g)</t>
  </si>
  <si>
    <t>20260706|NVP|Strawberry (500g)</t>
  </si>
  <si>
    <t>20260706|NVP|Blueberry (125g)</t>
  </si>
  <si>
    <t>20260706|NVP|Blueberry (300g)</t>
  </si>
  <si>
    <t>20260706|NVP|Blueberry (500g)</t>
  </si>
  <si>
    <t>20260706|NVP|Apple Cinnamon</t>
  </si>
  <si>
    <t>20260706|NVP|Banana</t>
  </si>
  <si>
    <t>20260706|NVP|Honey</t>
  </si>
  <si>
    <t>20260706|NVP|Caramel</t>
  </si>
  <si>
    <t>20260706|NVP|Peanut Butter Sauce</t>
  </si>
  <si>
    <t>20260706|NVP|Cup P (5oz)</t>
  </si>
  <si>
    <t>20260706|NVP|Cup S (9oz)</t>
  </si>
  <si>
    <t>20260706|NVP|Small Bowl</t>
  </si>
  <si>
    <t>20260706|NVP|Cup (14oz)</t>
  </si>
  <si>
    <t>20260706|NVP|Cup 3oz (Topping)</t>
  </si>
  <si>
    <t>20260706|NVP|Cup+Lid (Big) 3oz</t>
  </si>
  <si>
    <t>20260706|NVP|Cup+Lid (Small) 1oz</t>
  </si>
  <si>
    <t>20260706|NVP|Bowl Lid</t>
  </si>
  <si>
    <t>20260706|NVP|Smoothies Lid</t>
  </si>
  <si>
    <t>20260706|NVP|Lid S (92)</t>
  </si>
  <si>
    <t>20260706|NVP|Lid Top / Lid P (75)</t>
  </si>
  <si>
    <t>20260706|NVP|Wood Spoon in bag</t>
  </si>
  <si>
    <t>20260706|NVP|Wood Spoon</t>
  </si>
  <si>
    <r>
      <rPr>
        <sz val="11"/>
        <color theme="1"/>
        <rFont val="Calibri"/>
        <family val="2"/>
        <charset val="1"/>
      </rPr>
      <t xml:space="preserve">20260706|NVP|Tester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</si>
  <si>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20260706|NVP|Short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</si>
  <si>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20260706|NVP|Straw/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</si>
  <si>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20260706|NVP|Straw/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</si>
  <si>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20260706|NVP|Fail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</si>
  <si>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</si>
  <si>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</si>
  <si>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</si>
  <si>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</si>
  <si>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</si>
  <si>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</si>
  <si>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</si>
  <si>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20260706|NVP|Zip Bag Small / </t>
    </r>
    <r>
      <rPr>
        <sz val="11"/>
        <color theme="1"/>
        <rFont val="DejaVu Sans"/>
        <family val="2"/>
      </rPr>
      <t>ถุงซิป</t>
    </r>
  </si>
  <si>
    <t>20260706|NVP|Bag 4x14</t>
  </si>
  <si>
    <t>20260706|NVP|Bag 6x14</t>
  </si>
  <si>
    <t>20260706|NVP|Bag 8x14</t>
  </si>
  <si>
    <t>20260706|NVP|Bag 9x14</t>
  </si>
  <si>
    <r>
      <rPr>
        <sz val="11"/>
        <color theme="1"/>
        <rFont val="Calibri"/>
        <family val="2"/>
        <charset val="1"/>
      </rPr>
      <t xml:space="preserve">20260706|NVP|Bag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</si>
  <si>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20260706|NVP|Sticker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</si>
  <si>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20260706|NVP|Print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</si>
  <si>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20260706|NVP|Gloves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</si>
  <si>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20260706|NVP|Black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</si>
  <si>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20260706|NVP|Dry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</si>
  <si>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20260706|NVP|Wet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</si>
  <si>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20260706|NVP|Tissue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</si>
  <si>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</si>
  <si>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</si>
  <si>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</si>
  <si>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</si>
  <si>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น้ำยาล้างเครื่องไอดิม</t>
    </r>
  </si>
  <si>
    <t>20260706|NVP|Wake up call (Banana)</t>
  </si>
  <si>
    <t>20260706|NVP|Energy Sip (Straw+Banana)</t>
  </si>
  <si>
    <t>20260706|NVP|Yellow Madness (Pineapple+Mango+Passion)</t>
  </si>
  <si>
    <t>20260706|NVP|Ready to Glow (Straw+Blue+Banana)</t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</si>
  <si>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</si>
  <si>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</si>
  <si>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</si>
  <si>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</si>
  <si>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20260706|NVP|Biscoff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</si>
  <si>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20260706|NVP|Biscoff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</si>
  <si>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</si>
  <si>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</si>
  <si>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</si>
  <si>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</si>
  <si>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</si>
  <si>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</si>
  <si>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20260706|NVP|</t>
    </r>
    <r>
      <rPr>
        <sz val="11"/>
        <color theme="1"/>
        <rFont val="DejaVu Sans"/>
        <family val="2"/>
      </rPr>
      <t>พิสตาชิโอ้ท๊อปปิ้ง</t>
    </r>
  </si>
  <si>
    <t>20260707|NVP|Greek Yogurt 1kg</t>
  </si>
  <si>
    <t>20260707|NVP|Yuzu</t>
  </si>
  <si>
    <t>20260707|NVP|Kyoho</t>
  </si>
  <si>
    <t>20260707|NVP|Mint</t>
  </si>
  <si>
    <t>20260707|NVP|Vanilla</t>
  </si>
  <si>
    <t>20260707|NVP|Pineapple</t>
  </si>
  <si>
    <t>20260707|NVP|Biscoff</t>
  </si>
  <si>
    <t>20260707|NVP|Overnight oats biscoff</t>
  </si>
  <si>
    <r>
      <rPr>
        <sz val="11"/>
        <color theme="1"/>
        <rFont val="Calibri"/>
        <family val="2"/>
        <charset val="1"/>
      </rPr>
      <t>20260707|NVP|Plain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</si>
  <si>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20260707|NVP|Greek Yogurt 500g</t>
  </si>
  <si>
    <t>20260707|NVP|Plain Yogurt 500g</t>
  </si>
  <si>
    <t>20260707|NVP|R-ACAI Bowl</t>
  </si>
  <si>
    <t>20260707|NVP|S-ACAI Cup (mini)</t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</si>
  <si>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</si>
  <si>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20260707|NVP|Granola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</si>
  <si>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20260707|NVP|Softserve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</si>
  <si>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20260707|NVP|Shake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</si>
  <si>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20260707|NVP|Peanut Butter</t>
  </si>
  <si>
    <r>
      <rPr>
        <sz val="11"/>
        <color theme="1"/>
        <rFont val="Calibri"/>
        <family val="2"/>
        <charset val="1"/>
      </rPr>
      <t xml:space="preserve">20260707|NVP|Water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</si>
  <si>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</si>
  <si>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</si>
  <si>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</si>
  <si>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</si>
  <si>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</si>
  <si>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ถุงพีช</t>
    </r>
  </si>
  <si>
    <t>20260707|NVP|Cornflakes Malt (M)</t>
  </si>
  <si>
    <t>20260707|NVP|Granola (M)</t>
  </si>
  <si>
    <t>20260707|NVP|Choc Chip Cookies</t>
  </si>
  <si>
    <t>20260707|NVP|Cookies Crumbs</t>
  </si>
  <si>
    <t>20260707|NVP|Oreo</t>
  </si>
  <si>
    <t>20260707|NVP|Choc Chips</t>
  </si>
  <si>
    <t>20260707|NVP|Cornflakes (Topping)</t>
  </si>
  <si>
    <t>20260707|NVP|Granola (Topping)</t>
  </si>
  <si>
    <t>20260707|NVP|Almond</t>
  </si>
  <si>
    <t>20260707|NVP|Pecan</t>
  </si>
  <si>
    <t>20260707|NVP|Walnut</t>
  </si>
  <si>
    <t>20260707|NVP|Coconut Chips</t>
  </si>
  <si>
    <t>20260707|NVP|Chia Seed</t>
  </si>
  <si>
    <t>20260707|NVP|Flax Seed</t>
  </si>
  <si>
    <t>20260707|NVP|Cacao Nibs</t>
  </si>
  <si>
    <t>20260707|NVP|Grape Jelly</t>
  </si>
  <si>
    <t>20260707|NVP|Honey Jelly</t>
  </si>
  <si>
    <t>20260707|NVP|Strawberry (250g)</t>
  </si>
  <si>
    <t>20260707|NVP|Strawberry (500g)</t>
  </si>
  <si>
    <t>20260707|NVP|Blueberry (125g)</t>
  </si>
  <si>
    <t>20260707|NVP|Blueberry (300g)</t>
  </si>
  <si>
    <t>20260707|NVP|Blueberry (500g)</t>
  </si>
  <si>
    <t>20260707|NVP|Apple Cinnamon</t>
  </si>
  <si>
    <t>20260707|NVP|Banana</t>
  </si>
  <si>
    <t>20260707|NVP|Honey</t>
  </si>
  <si>
    <t>20260707|NVP|Caramel</t>
  </si>
  <si>
    <t>20260707|NVP|Peanut Butter Sauce</t>
  </si>
  <si>
    <t>20260707|NVP|Cup P (5oz)</t>
  </si>
  <si>
    <t>20260707|NVP|Cup S (9oz)</t>
  </si>
  <si>
    <t>20260707|NVP|Small Bowl</t>
  </si>
  <si>
    <t>20260707|NVP|Cup (14oz)</t>
  </si>
  <si>
    <t>20260707|NVP|Cup 3oz (Topping)</t>
  </si>
  <si>
    <t>20260707|NVP|Cup+Lid (Big) 3oz</t>
  </si>
  <si>
    <t>20260707|NVP|Cup+Lid (Small) 1oz</t>
  </si>
  <si>
    <t>20260707|NVP|Bowl Lid</t>
  </si>
  <si>
    <t>20260707|NVP|Smoothies Lid</t>
  </si>
  <si>
    <t>20260707|NVP|Lid S (92)</t>
  </si>
  <si>
    <t>20260707|NVP|Lid Top / Lid P (75)</t>
  </si>
  <si>
    <t>20260707|NVP|Wood Spoon in bag</t>
  </si>
  <si>
    <t>20260707|NVP|Wood Spoon</t>
  </si>
  <si>
    <r>
      <rPr>
        <sz val="11"/>
        <color theme="1"/>
        <rFont val="Calibri"/>
        <family val="2"/>
        <charset val="1"/>
      </rPr>
      <t xml:space="preserve">20260707|NVP|Tester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</si>
  <si>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20260707|NVP|Short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</si>
  <si>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20260707|NVP|Straw/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</si>
  <si>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20260707|NVP|Straw/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</si>
  <si>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20260707|NVP|Fail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</si>
  <si>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</si>
  <si>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</si>
  <si>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</si>
  <si>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</si>
  <si>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</si>
  <si>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</si>
  <si>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</si>
  <si>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20260707|NVP|Zip Bag Small / </t>
    </r>
    <r>
      <rPr>
        <sz val="11"/>
        <color theme="1"/>
        <rFont val="DejaVu Sans"/>
        <family val="2"/>
      </rPr>
      <t>ถุงซิป</t>
    </r>
  </si>
  <si>
    <t>20260707|NVP|Bag 4x14</t>
  </si>
  <si>
    <t>20260707|NVP|Bag 6x14</t>
  </si>
  <si>
    <t>20260707|NVP|Bag 8x14</t>
  </si>
  <si>
    <t>20260707|NVP|Bag 9x14</t>
  </si>
  <si>
    <r>
      <rPr>
        <sz val="11"/>
        <color theme="1"/>
        <rFont val="Calibri"/>
        <family val="2"/>
        <charset val="1"/>
      </rPr>
      <t xml:space="preserve">20260707|NVP|Bag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</si>
  <si>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20260707|NVP|Sticker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</si>
  <si>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20260707|NVP|Print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</si>
  <si>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20260707|NVP|Gloves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</si>
  <si>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20260707|NVP|Black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</si>
  <si>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20260707|NVP|Dry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</si>
  <si>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20260707|NVP|Wet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</si>
  <si>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20260707|NVP|Tissue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</si>
  <si>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</si>
  <si>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</si>
  <si>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</si>
  <si>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</si>
  <si>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น้ำยาล้างเครื่องไอดิม</t>
    </r>
  </si>
  <si>
    <t>20260707|NVP|Wake up call (Banana)</t>
  </si>
  <si>
    <t>20260707|NVP|Energy Sip (Straw+Banana)</t>
  </si>
  <si>
    <t>20260707|NVP|Yellow Madness (Pineapple+Mango+Passion)</t>
  </si>
  <si>
    <t>20260707|NVP|Ready to Glow (Straw+Blue+Banana)</t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</si>
  <si>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</si>
  <si>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</si>
  <si>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</si>
  <si>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</si>
  <si>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20260707|NVP|Biscoff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</si>
  <si>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20260707|NVP|Biscoff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</si>
  <si>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</si>
  <si>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</si>
  <si>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</si>
  <si>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</si>
  <si>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</si>
  <si>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</si>
  <si>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20260707|NVP|</t>
    </r>
    <r>
      <rPr>
        <sz val="11"/>
        <color theme="1"/>
        <rFont val="DejaVu Sans"/>
        <family val="2"/>
      </rPr>
      <t>พิสตาชิโอ้ท๊อปปิ้ง</t>
    </r>
  </si>
  <si>
    <t>20260708|NVP|Greek Yogurt 1kg</t>
  </si>
  <si>
    <t>20260708|NVP|Yuzu</t>
  </si>
  <si>
    <t>20260708|NVP|Kyoho</t>
  </si>
  <si>
    <t>20260708|NVP|Mint</t>
  </si>
  <si>
    <t>20260708|NVP|Vanilla</t>
  </si>
  <si>
    <t>20260708|NVP|Pineapple</t>
  </si>
  <si>
    <t>20260708|NVP|Biscoff</t>
  </si>
  <si>
    <t>20260708|NVP|Overnight oats biscoff</t>
  </si>
  <si>
    <r>
      <rPr>
        <sz val="11"/>
        <color theme="1"/>
        <rFont val="Calibri"/>
        <family val="2"/>
        <charset val="1"/>
      </rPr>
      <t>20260708|NVP|Plain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</si>
  <si>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20260708|NVP|Greek Yogurt 500g</t>
  </si>
  <si>
    <t>20260708|NVP|Plain Yogurt 500g</t>
  </si>
  <si>
    <t>20260708|NVP|R-ACAI Bowl</t>
  </si>
  <si>
    <t>20260708|NVP|S-ACAI Cup (mini)</t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</si>
  <si>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</si>
  <si>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20260708|NVP|Granola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</si>
  <si>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20260708|NVP|Softserve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</si>
  <si>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20260708|NVP|Shake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</si>
  <si>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20260708|NVP|Peanut Butter</t>
  </si>
  <si>
    <r>
      <rPr>
        <sz val="11"/>
        <color theme="1"/>
        <rFont val="Calibri"/>
        <family val="2"/>
        <charset val="1"/>
      </rPr>
      <t xml:space="preserve">20260708|NVP|Water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</si>
  <si>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</si>
  <si>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</si>
  <si>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</si>
  <si>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</si>
  <si>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</si>
  <si>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ถุงพีช</t>
    </r>
  </si>
  <si>
    <t>20260708|NVP|Cornflakes Malt (M)</t>
  </si>
  <si>
    <t>20260708|NVP|Granola (M)</t>
  </si>
  <si>
    <t>20260708|NVP|Choc Chip Cookies</t>
  </si>
  <si>
    <t>20260708|NVP|Cookies Crumbs</t>
  </si>
  <si>
    <t>20260708|NVP|Oreo</t>
  </si>
  <si>
    <t>20260708|NVP|Choc Chips</t>
  </si>
  <si>
    <t>20260708|NVP|Cornflakes (Topping)</t>
  </si>
  <si>
    <t>20260708|NVP|Granola (Topping)</t>
  </si>
  <si>
    <t>20260708|NVP|Almond</t>
  </si>
  <si>
    <t>20260708|NVP|Pecan</t>
  </si>
  <si>
    <t>20260708|NVP|Walnut</t>
  </si>
  <si>
    <t>20260708|NVP|Coconut Chips</t>
  </si>
  <si>
    <t>20260708|NVP|Chia Seed</t>
  </si>
  <si>
    <t>20260708|NVP|Flax Seed</t>
  </si>
  <si>
    <t>20260708|NVP|Cacao Nibs</t>
  </si>
  <si>
    <t>20260708|NVP|Grape Jelly</t>
  </si>
  <si>
    <t>20260708|NVP|Honey Jelly</t>
  </si>
  <si>
    <t>20260708|NVP|Strawberry (250g)</t>
  </si>
  <si>
    <t>20260708|NVP|Strawberry (500g)</t>
  </si>
  <si>
    <t>20260708|NVP|Blueberry (125g)</t>
  </si>
  <si>
    <t>20260708|NVP|Blueberry (300g)</t>
  </si>
  <si>
    <t>20260708|NVP|Blueberry (500g)</t>
  </si>
  <si>
    <t>20260708|NVP|Apple Cinnamon</t>
  </si>
  <si>
    <t>20260708|NVP|Banana</t>
  </si>
  <si>
    <t>20260708|NVP|Honey</t>
  </si>
  <si>
    <t>20260708|NVP|Caramel</t>
  </si>
  <si>
    <t>20260708|NVP|Peanut Butter Sauce</t>
  </si>
  <si>
    <t>20260708|NVP|Cup P (5oz)</t>
  </si>
  <si>
    <t>20260708|NVP|Cup S (9oz)</t>
  </si>
  <si>
    <t>20260708|NVP|Small Bowl</t>
  </si>
  <si>
    <t>20260708|NVP|Cup (14oz)</t>
  </si>
  <si>
    <t>20260708|NVP|Cup 3oz (Topping)</t>
  </si>
  <si>
    <t>20260708|NVP|Cup+Lid (Big) 3oz</t>
  </si>
  <si>
    <t>20260708|NVP|Cup+Lid (Small) 1oz</t>
  </si>
  <si>
    <t>20260708|NVP|Bowl Lid</t>
  </si>
  <si>
    <t>20260708|NVP|Smoothies Lid</t>
  </si>
  <si>
    <t>20260708|NVP|Lid S (92)</t>
  </si>
  <si>
    <t>20260708|NVP|Lid Top / Lid P (75)</t>
  </si>
  <si>
    <t>20260708|NVP|Wood Spoon in bag</t>
  </si>
  <si>
    <t>20260708|NVP|Wood Spoon</t>
  </si>
  <si>
    <r>
      <rPr>
        <sz val="11"/>
        <color theme="1"/>
        <rFont val="Calibri"/>
        <family val="2"/>
        <charset val="1"/>
      </rPr>
      <t xml:space="preserve">20260708|NVP|Tester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</si>
  <si>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20260708|NVP|Short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</si>
  <si>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20260708|NVP|Straw/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</si>
  <si>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20260708|NVP|Straw/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</si>
  <si>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20260708|NVP|Fail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</si>
  <si>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</si>
  <si>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</si>
  <si>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</si>
  <si>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</si>
  <si>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</si>
  <si>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</si>
  <si>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</si>
  <si>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20260708|NVP|Zip Bag Small / </t>
    </r>
    <r>
      <rPr>
        <sz val="11"/>
        <color theme="1"/>
        <rFont val="DejaVu Sans"/>
        <family val="2"/>
      </rPr>
      <t>ถุงซิป</t>
    </r>
  </si>
  <si>
    <t>20260708|NVP|Bag 4x14</t>
  </si>
  <si>
    <t>20260708|NVP|Bag 6x14</t>
  </si>
  <si>
    <t>20260708|NVP|Bag 8x14</t>
  </si>
  <si>
    <t>20260708|NVP|Bag 9x14</t>
  </si>
  <si>
    <r>
      <rPr>
        <sz val="11"/>
        <color theme="1"/>
        <rFont val="Calibri"/>
        <family val="2"/>
        <charset val="1"/>
      </rPr>
      <t xml:space="preserve">20260708|NVP|Bag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</si>
  <si>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20260708|NVP|Sticker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</si>
  <si>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20260708|NVP|Print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</si>
  <si>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20260708|NVP|Gloves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</si>
  <si>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20260708|NVP|Black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</si>
  <si>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20260708|NVP|Dry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</si>
  <si>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20260708|NVP|Wet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</si>
  <si>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20260708|NVP|Tissue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</si>
  <si>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</si>
  <si>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</si>
  <si>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</si>
  <si>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</si>
  <si>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น้ำยาล้างเครื่องไอดิม</t>
    </r>
  </si>
  <si>
    <t>20260708|NVP|Wake up call (Banana)</t>
  </si>
  <si>
    <t>20260708|NVP|Energy Sip (Straw+Banana)</t>
  </si>
  <si>
    <t>20260708|NVP|Yellow Madness (Pineapple+Mango+Passion)</t>
  </si>
  <si>
    <t>20260708|NVP|Ready to Glow (Straw+Blue+Banana)</t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</si>
  <si>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</si>
  <si>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</si>
  <si>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</si>
  <si>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</si>
  <si>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20260708|NVP|Biscoff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</si>
  <si>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20260708|NVP|Biscoff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</si>
  <si>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</si>
  <si>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</si>
  <si>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</si>
  <si>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</si>
  <si>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</si>
  <si>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</si>
  <si>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20260708|NVP|</t>
    </r>
    <r>
      <rPr>
        <sz val="11"/>
        <color theme="1"/>
        <rFont val="DejaVu Sans"/>
        <family val="2"/>
      </rPr>
      <t>พิสตาชิโอ้ท๊อปปิ้ง</t>
    </r>
  </si>
  <si>
    <t>20260709|NVP|Greek Yogurt 1kg</t>
  </si>
  <si>
    <t>20260709|NVP|Yuzu</t>
  </si>
  <si>
    <t>20260709|NVP|Kyoho</t>
  </si>
  <si>
    <t>20260709|NVP|Mint</t>
  </si>
  <si>
    <t>20260709|NVP|Vanilla</t>
  </si>
  <si>
    <t>20260709|NVP|Pineapple</t>
  </si>
  <si>
    <t>20260709|NVP|Biscoff</t>
  </si>
  <si>
    <t>20260709|NVP|Overnight oats biscoff</t>
  </si>
  <si>
    <r>
      <rPr>
        <sz val="11"/>
        <color theme="1"/>
        <rFont val="Calibri"/>
        <family val="2"/>
        <charset val="1"/>
      </rPr>
      <t>20260709|NVP|Plain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</si>
  <si>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20260709|NVP|Greek Yogurt 500g</t>
  </si>
  <si>
    <t>20260709|NVP|Plain Yogurt 500g</t>
  </si>
  <si>
    <t>20260709|NVP|R-ACAI Bowl</t>
  </si>
  <si>
    <t>20260709|NVP|S-ACAI Cup (mini)</t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</si>
  <si>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</si>
  <si>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20260709|NVP|Granola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</si>
  <si>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20260709|NVP|Softserve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</si>
  <si>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20260709|NVP|Shake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</si>
  <si>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20260709|NVP|Peanut Butter</t>
  </si>
  <si>
    <r>
      <rPr>
        <sz val="11"/>
        <color theme="1"/>
        <rFont val="Calibri"/>
        <family val="2"/>
        <charset val="1"/>
      </rPr>
      <t xml:space="preserve">20260709|NVP|Water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</si>
  <si>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</si>
  <si>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</si>
  <si>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</si>
  <si>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</si>
  <si>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</si>
  <si>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ถุงพีช</t>
    </r>
  </si>
  <si>
    <t>20260709|NVP|Cornflakes Malt (M)</t>
  </si>
  <si>
    <t>20260709|NVP|Granola (M)</t>
  </si>
  <si>
    <t>20260709|NVP|Choc Chip Cookies</t>
  </si>
  <si>
    <t>20260709|NVP|Cookies Crumbs</t>
  </si>
  <si>
    <t>20260709|NVP|Oreo</t>
  </si>
  <si>
    <t>20260709|NVP|Choc Chips</t>
  </si>
  <si>
    <t>20260709|NVP|Cornflakes (Topping)</t>
  </si>
  <si>
    <t>20260709|NVP|Granola (Topping)</t>
  </si>
  <si>
    <t>20260709|NVP|Almond</t>
  </si>
  <si>
    <t>20260709|NVP|Pecan</t>
  </si>
  <si>
    <t>20260709|NVP|Walnut</t>
  </si>
  <si>
    <t>20260709|NVP|Coconut Chips</t>
  </si>
  <si>
    <t>20260709|NVP|Chia Seed</t>
  </si>
  <si>
    <t>20260709|NVP|Flax Seed</t>
  </si>
  <si>
    <t>20260709|NVP|Cacao Nibs</t>
  </si>
  <si>
    <t>20260709|NVP|Grape Jelly</t>
  </si>
  <si>
    <t>20260709|NVP|Honey Jelly</t>
  </si>
  <si>
    <t>20260709|NVP|Strawberry (250g)</t>
  </si>
  <si>
    <t>20260709|NVP|Strawberry (500g)</t>
  </si>
  <si>
    <t>20260709|NVP|Blueberry (125g)</t>
  </si>
  <si>
    <t>20260709|NVP|Blueberry (300g)</t>
  </si>
  <si>
    <t>20260709|NVP|Blueberry (500g)</t>
  </si>
  <si>
    <t>20260709|NVP|Apple Cinnamon</t>
  </si>
  <si>
    <t>20260709|NVP|Banana</t>
  </si>
  <si>
    <t>20260709|NVP|Honey</t>
  </si>
  <si>
    <t>20260709|NVP|Caramel</t>
  </si>
  <si>
    <t>20260709|NVP|Peanut Butter Sauce</t>
  </si>
  <si>
    <t>20260709|NVP|Cup P (5oz)</t>
  </si>
  <si>
    <t>20260709|NVP|Cup S (9oz)</t>
  </si>
  <si>
    <t>20260709|NVP|Small Bowl</t>
  </si>
  <si>
    <t>20260709|NVP|Cup (14oz)</t>
  </si>
  <si>
    <t>20260709|NVP|Cup 3oz (Topping)</t>
  </si>
  <si>
    <t>20260709|NVP|Cup+Lid (Big) 3oz</t>
  </si>
  <si>
    <t>20260709|NVP|Cup+Lid (Small) 1oz</t>
  </si>
  <si>
    <t>20260709|NVP|Bowl Lid</t>
  </si>
  <si>
    <t>20260709|NVP|Smoothies Lid</t>
  </si>
  <si>
    <t>20260709|NVP|Lid S (92)</t>
  </si>
  <si>
    <t>20260709|NVP|Lid Top / Lid P (75)</t>
  </si>
  <si>
    <t>20260709|NVP|Wood Spoon in bag</t>
  </si>
  <si>
    <t>20260709|NVP|Wood Spoon</t>
  </si>
  <si>
    <r>
      <rPr>
        <sz val="11"/>
        <color theme="1"/>
        <rFont val="Calibri"/>
        <family val="2"/>
        <charset val="1"/>
      </rPr>
      <t xml:space="preserve">20260709|NVP|Tester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</si>
  <si>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20260709|NVP|Short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</si>
  <si>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20260709|NVP|Straw/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</si>
  <si>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20260709|NVP|Straw/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</si>
  <si>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20260709|NVP|Fail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</si>
  <si>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</si>
  <si>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</si>
  <si>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</si>
  <si>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</si>
  <si>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</si>
  <si>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</si>
  <si>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</si>
  <si>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20260709|NVP|Zip Bag Small / </t>
    </r>
    <r>
      <rPr>
        <sz val="11"/>
        <color theme="1"/>
        <rFont val="DejaVu Sans"/>
        <family val="2"/>
      </rPr>
      <t>ถุงซิป</t>
    </r>
  </si>
  <si>
    <t>20260709|NVP|Bag 4x14</t>
  </si>
  <si>
    <t>20260709|NVP|Bag 6x14</t>
  </si>
  <si>
    <t>20260709|NVP|Bag 8x14</t>
  </si>
  <si>
    <t>20260709|NVP|Bag 9x14</t>
  </si>
  <si>
    <r>
      <rPr>
        <sz val="11"/>
        <color theme="1"/>
        <rFont val="Calibri"/>
        <family val="2"/>
        <charset val="1"/>
      </rPr>
      <t xml:space="preserve">20260709|NVP|Bag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</si>
  <si>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20260709|NVP|Sticker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</si>
  <si>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20260709|NVP|Print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</si>
  <si>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20260709|NVP|Gloves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</si>
  <si>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20260709|NVP|Black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</si>
  <si>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20260709|NVP|Dry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</si>
  <si>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20260709|NVP|Wet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</si>
  <si>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20260709|NVP|Tissue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</si>
  <si>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</si>
  <si>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</si>
  <si>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</si>
  <si>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</si>
  <si>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น้ำยาล้างเครื่องไอดิม</t>
    </r>
  </si>
  <si>
    <t>20260709|NVP|Wake up call (Banana)</t>
  </si>
  <si>
    <t>20260709|NVP|Energy Sip (Straw+Banana)</t>
  </si>
  <si>
    <t>20260709|NVP|Yellow Madness (Pineapple+Mango+Passion)</t>
  </si>
  <si>
    <t>20260709|NVP|Ready to Glow (Straw+Blue+Banana)</t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</si>
  <si>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</si>
  <si>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</si>
  <si>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</si>
  <si>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</si>
  <si>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20260709|NVP|Biscoff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</si>
  <si>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20260709|NVP|Biscoff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</si>
  <si>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</si>
  <si>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</si>
  <si>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</si>
  <si>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</si>
  <si>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</si>
  <si>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</si>
  <si>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20260709|NVP|</t>
    </r>
    <r>
      <rPr>
        <sz val="11"/>
        <color theme="1"/>
        <rFont val="DejaVu Sans"/>
        <family val="2"/>
      </rPr>
      <t>พิสตาชิโอ้ท๊อปปิ้ง</t>
    </r>
  </si>
  <si>
    <t>20260710|NVP|Greek Yogurt 1kg</t>
  </si>
  <si>
    <t>20260710|NVP|Yuzu</t>
  </si>
  <si>
    <t>20260710|NVP|Kyoho</t>
  </si>
  <si>
    <t>20260710|NVP|Mint</t>
  </si>
  <si>
    <t>20260710|NVP|Vanilla</t>
  </si>
  <si>
    <t>20260710|NVP|Pineapple</t>
  </si>
  <si>
    <t>20260710|NVP|Biscoff</t>
  </si>
  <si>
    <t>20260710|NVP|Overnight oats biscoff</t>
  </si>
  <si>
    <r>
      <rPr>
        <sz val="11"/>
        <color theme="1"/>
        <rFont val="Calibri"/>
        <family val="2"/>
        <charset val="1"/>
      </rPr>
      <t>20260710|NVP|Plain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</si>
  <si>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20260710|NVP|Greek Yogurt 500g</t>
  </si>
  <si>
    <t>20260710|NVP|Plain Yogurt 500g</t>
  </si>
  <si>
    <t>20260710|NVP|R-ACAI Bowl</t>
  </si>
  <si>
    <t>20260710|NVP|S-ACAI Cup (mini)</t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</si>
  <si>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</si>
  <si>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20260710|NVP|Granola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</si>
  <si>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20260710|NVP|Softserve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</si>
  <si>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20260710|NVP|Shake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</si>
  <si>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20260710|NVP|Peanut Butter</t>
  </si>
  <si>
    <r>
      <rPr>
        <sz val="11"/>
        <color theme="1"/>
        <rFont val="Calibri"/>
        <family val="2"/>
        <charset val="1"/>
      </rPr>
      <t xml:space="preserve">20260710|NVP|Water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</si>
  <si>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</si>
  <si>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</si>
  <si>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</si>
  <si>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</si>
  <si>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</si>
  <si>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ถุงพีช</t>
    </r>
  </si>
  <si>
    <t>20260710|NVP|Cornflakes Malt (M)</t>
  </si>
  <si>
    <t>20260710|NVP|Granola (M)</t>
  </si>
  <si>
    <t>20260710|NVP|Choc Chip Cookies</t>
  </si>
  <si>
    <t>20260710|NVP|Cookies Crumbs</t>
  </si>
  <si>
    <t>20260710|NVP|Oreo</t>
  </si>
  <si>
    <t>20260710|NVP|Choc Chips</t>
  </si>
  <si>
    <t>20260710|NVP|Cornflakes (Topping)</t>
  </si>
  <si>
    <t>20260710|NVP|Granola (Topping)</t>
  </si>
  <si>
    <t>20260710|NVP|Almond</t>
  </si>
  <si>
    <t>20260710|NVP|Pecan</t>
  </si>
  <si>
    <t>20260710|NVP|Walnut</t>
  </si>
  <si>
    <t>20260710|NVP|Coconut Chips</t>
  </si>
  <si>
    <t>20260710|NVP|Chia Seed</t>
  </si>
  <si>
    <t>20260710|NVP|Flax Seed</t>
  </si>
  <si>
    <t>20260710|NVP|Cacao Nibs</t>
  </si>
  <si>
    <t>20260710|NVP|Grape Jelly</t>
  </si>
  <si>
    <t>20260710|NVP|Honey Jelly</t>
  </si>
  <si>
    <t>20260710|NVP|Strawberry (250g)</t>
  </si>
  <si>
    <t>20260710|NVP|Strawberry (500g)</t>
  </si>
  <si>
    <t>20260710|NVP|Blueberry (125g)</t>
  </si>
  <si>
    <t>20260710|NVP|Blueberry (300g)</t>
  </si>
  <si>
    <t>20260710|NVP|Blueberry (500g)</t>
  </si>
  <si>
    <t>20260710|NVP|Apple Cinnamon</t>
  </si>
  <si>
    <t>20260710|NVP|Banana</t>
  </si>
  <si>
    <t>20260710|NVP|Honey</t>
  </si>
  <si>
    <t>20260710|NVP|Caramel</t>
  </si>
  <si>
    <t>20260710|NVP|Peanut Butter Sauce</t>
  </si>
  <si>
    <t>20260710|NVP|Cup P (5oz)</t>
  </si>
  <si>
    <t>20260710|NVP|Cup S (9oz)</t>
  </si>
  <si>
    <t>20260710|NVP|Small Bowl</t>
  </si>
  <si>
    <t>20260710|NVP|Cup (14oz)</t>
  </si>
  <si>
    <t>20260710|NVP|Cup 3oz (Topping)</t>
  </si>
  <si>
    <t>20260710|NVP|Cup+Lid (Big) 3oz</t>
  </si>
  <si>
    <t>20260710|NVP|Cup+Lid (Small) 1oz</t>
  </si>
  <si>
    <t>20260710|NVP|Bowl Lid</t>
  </si>
  <si>
    <t>20260710|NVP|Smoothies Lid</t>
  </si>
  <si>
    <t>20260710|NVP|Lid S (92)</t>
  </si>
  <si>
    <t>20260710|NVP|Lid Top / Lid P (75)</t>
  </si>
  <si>
    <t>20260710|NVP|Wood Spoon in bag</t>
  </si>
  <si>
    <t>20260710|NVP|Wood Spoon</t>
  </si>
  <si>
    <r>
      <rPr>
        <sz val="11"/>
        <color theme="1"/>
        <rFont val="Calibri"/>
        <family val="2"/>
        <charset val="1"/>
      </rPr>
      <t xml:space="preserve">20260710|NVP|Tester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</si>
  <si>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20260710|NVP|Short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</si>
  <si>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20260710|NVP|Straw/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</si>
  <si>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20260710|NVP|Straw/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</si>
  <si>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20260710|NVP|Fail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</si>
  <si>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</si>
  <si>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</si>
  <si>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</si>
  <si>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</si>
  <si>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</si>
  <si>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</si>
  <si>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</si>
  <si>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20260710|NVP|Zip Bag Small / </t>
    </r>
    <r>
      <rPr>
        <sz val="11"/>
        <color theme="1"/>
        <rFont val="DejaVu Sans"/>
        <family val="2"/>
      </rPr>
      <t>ถุงซิป</t>
    </r>
  </si>
  <si>
    <t>20260710|NVP|Bag 4x14</t>
  </si>
  <si>
    <t>20260710|NVP|Bag 6x14</t>
  </si>
  <si>
    <t>20260710|NVP|Bag 8x14</t>
  </si>
  <si>
    <t>20260710|NVP|Bag 9x14</t>
  </si>
  <si>
    <r>
      <rPr>
        <sz val="11"/>
        <color theme="1"/>
        <rFont val="Calibri"/>
        <family val="2"/>
        <charset val="1"/>
      </rPr>
      <t xml:space="preserve">20260710|NVP|Bag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</si>
  <si>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20260710|NVP|Sticker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</si>
  <si>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20260710|NVP|Print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</si>
  <si>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20260710|NVP|Gloves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</si>
  <si>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20260710|NVP|Black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</si>
  <si>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20260710|NVP|Dry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</si>
  <si>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20260710|NVP|Wet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</si>
  <si>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20260710|NVP|Tissue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</si>
  <si>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</si>
  <si>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</si>
  <si>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</si>
  <si>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</si>
  <si>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น้ำยาล้างเครื่องไอดิม</t>
    </r>
  </si>
  <si>
    <t>20260710|NVP|Wake up call (Banana)</t>
  </si>
  <si>
    <t>20260710|NVP|Energy Sip (Straw+Banana)</t>
  </si>
  <si>
    <t>20260710|NVP|Yellow Madness (Pineapple+Mango+Passion)</t>
  </si>
  <si>
    <t>20260710|NVP|Ready to Glow (Straw+Blue+Banana)</t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</si>
  <si>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</si>
  <si>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</si>
  <si>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</si>
  <si>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</si>
  <si>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20260710|NVP|Biscoff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</si>
  <si>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20260710|NVP|Biscoff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</si>
  <si>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</si>
  <si>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</si>
  <si>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</si>
  <si>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</si>
  <si>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</si>
  <si>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</si>
  <si>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20260710|NVP|</t>
    </r>
    <r>
      <rPr>
        <sz val="11"/>
        <color theme="1"/>
        <rFont val="DejaVu Sans"/>
        <family val="2"/>
      </rPr>
      <t>พิสตาชิโอ้ท๊อปปิ้ง</t>
    </r>
  </si>
  <si>
    <t>20260711|NVP|Greek Yogurt 1kg</t>
  </si>
  <si>
    <t>20260711|NVP|Yuzu</t>
  </si>
  <si>
    <t>20260711|NVP|Kyoho</t>
  </si>
  <si>
    <t>20260711|NVP|Mint</t>
  </si>
  <si>
    <t>20260711|NVP|Vanilla</t>
  </si>
  <si>
    <t>20260711|NVP|Pineapple</t>
  </si>
  <si>
    <t>20260711|NVP|Biscoff</t>
  </si>
  <si>
    <t>20260711|NVP|Overnight oats biscoff</t>
  </si>
  <si>
    <r>
      <rPr>
        <sz val="11"/>
        <color theme="1"/>
        <rFont val="Calibri"/>
        <family val="2"/>
        <charset val="1"/>
      </rPr>
      <t>20260711|NVP|Plain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</si>
  <si>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20260711|NVP|Greek Yogurt 500g</t>
  </si>
  <si>
    <t>20260711|NVP|Plain Yogurt 500g</t>
  </si>
  <si>
    <t>20260711|NVP|R-ACAI Bowl</t>
  </si>
  <si>
    <t>20260711|NVP|S-ACAI Cup (mini)</t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</si>
  <si>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</si>
  <si>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20260711|NVP|Granola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</si>
  <si>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20260711|NVP|Softserve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</si>
  <si>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20260711|NVP|Shake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</si>
  <si>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20260711|NVP|Peanut Butter</t>
  </si>
  <si>
    <r>
      <rPr>
        <sz val="11"/>
        <color theme="1"/>
        <rFont val="Calibri"/>
        <family val="2"/>
        <charset val="1"/>
      </rPr>
      <t xml:space="preserve">20260711|NVP|Water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</si>
  <si>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</si>
  <si>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</si>
  <si>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</si>
  <si>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</si>
  <si>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</si>
  <si>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ถุงพีช</t>
    </r>
  </si>
  <si>
    <t>20260711|NVP|Cornflakes Malt (M)</t>
  </si>
  <si>
    <t>20260711|NVP|Granola (M)</t>
  </si>
  <si>
    <t>20260711|NVP|Choc Chip Cookies</t>
  </si>
  <si>
    <t>20260711|NVP|Cookies Crumbs</t>
  </si>
  <si>
    <t>20260711|NVP|Oreo</t>
  </si>
  <si>
    <t>20260711|NVP|Choc Chips</t>
  </si>
  <si>
    <t>20260711|NVP|Cornflakes (Topping)</t>
  </si>
  <si>
    <t>20260711|NVP|Granola (Topping)</t>
  </si>
  <si>
    <t>20260711|NVP|Almond</t>
  </si>
  <si>
    <t>20260711|NVP|Pecan</t>
  </si>
  <si>
    <t>20260711|NVP|Walnut</t>
  </si>
  <si>
    <t>20260711|NVP|Coconut Chips</t>
  </si>
  <si>
    <t>20260711|NVP|Chia Seed</t>
  </si>
  <si>
    <t>20260711|NVP|Flax Seed</t>
  </si>
  <si>
    <t>20260711|NVP|Cacao Nibs</t>
  </si>
  <si>
    <t>20260711|NVP|Grape Jelly</t>
  </si>
  <si>
    <t>20260711|NVP|Honey Jelly</t>
  </si>
  <si>
    <t>20260711|NVP|Strawberry (250g)</t>
  </si>
  <si>
    <t>20260711|NVP|Strawberry (500g)</t>
  </si>
  <si>
    <t>20260711|NVP|Blueberry (125g)</t>
  </si>
  <si>
    <t>20260711|NVP|Blueberry (300g)</t>
  </si>
  <si>
    <t>20260711|NVP|Blueberry (500g)</t>
  </si>
  <si>
    <t>20260711|NVP|Apple Cinnamon</t>
  </si>
  <si>
    <t>20260711|NVP|Banana</t>
  </si>
  <si>
    <t>20260711|NVP|Honey</t>
  </si>
  <si>
    <t>20260711|NVP|Caramel</t>
  </si>
  <si>
    <t>20260711|NVP|Peanut Butter Sauce</t>
  </si>
  <si>
    <t>20260711|NVP|Cup P (5oz)</t>
  </si>
  <si>
    <t>20260711|NVP|Cup S (9oz)</t>
  </si>
  <si>
    <t>20260711|NVP|Small Bowl</t>
  </si>
  <si>
    <t>20260711|NVP|Cup (14oz)</t>
  </si>
  <si>
    <t>20260711|NVP|Cup 3oz (Topping)</t>
  </si>
  <si>
    <t>20260711|NVP|Cup+Lid (Big) 3oz</t>
  </si>
  <si>
    <t>20260711|NVP|Cup+Lid (Small) 1oz</t>
  </si>
  <si>
    <t>20260711|NVP|Bowl Lid</t>
  </si>
  <si>
    <t>20260711|NVP|Smoothies Lid</t>
  </si>
  <si>
    <t>20260711|NVP|Lid S (92)</t>
  </si>
  <si>
    <t>20260711|NVP|Lid Top / Lid P (75)</t>
  </si>
  <si>
    <t>20260711|NVP|Wood Spoon in bag</t>
  </si>
  <si>
    <t>20260711|NVP|Wood Spoon</t>
  </si>
  <si>
    <r>
      <rPr>
        <sz val="11"/>
        <color theme="1"/>
        <rFont val="Calibri"/>
        <family val="2"/>
        <charset val="1"/>
      </rPr>
      <t xml:space="preserve">20260711|NVP|Tester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</si>
  <si>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20260711|NVP|Short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</si>
  <si>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20260711|NVP|Straw/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</si>
  <si>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20260711|NVP|Straw/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</si>
  <si>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20260711|NVP|Fail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</si>
  <si>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</si>
  <si>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</si>
  <si>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</si>
  <si>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</si>
  <si>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</si>
  <si>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</si>
  <si>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</si>
  <si>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20260711|NVP|Zip Bag Small / </t>
    </r>
    <r>
      <rPr>
        <sz val="11"/>
        <color theme="1"/>
        <rFont val="DejaVu Sans"/>
        <family val="2"/>
      </rPr>
      <t>ถุงซิป</t>
    </r>
  </si>
  <si>
    <t>20260711|NVP|Bag 4x14</t>
  </si>
  <si>
    <t>20260711|NVP|Bag 6x14</t>
  </si>
  <si>
    <t>20260711|NVP|Bag 8x14</t>
  </si>
  <si>
    <t>20260711|NVP|Bag 9x14</t>
  </si>
  <si>
    <r>
      <rPr>
        <sz val="11"/>
        <color theme="1"/>
        <rFont val="Calibri"/>
        <family val="2"/>
        <charset val="1"/>
      </rPr>
      <t xml:space="preserve">20260711|NVP|Bag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</si>
  <si>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20260711|NVP|Sticker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</si>
  <si>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20260711|NVP|Print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</si>
  <si>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20260711|NVP|Gloves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</si>
  <si>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20260711|NVP|Black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</si>
  <si>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20260711|NVP|Dry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</si>
  <si>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20260711|NVP|Wet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</si>
  <si>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20260711|NVP|Tissue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</si>
  <si>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</si>
  <si>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</si>
  <si>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</si>
  <si>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</si>
  <si>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น้ำยาล้างเครื่องไอดิม</t>
    </r>
  </si>
  <si>
    <t>20260711|NVP|Wake up call (Banana)</t>
  </si>
  <si>
    <t>20260711|NVP|Energy Sip (Straw+Banana)</t>
  </si>
  <si>
    <t>20260711|NVP|Yellow Madness (Pineapple+Mango+Passion)</t>
  </si>
  <si>
    <t>20260711|NVP|Ready to Glow (Straw+Blue+Banana)</t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</si>
  <si>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</si>
  <si>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</si>
  <si>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</si>
  <si>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</si>
  <si>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20260711|NVP|Biscoff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</si>
  <si>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20260711|NVP|Biscoff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</si>
  <si>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</si>
  <si>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</si>
  <si>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</si>
  <si>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</si>
  <si>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</si>
  <si>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</si>
  <si>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20260711|NVP|</t>
    </r>
    <r>
      <rPr>
        <sz val="11"/>
        <color theme="1"/>
        <rFont val="DejaVu Sans"/>
        <family val="2"/>
      </rPr>
      <t>พิสตาชิโอ้ท๊อปปิ้ง</t>
    </r>
  </si>
  <si>
    <t>20260712|NVP|Greek Yogurt 1kg</t>
  </si>
  <si>
    <t>20260712|NVP|Yuzu</t>
  </si>
  <si>
    <t>20260712|NVP|Kyoho</t>
  </si>
  <si>
    <t>20260712|NVP|Mint</t>
  </si>
  <si>
    <t>20260712|NVP|Vanilla</t>
  </si>
  <si>
    <t>20260712|NVP|Pineapple</t>
  </si>
  <si>
    <t>20260712|NVP|Biscoff</t>
  </si>
  <si>
    <t>20260712|NVP|Overnight oats biscoff</t>
  </si>
  <si>
    <r>
      <rPr>
        <sz val="11"/>
        <color theme="1"/>
        <rFont val="Calibri"/>
        <family val="2"/>
        <charset val="1"/>
      </rPr>
      <t>20260712|NVP|Plain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</si>
  <si>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20260712|NVP|Greek Yogurt 500g</t>
  </si>
  <si>
    <t>20260712|NVP|Plain Yogurt 500g</t>
  </si>
  <si>
    <t>20260712|NVP|R-ACAI Bowl</t>
  </si>
  <si>
    <t>20260712|NVP|S-ACAI Cup (mini)</t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</si>
  <si>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</si>
  <si>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20260712|NVP|Granola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</si>
  <si>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20260712|NVP|Softserve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</si>
  <si>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20260712|NVP|Shake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</si>
  <si>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20260712|NVP|Peanut Butter</t>
  </si>
  <si>
    <r>
      <rPr>
        <sz val="11"/>
        <color theme="1"/>
        <rFont val="Calibri"/>
        <family val="2"/>
        <charset val="1"/>
      </rPr>
      <t xml:space="preserve">20260712|NVP|Water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</si>
  <si>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</si>
  <si>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</si>
  <si>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</si>
  <si>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</si>
  <si>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</si>
  <si>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ถุงพีช</t>
    </r>
  </si>
  <si>
    <t>20260712|NVP|Cornflakes Malt (M)</t>
  </si>
  <si>
    <t>20260712|NVP|Granola (M)</t>
  </si>
  <si>
    <t>20260712|NVP|Choc Chip Cookies</t>
  </si>
  <si>
    <t>20260712|NVP|Cookies Crumbs</t>
  </si>
  <si>
    <t>20260712|NVP|Oreo</t>
  </si>
  <si>
    <t>20260712|NVP|Choc Chips</t>
  </si>
  <si>
    <t>20260712|NVP|Cornflakes (Topping)</t>
  </si>
  <si>
    <t>20260712|NVP|Granola (Topping)</t>
  </si>
  <si>
    <t>20260712|NVP|Almond</t>
  </si>
  <si>
    <t>20260712|NVP|Pecan</t>
  </si>
  <si>
    <t>20260712|NVP|Walnut</t>
  </si>
  <si>
    <t>20260712|NVP|Coconut Chips</t>
  </si>
  <si>
    <t>20260712|NVP|Chia Seed</t>
  </si>
  <si>
    <t>20260712|NVP|Flax Seed</t>
  </si>
  <si>
    <t>20260712|NVP|Cacao Nibs</t>
  </si>
  <si>
    <t>20260712|NVP|Grape Jelly</t>
  </si>
  <si>
    <t>20260712|NVP|Honey Jelly</t>
  </si>
  <si>
    <t>20260712|NVP|Strawberry (250g)</t>
  </si>
  <si>
    <t>20260712|NVP|Strawberry (500g)</t>
  </si>
  <si>
    <t>20260712|NVP|Blueberry (125g)</t>
  </si>
  <si>
    <t>20260712|NVP|Blueberry (300g)</t>
  </si>
  <si>
    <t>20260712|NVP|Blueberry (500g)</t>
  </si>
  <si>
    <t>20260712|NVP|Apple Cinnamon</t>
  </si>
  <si>
    <t>20260712|NVP|Banana</t>
  </si>
  <si>
    <t>20260712|NVP|Honey</t>
  </si>
  <si>
    <t>20260712|NVP|Caramel</t>
  </si>
  <si>
    <t>20260712|NVP|Peanut Butter Sauce</t>
  </si>
  <si>
    <t>20260712|NVP|Cup P (5oz)</t>
  </si>
  <si>
    <t>20260712|NVP|Cup S (9oz)</t>
  </si>
  <si>
    <t>20260712|NVP|Small Bowl</t>
  </si>
  <si>
    <t>20260712|NVP|Cup (14oz)</t>
  </si>
  <si>
    <t>20260712|NVP|Cup 3oz (Topping)</t>
  </si>
  <si>
    <t>20260712|NVP|Cup+Lid (Big) 3oz</t>
  </si>
  <si>
    <t>20260712|NVP|Cup+Lid (Small) 1oz</t>
  </si>
  <si>
    <t>20260712|NVP|Bowl Lid</t>
  </si>
  <si>
    <t>20260712|NVP|Smoothies Lid</t>
  </si>
  <si>
    <t>20260712|NVP|Lid S (92)</t>
  </si>
  <si>
    <t>20260712|NVP|Lid Top / Lid P (75)</t>
  </si>
  <si>
    <t>20260712|NVP|Wood Spoon in bag</t>
  </si>
  <si>
    <t>20260712|NVP|Wood Spoon</t>
  </si>
  <si>
    <r>
      <rPr>
        <sz val="11"/>
        <color theme="1"/>
        <rFont val="Calibri"/>
        <family val="2"/>
        <charset val="1"/>
      </rPr>
      <t xml:space="preserve">20260712|NVP|Tester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</si>
  <si>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20260712|NVP|Short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</si>
  <si>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20260712|NVP|Straw/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</si>
  <si>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20260712|NVP|Straw/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</si>
  <si>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20260712|NVP|Fail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</si>
  <si>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</si>
  <si>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</si>
  <si>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</si>
  <si>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</si>
  <si>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</si>
  <si>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</si>
  <si>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</si>
  <si>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20260712|NVP|Zip Bag Small / </t>
    </r>
    <r>
      <rPr>
        <sz val="11"/>
        <color theme="1"/>
        <rFont val="DejaVu Sans"/>
        <family val="2"/>
      </rPr>
      <t>ถุงซิป</t>
    </r>
  </si>
  <si>
    <t>20260712|NVP|Bag 4x14</t>
  </si>
  <si>
    <t>20260712|NVP|Bag 6x14</t>
  </si>
  <si>
    <t>20260712|NVP|Bag 8x14</t>
  </si>
  <si>
    <t>20260712|NVP|Bag 9x14</t>
  </si>
  <si>
    <r>
      <rPr>
        <sz val="11"/>
        <color theme="1"/>
        <rFont val="Calibri"/>
        <family val="2"/>
        <charset val="1"/>
      </rPr>
      <t xml:space="preserve">20260712|NVP|Bag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</si>
  <si>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20260712|NVP|Sticker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</si>
  <si>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20260712|NVP|Print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</si>
  <si>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20260712|NVP|Gloves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</si>
  <si>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20260712|NVP|Black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</si>
  <si>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20260712|NVP|Dry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</si>
  <si>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20260712|NVP|Wet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</si>
  <si>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20260712|NVP|Tissue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</si>
  <si>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</si>
  <si>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</si>
  <si>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</si>
  <si>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</si>
  <si>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น้ำยาล้างเครื่องไอดิม</t>
    </r>
  </si>
  <si>
    <t>20260712|NVP|Wake up call (Banana)</t>
  </si>
  <si>
    <t>20260712|NVP|Energy Sip (Straw+Banana)</t>
  </si>
  <si>
    <t>20260712|NVP|Yellow Madness (Pineapple+Mango+Passion)</t>
  </si>
  <si>
    <t>20260712|NVP|Ready to Glow (Straw+Blue+Banana)</t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</si>
  <si>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</si>
  <si>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</si>
  <si>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</si>
  <si>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</si>
  <si>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20260712|NVP|Biscoff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</si>
  <si>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20260712|NVP|Biscoff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</si>
  <si>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</si>
  <si>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</si>
  <si>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</si>
  <si>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</si>
  <si>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</si>
  <si>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</si>
  <si>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20260712|NVP|</t>
    </r>
    <r>
      <rPr>
        <sz val="11"/>
        <color theme="1"/>
        <rFont val="DejaVu Sans"/>
        <family val="2"/>
      </rPr>
      <t>พิสตาชิโอ้ท๊อปปิ้ง</t>
    </r>
  </si>
  <si>
    <t>20260713|NVP|Greek Yogurt 1kg</t>
  </si>
  <si>
    <t>20260713|NVP|Yuzu</t>
  </si>
  <si>
    <t>20260713|NVP|Kyoho</t>
  </si>
  <si>
    <t>20260713|NVP|Mint</t>
  </si>
  <si>
    <t>20260713|NVP|Vanilla</t>
  </si>
  <si>
    <t>20260713|NVP|Pineapple</t>
  </si>
  <si>
    <t>20260713|NVP|Biscoff</t>
  </si>
  <si>
    <t>20260713|NVP|Overnight oats biscoff</t>
  </si>
  <si>
    <r>
      <rPr>
        <sz val="11"/>
        <color theme="1"/>
        <rFont val="Calibri"/>
        <family val="2"/>
        <charset val="1"/>
      </rPr>
      <t>20260713|NVP|Plain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</si>
  <si>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20260713|NVP|Greek Yogurt 500g</t>
  </si>
  <si>
    <t>20260713|NVP|Plain Yogurt 500g</t>
  </si>
  <si>
    <t>20260713|NVP|R-ACAI Bowl</t>
  </si>
  <si>
    <t>20260713|NVP|S-ACAI Cup (mini)</t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</si>
  <si>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</si>
  <si>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20260713|NVP|Granola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</si>
  <si>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20260713|NVP|Softserve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</si>
  <si>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20260713|NVP|Shake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</si>
  <si>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20260713|NVP|Peanut Butter</t>
  </si>
  <si>
    <r>
      <rPr>
        <sz val="11"/>
        <color theme="1"/>
        <rFont val="Calibri"/>
        <family val="2"/>
        <charset val="1"/>
      </rPr>
      <t xml:space="preserve">20260713|NVP|Water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</si>
  <si>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</si>
  <si>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</si>
  <si>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</si>
  <si>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</si>
  <si>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</si>
  <si>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ถุงพีช</t>
    </r>
  </si>
  <si>
    <t>20260713|NVP|Cornflakes Malt (M)</t>
  </si>
  <si>
    <t>20260713|NVP|Granola (M)</t>
  </si>
  <si>
    <t>20260713|NVP|Choc Chip Cookies</t>
  </si>
  <si>
    <t>20260713|NVP|Cookies Crumbs</t>
  </si>
  <si>
    <t>20260713|NVP|Oreo</t>
  </si>
  <si>
    <t>20260713|NVP|Choc Chips</t>
  </si>
  <si>
    <t>20260713|NVP|Cornflakes (Topping)</t>
  </si>
  <si>
    <t>20260713|NVP|Granola (Topping)</t>
  </si>
  <si>
    <t>20260713|NVP|Almond</t>
  </si>
  <si>
    <t>20260713|NVP|Pecan</t>
  </si>
  <si>
    <t>20260713|NVP|Walnut</t>
  </si>
  <si>
    <t>20260713|NVP|Coconut Chips</t>
  </si>
  <si>
    <t>20260713|NVP|Chia Seed</t>
  </si>
  <si>
    <t>20260713|NVP|Flax Seed</t>
  </si>
  <si>
    <t>20260713|NVP|Cacao Nibs</t>
  </si>
  <si>
    <t>20260713|NVP|Grape Jelly</t>
  </si>
  <si>
    <t>20260713|NVP|Honey Jelly</t>
  </si>
  <si>
    <t>20260713|NVP|Strawberry (250g)</t>
  </si>
  <si>
    <t>20260713|NVP|Strawberry (500g)</t>
  </si>
  <si>
    <t>20260713|NVP|Blueberry (125g)</t>
  </si>
  <si>
    <t>20260713|NVP|Blueberry (300g)</t>
  </si>
  <si>
    <t>20260713|NVP|Blueberry (500g)</t>
  </si>
  <si>
    <t>20260713|NVP|Apple Cinnamon</t>
  </si>
  <si>
    <t>20260713|NVP|Banana</t>
  </si>
  <si>
    <t>20260713|NVP|Honey</t>
  </si>
  <si>
    <t>20260713|NVP|Caramel</t>
  </si>
  <si>
    <t>20260713|NVP|Peanut Butter Sauce</t>
  </si>
  <si>
    <t>20260713|NVP|Cup P (5oz)</t>
  </si>
  <si>
    <t>20260713|NVP|Cup S (9oz)</t>
  </si>
  <si>
    <t>20260713|NVP|Small Bowl</t>
  </si>
  <si>
    <t>20260713|NVP|Cup (14oz)</t>
  </si>
  <si>
    <t>20260713|NVP|Cup 3oz (Topping)</t>
  </si>
  <si>
    <t>20260713|NVP|Cup+Lid (Big) 3oz</t>
  </si>
  <si>
    <t>20260713|NVP|Cup+Lid (Small) 1oz</t>
  </si>
  <si>
    <t>20260713|NVP|Bowl Lid</t>
  </si>
  <si>
    <t>20260713|NVP|Smoothies Lid</t>
  </si>
  <si>
    <t>20260713|NVP|Lid S (92)</t>
  </si>
  <si>
    <t>20260713|NVP|Lid Top / Lid P (75)</t>
  </si>
  <si>
    <t>20260713|NVP|Wood Spoon in bag</t>
  </si>
  <si>
    <t>20260713|NVP|Wood Spoon</t>
  </si>
  <si>
    <r>
      <rPr>
        <sz val="11"/>
        <color theme="1"/>
        <rFont val="Calibri"/>
        <family val="2"/>
        <charset val="1"/>
      </rPr>
      <t xml:space="preserve">20260713|NVP|Tester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</si>
  <si>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20260713|NVP|Short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</si>
  <si>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20260713|NVP|Straw/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</si>
  <si>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20260713|NVP|Straw/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</si>
  <si>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20260713|NVP|Fail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</si>
  <si>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</si>
  <si>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</si>
  <si>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</si>
  <si>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</si>
  <si>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</si>
  <si>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</si>
  <si>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</si>
  <si>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20260713|NVP|Zip Bag Small / </t>
    </r>
    <r>
      <rPr>
        <sz val="11"/>
        <color theme="1"/>
        <rFont val="DejaVu Sans"/>
        <family val="2"/>
      </rPr>
      <t>ถุงซิป</t>
    </r>
  </si>
  <si>
    <t>20260713|NVP|Bag 4x14</t>
  </si>
  <si>
    <t>20260713|NVP|Bag 6x14</t>
  </si>
  <si>
    <t>20260713|NVP|Bag 8x14</t>
  </si>
  <si>
    <t>20260713|NVP|Bag 9x14</t>
  </si>
  <si>
    <r>
      <rPr>
        <sz val="11"/>
        <color theme="1"/>
        <rFont val="Calibri"/>
        <family val="2"/>
        <charset val="1"/>
      </rPr>
      <t xml:space="preserve">20260713|NVP|Bag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</si>
  <si>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20260713|NVP|Sticker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</si>
  <si>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20260713|NVP|Print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</si>
  <si>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20260713|NVP|Gloves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</si>
  <si>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20260713|NVP|Black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</si>
  <si>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20260713|NVP|Dry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</si>
  <si>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20260713|NVP|Wet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</si>
  <si>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20260713|NVP|Tissue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</si>
  <si>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</si>
  <si>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</si>
  <si>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</si>
  <si>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</si>
  <si>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น้ำยาล้างเครื่องไอดิม</t>
    </r>
  </si>
  <si>
    <t>20260713|NVP|Wake up call (Banana)</t>
  </si>
  <si>
    <t>20260713|NVP|Energy Sip (Straw+Banana)</t>
  </si>
  <si>
    <t>20260713|NVP|Yellow Madness (Pineapple+Mango+Passion)</t>
  </si>
  <si>
    <t>20260713|NVP|Ready to Glow (Straw+Blue+Banana)</t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</si>
  <si>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</si>
  <si>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</si>
  <si>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</si>
  <si>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</si>
  <si>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20260713|NVP|Biscoff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</si>
  <si>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20260713|NVP|Biscoff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</si>
  <si>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</si>
  <si>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</si>
  <si>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</si>
  <si>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ปีโป้ลิ้นจี่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</si>
  <si>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พิสตาชิโอ้เครป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</si>
  <si>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พิสตาชิโอ้บัตเตอร์</t>
    </r>
  </si>
  <si>
    <r>
      <rPr>
        <sz val="11"/>
        <color theme="1"/>
        <rFont val="Calibri"/>
        <family val="2"/>
        <charset val="1"/>
      </rPr>
      <t>20260713|NVP|</t>
    </r>
    <r>
      <rPr>
        <sz val="11"/>
        <color theme="1"/>
        <rFont val="DejaVu Sans"/>
        <family val="2"/>
      </rPr>
      <t>พิสตาชิโอ้ท๊อปปิ้ง</t>
    </r>
  </si>
  <si>
    <t>20260711|SND|Greek Yogurt 1kg</t>
  </si>
  <si>
    <t>20260711|SND|Yuzu</t>
  </si>
  <si>
    <t>20260711|SND|Kyoho</t>
  </si>
  <si>
    <t>20260711|SND|Mint</t>
  </si>
  <si>
    <t>20260711|SND|Vanilla</t>
  </si>
  <si>
    <t>20260711|SND|Pineapple</t>
  </si>
  <si>
    <t>20260711|SND|Biscoff</t>
  </si>
  <si>
    <t>20260711|SND|Overnight oats biscoff</t>
  </si>
  <si>
    <r>
      <rPr>
        <sz val="11"/>
        <color theme="1"/>
        <rFont val="Calibri"/>
        <family val="2"/>
        <charset val="1"/>
      </rPr>
      <t>20260711|SND|Plain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</si>
  <si>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20260711|SND|Greek Yogurt 500g</t>
  </si>
  <si>
    <t>20260711|SND|Plain Yogurt 500g</t>
  </si>
  <si>
    <t>20260711|SND|R-ACAI Bowl</t>
  </si>
  <si>
    <t>20260711|SND|S-ACAI Cup (mini)</t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</si>
  <si>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</si>
  <si>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20260711|SND|Granola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</si>
  <si>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20260711|SND|Softserve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</si>
  <si>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20260711|SND|Shake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</si>
  <si>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20260711|SND|Peanut Butter</t>
  </si>
  <si>
    <r>
      <rPr>
        <sz val="11"/>
        <color theme="1"/>
        <rFont val="Calibri"/>
        <family val="2"/>
        <charset val="1"/>
      </rPr>
      <t xml:space="preserve">20260711|SND|Water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</si>
  <si>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</si>
  <si>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</si>
  <si>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</si>
  <si>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</si>
  <si>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</si>
  <si>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ถุงพีช</t>
    </r>
  </si>
  <si>
    <t>20260711|SND|Cornflakes Malt (M)</t>
  </si>
  <si>
    <t>20260711|SND|Granola (M)</t>
  </si>
  <si>
    <t>20260711|SND|Choc Chip Cookies</t>
  </si>
  <si>
    <t>20260711|SND|Cookies Crumbs</t>
  </si>
  <si>
    <t>20260711|SND|Oreo</t>
  </si>
  <si>
    <t>20260711|SND|Choc Chips</t>
  </si>
  <si>
    <t>20260711|SND|Cornflakes (Topping)</t>
  </si>
  <si>
    <t>20260711|SND|Granola (Topping)</t>
  </si>
  <si>
    <t>20260711|SND|Almond</t>
  </si>
  <si>
    <t>20260711|SND|Pecan</t>
  </si>
  <si>
    <t>20260711|SND|Walnut</t>
  </si>
  <si>
    <t>20260711|SND|Coconut Chips</t>
  </si>
  <si>
    <t>20260711|SND|Chia Seed</t>
  </si>
  <si>
    <t>20260711|SND|Flax Seed</t>
  </si>
  <si>
    <t>20260711|SND|Cacao Nibs</t>
  </si>
  <si>
    <t>20260711|SND|Grape Jelly</t>
  </si>
  <si>
    <t>20260711|SND|Honey Jelly</t>
  </si>
  <si>
    <t>20260711|SND|Strawberry (250g)</t>
  </si>
  <si>
    <t>20260711|SND|Strawberry (500g)</t>
  </si>
  <si>
    <t>20260711|SND|Blueberry (125g)</t>
  </si>
  <si>
    <t>20260711|SND|Blueberry (300g)</t>
  </si>
  <si>
    <t>20260711|SND|Blueberry (500g)</t>
  </si>
  <si>
    <t>20260711|SND|Apple Cinnamon</t>
  </si>
  <si>
    <t>20260711|SND|Banana</t>
  </si>
  <si>
    <t>20260711|SND|Honey</t>
  </si>
  <si>
    <t>20260711|SND|Caramel</t>
  </si>
  <si>
    <t>20260711|SND|Peanut Butter Sauce</t>
  </si>
  <si>
    <t>20260711|SND|Cup P (5oz)</t>
  </si>
  <si>
    <t>20260711|SND|Cup S (9oz)</t>
  </si>
  <si>
    <t>20260711|SND|Small Bowl</t>
  </si>
  <si>
    <t>20260711|SND|Cup (14oz)</t>
  </si>
  <si>
    <t>20260711|SND|Cup 3oz (Topping)</t>
  </si>
  <si>
    <t>20260711|SND|Cup+Lid (Big) 3oz</t>
  </si>
  <si>
    <t>20260711|SND|Cup+Lid (Small) 1oz</t>
  </si>
  <si>
    <t>20260711|SND|Bowl Lid</t>
  </si>
  <si>
    <t>20260711|SND|Smoothies Lid</t>
  </si>
  <si>
    <t>20260711|SND|Lid S (92)</t>
  </si>
  <si>
    <t>20260711|SND|Lid Top / Lid P (75)</t>
  </si>
  <si>
    <t>20260711|SND|Wood Spoon in bag</t>
  </si>
  <si>
    <t>20260711|SND|Wood Spoon</t>
  </si>
  <si>
    <r>
      <rPr>
        <sz val="11"/>
        <color theme="1"/>
        <rFont val="Calibri"/>
        <family val="2"/>
        <charset val="1"/>
      </rPr>
      <t xml:space="preserve">20260711|SND|Tester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</si>
  <si>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20260711|SND|Short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</si>
  <si>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20260711|SND|Straw/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</si>
  <si>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20260711|SND|Straw/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</si>
  <si>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20260711|SND|Fail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</si>
  <si>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</si>
  <si>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</si>
  <si>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</si>
  <si>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</si>
  <si>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</si>
  <si>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</si>
  <si>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</si>
  <si>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20260711|SND|Zip Bag Small / </t>
    </r>
    <r>
      <rPr>
        <sz val="11"/>
        <color theme="1"/>
        <rFont val="DejaVu Sans"/>
        <family val="2"/>
      </rPr>
      <t>ถุงซิป</t>
    </r>
  </si>
  <si>
    <t>20260711|SND|Bag 4x14</t>
  </si>
  <si>
    <t>20260711|SND|Bag 6x14</t>
  </si>
  <si>
    <t>20260711|SND|Bag 8x14</t>
  </si>
  <si>
    <t>20260711|SND|Bag 9x14</t>
  </si>
  <si>
    <r>
      <rPr>
        <sz val="11"/>
        <color theme="1"/>
        <rFont val="Calibri"/>
        <family val="2"/>
        <charset val="1"/>
      </rPr>
      <t xml:space="preserve">20260711|SND|Bag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</si>
  <si>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20260711|SND|Sticker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</si>
  <si>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20260711|SND|Print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</si>
  <si>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20260711|SND|Gloves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</si>
  <si>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20260711|SND|Black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</si>
  <si>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20260711|SND|Dry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</si>
  <si>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20260711|SND|Wet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</si>
  <si>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20260711|SND|Tissue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</si>
  <si>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</si>
  <si>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</si>
  <si>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</si>
  <si>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</si>
  <si>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น้ำยาล้างเครื่องไอดิม</t>
    </r>
  </si>
  <si>
    <t>20260711|SND|Wake up call (Banana)</t>
  </si>
  <si>
    <t>20260711|SND|Energy Sip (Straw+Banana)</t>
  </si>
  <si>
    <t>20260711|SND|Yellow Madness (Pineapple+Mango+Passion)</t>
  </si>
  <si>
    <t>20260711|SND|Ready to Glow (Straw+Blue+Banana)</t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</si>
  <si>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</si>
  <si>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</si>
  <si>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</si>
  <si>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</si>
  <si>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20260711|SND|Biscoff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</si>
  <si>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20260711|SND|Biscoff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</si>
  <si>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</si>
  <si>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</si>
  <si>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</si>
  <si>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20260711|SND|</t>
    </r>
    <r>
      <rPr>
        <sz val="11"/>
        <color theme="1"/>
        <rFont val="DejaVu Sans"/>
        <family val="2"/>
      </rPr>
      <t>ปีโป้ลิ้นจี่</t>
    </r>
  </si>
  <si>
    <t>20260713|SND|Greek Yogurt 1kg</t>
  </si>
  <si>
    <t>20260713|SND|Yuzu</t>
  </si>
  <si>
    <t>20260713|SND|Kyoho</t>
  </si>
  <si>
    <t>20260713|SND|Mint</t>
  </si>
  <si>
    <t>20260713|SND|Vanilla</t>
  </si>
  <si>
    <t>20260713|SND|Pineapple</t>
  </si>
  <si>
    <t>20260713|SND|Biscoff</t>
  </si>
  <si>
    <t>20260713|SND|Overnight oats biscoff</t>
  </si>
  <si>
    <r>
      <rPr>
        <sz val="11"/>
        <color theme="1"/>
        <rFont val="Calibri"/>
        <family val="2"/>
        <charset val="1"/>
      </rPr>
      <t>20260713|SND|Plain Yogurt (</t>
    </r>
    <r>
      <rPr>
        <sz val="11"/>
        <color theme="1"/>
        <rFont val="DejaVu Sans"/>
        <family val="2"/>
      </rPr>
      <t>ธรรมชาติ</t>
    </r>
    <r>
      <rPr>
        <sz val="11"/>
        <color theme="1"/>
        <rFont val="Calibri"/>
        <family val="2"/>
        <charset val="1"/>
      </rPr>
      <t>)</t>
    </r>
  </si>
  <si>
    <t>20260713|SND|Greek Yogurt 500g</t>
  </si>
  <si>
    <t>20260713|SND|Plain Yogurt 500g</t>
  </si>
  <si>
    <t>20260713|SND|R-ACAI Bowl</t>
  </si>
  <si>
    <t>20260713|SND|S-ACAI Cup (mini)</t>
  </si>
  <si>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</si>
  <si>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 xml:space="preserve">น้ำ </t>
    </r>
    <r>
      <rPr>
        <sz val="11"/>
        <color theme="1"/>
        <rFont val="Calibri"/>
        <family val="2"/>
        <charset val="1"/>
      </rPr>
      <t>Ice cream / Soft Serve</t>
    </r>
  </si>
  <si>
    <r>
      <rPr>
        <sz val="11"/>
        <color theme="1"/>
        <rFont val="Calibri"/>
        <family val="2"/>
        <charset val="1"/>
      </rPr>
      <t xml:space="preserve">20260713|SND|Granola </t>
    </r>
    <r>
      <rPr>
        <sz val="11"/>
        <color theme="1"/>
        <rFont val="DejaVu Sans"/>
        <family val="2"/>
      </rPr>
      <t xml:space="preserve">โรย </t>
    </r>
    <r>
      <rPr>
        <sz val="11"/>
        <color theme="1"/>
        <rFont val="Calibri"/>
        <family val="2"/>
        <charset val="1"/>
      </rPr>
      <t>Ice cream</t>
    </r>
  </si>
  <si>
    <r>
      <rPr>
        <sz val="11"/>
        <color theme="1"/>
        <rFont val="Calibri"/>
        <family val="2"/>
        <charset val="1"/>
      </rPr>
      <t xml:space="preserve">20260713|SND|Softserve </t>
    </r>
    <r>
      <rPr>
        <sz val="11"/>
        <color theme="1"/>
        <rFont val="DejaVu Sans"/>
        <family val="2"/>
      </rPr>
      <t>ถ้วยกระดาษ</t>
    </r>
  </si>
  <si>
    <r>
      <rPr>
        <sz val="11"/>
        <color theme="1"/>
        <rFont val="Calibri"/>
        <family val="2"/>
        <charset val="1"/>
      </rPr>
      <t>20260713|SND|Shake (</t>
    </r>
    <r>
      <rPr>
        <sz val="11"/>
        <color theme="1"/>
        <rFont val="DejaVu Sans"/>
        <family val="2"/>
      </rPr>
      <t>แช่แข็ง</t>
    </r>
    <r>
      <rPr>
        <sz val="11"/>
        <color theme="1"/>
        <rFont val="Calibri"/>
        <family val="2"/>
        <charset val="1"/>
      </rPr>
      <t>)</t>
    </r>
  </si>
  <si>
    <t>20260713|SND|Peanut Butter</t>
  </si>
  <si>
    <r>
      <rPr>
        <sz val="11"/>
        <color theme="1"/>
        <rFont val="Calibri"/>
        <family val="2"/>
        <charset val="1"/>
      </rPr>
      <t xml:space="preserve">20260713|SND|Water </t>
    </r>
    <r>
      <rPr>
        <sz val="11"/>
        <color theme="1"/>
        <rFont val="DejaVu Sans"/>
        <family val="2"/>
      </rPr>
      <t>น้ำดื่ม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</si>
  <si>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ถุงสตรอเบอรี่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</si>
  <si>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ถุงบลูเบอรี่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</si>
  <si>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ถุงธรรมชาติ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</si>
  <si>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ถุงลิ้นจี่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</si>
  <si>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ถุงยูส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</si>
  <si>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ถุงพีช</t>
    </r>
  </si>
  <si>
    <t>20260713|SND|Cornflakes Malt (M)</t>
  </si>
  <si>
    <t>20260713|SND|Granola (M)</t>
  </si>
  <si>
    <t>20260713|SND|Choc Chip Cookies</t>
  </si>
  <si>
    <t>20260713|SND|Cookies Crumbs</t>
  </si>
  <si>
    <t>20260713|SND|Oreo</t>
  </si>
  <si>
    <t>20260713|SND|Choc Chips</t>
  </si>
  <si>
    <t>20260713|SND|Cornflakes (Topping)</t>
  </si>
  <si>
    <t>20260713|SND|Granola (Topping)</t>
  </si>
  <si>
    <t>20260713|SND|Almond</t>
  </si>
  <si>
    <t>20260713|SND|Pecan</t>
  </si>
  <si>
    <t>20260713|SND|Walnut</t>
  </si>
  <si>
    <t>20260713|SND|Coconut Chips</t>
  </si>
  <si>
    <t>20260713|SND|Chia Seed</t>
  </si>
  <si>
    <t>20260713|SND|Flax Seed</t>
  </si>
  <si>
    <t>20260713|SND|Cacao Nibs</t>
  </si>
  <si>
    <t>20260713|SND|Grape Jelly</t>
  </si>
  <si>
    <t>20260713|SND|Honey Jelly</t>
  </si>
  <si>
    <t>20260713|SND|Strawberry (250g)</t>
  </si>
  <si>
    <t>20260713|SND|Strawberry (500g)</t>
  </si>
  <si>
    <t>20260713|SND|Blueberry (125g)</t>
  </si>
  <si>
    <t>20260713|SND|Blueberry (300g)</t>
  </si>
  <si>
    <t>20260713|SND|Blueberry (500g)</t>
  </si>
  <si>
    <t>20260713|SND|Apple Cinnamon</t>
  </si>
  <si>
    <t>20260713|SND|Banana</t>
  </si>
  <si>
    <t>20260713|SND|Honey</t>
  </si>
  <si>
    <t>20260713|SND|Caramel</t>
  </si>
  <si>
    <t>20260713|SND|Peanut Butter Sauce</t>
  </si>
  <si>
    <t>20260713|SND|Cup P (5oz)</t>
  </si>
  <si>
    <t>20260713|SND|Cup S (9oz)</t>
  </si>
  <si>
    <t>20260713|SND|Small Bowl</t>
  </si>
  <si>
    <t>20260713|SND|Cup (14oz)</t>
  </si>
  <si>
    <t>20260713|SND|Cup 3oz (Topping)</t>
  </si>
  <si>
    <t>20260713|SND|Cup+Lid (Big) 3oz</t>
  </si>
  <si>
    <t>20260713|SND|Cup+Lid (Small) 1oz</t>
  </si>
  <si>
    <t>20260713|SND|Bowl Lid</t>
  </si>
  <si>
    <t>20260713|SND|Smoothies Lid</t>
  </si>
  <si>
    <t>20260713|SND|Lid S (92)</t>
  </si>
  <si>
    <t>20260713|SND|Lid Top / Lid P (75)</t>
  </si>
  <si>
    <t>20260713|SND|Wood Spoon in bag</t>
  </si>
  <si>
    <t>20260713|SND|Wood Spoon</t>
  </si>
  <si>
    <r>
      <rPr>
        <sz val="11"/>
        <color theme="1"/>
        <rFont val="Calibri"/>
        <family val="2"/>
        <charset val="1"/>
      </rPr>
      <t xml:space="preserve">20260713|SND|Tester Spoon </t>
    </r>
    <r>
      <rPr>
        <sz val="11"/>
        <color theme="1"/>
        <rFont val="DejaVu Sans"/>
        <family val="2"/>
      </rPr>
      <t>ช้อนชิม</t>
    </r>
  </si>
  <si>
    <r>
      <rPr>
        <sz val="11"/>
        <color theme="1"/>
        <rFont val="Calibri"/>
        <family val="2"/>
        <charset val="1"/>
      </rPr>
      <t>20260713|SND|Short Spoon (</t>
    </r>
    <r>
      <rPr>
        <sz val="11"/>
        <color theme="1"/>
        <rFont val="DejaVu Sans"/>
        <family val="2"/>
      </rPr>
      <t>ช้อนถ้วย</t>
    </r>
    <r>
      <rPr>
        <sz val="11"/>
        <color theme="1"/>
        <rFont val="Calibri"/>
        <family val="2"/>
        <charset val="1"/>
      </rPr>
      <t>P)</t>
    </r>
  </si>
  <si>
    <r>
      <rPr>
        <sz val="11"/>
        <color theme="1"/>
        <rFont val="Calibri"/>
        <family val="2"/>
        <charset val="1"/>
      </rPr>
      <t>20260713|SND|Straw/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</si>
  <si>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Calibri"/>
        <family val="2"/>
        <charset val="1"/>
      </rPr>
      <t>20260713|SND|Straw/</t>
    </r>
    <r>
      <rPr>
        <sz val="11"/>
        <color theme="1"/>
        <rFont val="DejaVu Sans"/>
        <family val="2"/>
      </rPr>
      <t xml:space="preserve">หลอด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</si>
  <si>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20260713|SND|Fail Bag </t>
    </r>
    <r>
      <rPr>
        <sz val="11"/>
        <color theme="1"/>
        <rFont val="DejaVu Sans"/>
        <family val="2"/>
      </rPr>
      <t>ถุงฟลอย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</si>
  <si>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ถุงกระดาษแก้วเดี่ยว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</si>
  <si>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ถุงกระดาษแก้วคู่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</si>
  <si>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ถุงกระดาษใหญ่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</si>
  <si>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กระดาษกันหก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</si>
  <si>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ฟอยล์แก้ว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</si>
  <si>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ฐานรองแก้วเดี่ยว</t>
    </r>
  </si>
  <si>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</si>
  <si>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 xml:space="preserve">ฐานรองแก้ว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คู่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</si>
  <si>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20260713|SND|Zip Bag Small / </t>
    </r>
    <r>
      <rPr>
        <sz val="11"/>
        <color theme="1"/>
        <rFont val="DejaVu Sans"/>
        <family val="2"/>
      </rPr>
      <t>ถุงซิป</t>
    </r>
  </si>
  <si>
    <t>20260713|SND|Bag 4x14</t>
  </si>
  <si>
    <t>20260713|SND|Bag 6x14</t>
  </si>
  <si>
    <t>20260713|SND|Bag 8x14</t>
  </si>
  <si>
    <t>20260713|SND|Bag 9x14</t>
  </si>
  <si>
    <r>
      <rPr>
        <sz val="11"/>
        <color theme="1"/>
        <rFont val="Calibri"/>
        <family val="2"/>
        <charset val="1"/>
      </rPr>
      <t xml:space="preserve">20260713|SND|Bag Sticker </t>
    </r>
    <r>
      <rPr>
        <sz val="11"/>
        <color theme="1"/>
        <rFont val="DejaVu Sans"/>
        <family val="2"/>
      </rPr>
      <t>สติ๊กเกอร์ลิ้น</t>
    </r>
  </si>
  <si>
    <r>
      <rPr>
        <sz val="11"/>
        <color theme="1"/>
        <rFont val="Calibri"/>
        <family val="2"/>
        <charset val="1"/>
      </rPr>
      <t>20260713|SND|Sticker Roll (</t>
    </r>
    <r>
      <rPr>
        <sz val="11"/>
        <color theme="1"/>
        <rFont val="DejaVu Sans"/>
        <family val="2"/>
      </rPr>
      <t>สก๊อตเทป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</si>
  <si>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20260713|SND|Print Paper </t>
    </r>
    <r>
      <rPr>
        <sz val="11"/>
        <color theme="1"/>
        <rFont val="DejaVu Sans"/>
        <family val="2"/>
      </rPr>
      <t>กระดาษปริ้น</t>
    </r>
  </si>
  <si>
    <r>
      <rPr>
        <sz val="11"/>
        <color theme="1"/>
        <rFont val="Calibri"/>
        <family val="2"/>
        <charset val="1"/>
      </rPr>
      <t xml:space="preserve">20260713|SND|Gloves YG / </t>
    </r>
    <r>
      <rPr>
        <sz val="11"/>
        <color theme="1"/>
        <rFont val="DejaVu Sans"/>
        <family val="2"/>
      </rPr>
      <t>ถุงมือ</t>
    </r>
  </si>
  <si>
    <r>
      <rPr>
        <sz val="11"/>
        <color theme="1"/>
        <rFont val="Calibri"/>
        <family val="2"/>
        <charset val="1"/>
      </rPr>
      <t xml:space="preserve">20260713|SND|Black Bag 30x40 / </t>
    </r>
    <r>
      <rPr>
        <sz val="11"/>
        <color theme="1"/>
        <rFont val="DejaVu Sans"/>
        <family val="2"/>
      </rPr>
      <t>ถุงขยะ</t>
    </r>
  </si>
  <si>
    <r>
      <rPr>
        <sz val="11"/>
        <color theme="1"/>
        <rFont val="Calibri"/>
        <family val="2"/>
        <charset val="1"/>
      </rPr>
      <t xml:space="preserve">20260713|SND|Dry Tissue / </t>
    </r>
    <r>
      <rPr>
        <sz val="11"/>
        <color theme="1"/>
        <rFont val="DejaVu Sans"/>
        <family val="2"/>
      </rPr>
      <t>ทิชชู่แห้ง</t>
    </r>
  </si>
  <si>
    <r>
      <rPr>
        <sz val="11"/>
        <color theme="1"/>
        <rFont val="Calibri"/>
        <family val="2"/>
        <charset val="1"/>
      </rPr>
      <t xml:space="preserve">20260713|SND|Wet Tissue / </t>
    </r>
    <r>
      <rPr>
        <sz val="11"/>
        <color theme="1"/>
        <rFont val="DejaVu Sans"/>
        <family val="2"/>
      </rPr>
      <t>ทิชชู่เปียก</t>
    </r>
  </si>
  <si>
    <r>
      <rPr>
        <sz val="11"/>
        <color theme="1"/>
        <rFont val="Calibri"/>
        <family val="2"/>
        <charset val="1"/>
      </rPr>
      <t xml:space="preserve">20260713|SND|Tissue </t>
    </r>
    <r>
      <rPr>
        <sz val="11"/>
        <color theme="1"/>
        <rFont val="DejaVu Sans"/>
        <family val="2"/>
      </rPr>
      <t>ทิชชู่ลูกค้า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</si>
  <si>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น้ำยาถูพื้น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</si>
  <si>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น้ำยาตัดไขมัน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</si>
  <si>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น้ำยาล้างจาน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</si>
  <si>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น้ำยาอเนกประสงค์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</si>
  <si>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น้ำยาล้างเครื่องไอดิม</t>
    </r>
  </si>
  <si>
    <t>20260713|SND|Wake up call (Banana)</t>
  </si>
  <si>
    <t>20260713|SND|Energy Sip (Straw+Banana)</t>
  </si>
  <si>
    <t>20260713|SND|Yellow Madness (Pineapple+Mango+Passion)</t>
  </si>
  <si>
    <t>20260713|SND|Ready to Glow (Straw+Blue+Banana)</t>
  </si>
  <si>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</si>
  <si>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 xml:space="preserve">ผงโกโก้ </t>
    </r>
    <r>
      <rPr>
        <sz val="11"/>
        <color theme="1"/>
        <rFont val="Calibri"/>
        <family val="2"/>
        <charset val="1"/>
      </rPr>
      <t>(COCOA)</t>
    </r>
  </si>
  <si>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</si>
  <si>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 xml:space="preserve">ผงมาคิ </t>
    </r>
    <r>
      <rPr>
        <sz val="11"/>
        <color theme="1"/>
        <rFont val="Calibri"/>
        <family val="2"/>
        <charset val="1"/>
      </rPr>
      <t>(MAQUI)</t>
    </r>
  </si>
  <si>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</si>
  <si>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 xml:space="preserve">ผงคาม </t>
    </r>
    <r>
      <rPr>
        <sz val="11"/>
        <color theme="1"/>
        <rFont val="Calibri"/>
        <family val="2"/>
        <charset val="1"/>
      </rPr>
      <t>(CAMU)</t>
    </r>
  </si>
  <si>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</si>
  <si>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>(Syrup)</t>
    </r>
  </si>
  <si>
    <r>
      <rPr>
        <sz val="11"/>
        <color theme="1"/>
        <rFont val="Calibri"/>
        <family val="2"/>
        <charset val="1"/>
      </rPr>
      <t xml:space="preserve">20260713|SND|Biscoff Spread </t>
    </r>
    <r>
      <rPr>
        <sz val="11"/>
        <color theme="1"/>
        <rFont val="DejaVu Sans"/>
        <family val="2"/>
      </rPr>
      <t>เล็ก</t>
    </r>
  </si>
  <si>
    <r>
      <rPr>
        <sz val="11"/>
        <color theme="1"/>
        <rFont val="Calibri"/>
        <family val="2"/>
        <charset val="1"/>
      </rPr>
      <t xml:space="preserve">20260713|SND|Biscoff Spread </t>
    </r>
    <r>
      <rPr>
        <sz val="11"/>
        <color theme="1"/>
        <rFont val="DejaVu Sans"/>
        <family val="2"/>
      </rPr>
      <t>ใหญ่</t>
    </r>
  </si>
  <si>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</si>
  <si>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Chocolate</t>
    </r>
  </si>
  <si>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</si>
  <si>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 xml:space="preserve">ซอส </t>
    </r>
    <r>
      <rPr>
        <sz val="11"/>
        <color theme="1"/>
        <rFont val="Calibri"/>
        <family val="2"/>
        <charset val="1"/>
      </rPr>
      <t>Strawberry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</si>
  <si>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ปีโป้</t>
    </r>
  </si>
  <si>
    <r>
      <rPr>
        <sz val="11"/>
        <color theme="1"/>
        <rFont val="Calibri"/>
        <family val="2"/>
        <charset val="1"/>
      </rPr>
      <t>20260713|SND|</t>
    </r>
    <r>
      <rPr>
        <sz val="11"/>
        <color theme="1"/>
        <rFont val="DejaVu Sans"/>
        <family val="2"/>
      </rPr>
      <t>ปีโป้ลิ้นจี่</t>
    </r>
  </si>
  <si>
    <t>📝 กรอกข้อมูลสต็อครายวัน  |  เปลี่ยน B2=วันที่ / E2=สาขา แล้วข้อมูลเปลี่ยนตาม  |  กรอกข้อมูลใหม่: พิมพ์ทับช่องสีได้เลย  |  พอครบบอก Claude: 'บันทึก [DD/MM] [สาขา]'</t>
  </si>
  <si>
    <t>วันที่:</t>
  </si>
  <si>
    <t>สาขา:</t>
  </si>
  <si>
    <t>หน่วย</t>
  </si>
  <si>
    <t>ยกมา
(แพ็ค)</t>
  </si>
  <si>
    <t>ยกมา
(ชิ้น/g)</t>
  </si>
  <si>
    <t>รับเข้า
(แพ็ค)</t>
  </si>
  <si>
    <t>รับเข้า
(ชิ้น/g)</t>
  </si>
  <si>
    <t>ขายไป
/ใช้ไป</t>
  </si>
  <si>
    <t>คงเหลือ
(แพ็ค)</t>
  </si>
  <si>
    <t>คงเหลือ
(ชิ้น/g)</t>
  </si>
  <si>
    <t>fruits</t>
  </si>
  <si>
    <t>300g/box</t>
  </si>
  <si>
    <t>กรัม</t>
  </si>
  <si>
    <t>📋 บันทึกยอดขายรายวัน</t>
  </si>
  <si>
    <t>เดือน:</t>
  </si>
  <si>
    <t>← เปลี่ยนเดือน/สาขา ดูยอดขาย | ใส่ข้อมูลจริงใน zone ด้านล่าง (แถว 41+)</t>
  </si>
  <si>
    <t>สาขา (auto)</t>
  </si>
  <si>
    <t>เงินสด</t>
  </si>
  <si>
    <t>PromptPay/QR</t>
  </si>
  <si>
    <t>EDC Credit Card</t>
  </si>
  <si>
    <t>รวม In-store</t>
  </si>
  <si>
    <t>Grab</t>
  </si>
  <si>
    <t>Lineman</t>
  </si>
  <si>
    <t>รวม Delivery</t>
  </si>
  <si>
    <t>รวมเป็นเงิน</t>
  </si>
  <si>
    <t>📝 ใส่ข้อมูลยอดขายที่นี่ (วันที่จะล็อคอยู่กับข้อมูล)</t>
  </si>
  <si>
    <t>YC STOCK — ฐานข้อมูลสะสมรายวัน (สำหรับวิเคราะห์)</t>
  </si>
  <si>
    <t>📋 วิธีใช้: copy แถวข้อมูลจาก Sheet 'บันทึกสต็อครายวัน' แล้ว Paste Values ที่นี่ ทีละวัน ต่อกันลงไปเรื่อยๆ</t>
  </si>
  <si>
    <t>ผลต่าง
(Variance)</t>
  </si>
  <si>
    <t>Par Level</t>
  </si>
  <si>
    <t>คู่มือการใช้ YC Stock Tracker</t>
  </si>
  <si>
    <t>📋 Sheet 'บันทึกสต็อครายวัน'</t>
  </si>
  <si>
    <t>→ ใช้กรอกข้อมูลสต็อคประจำวันแต่ละสาขา</t>
  </si>
  <si>
    <t>→ กรอก วันที่ ใน Col A และ สาขา ใน Col B ของทุกแถวที่กรอกในวันนั้น</t>
  </si>
  <si>
    <t>→ กรอกตัวเลขใน Col G-N เท่านั้น (Col C-F ไม่ต้องแก้)</t>
  </si>
  <si>
    <t>→ รายการที่มี * ในชื่อ = ยังต้องยืนยันชื่อที่ถูกต้อง</t>
  </si>
  <si>
    <t>→ หากเพิ่มสาขาใหม่ให้อัปเดต dropdown ที่ Data Validation</t>
  </si>
  <si>
    <t>💰 Sheet 'บันทึกยอดขาย'</t>
  </si>
  <si>
    <t>→ บันทึกยอดขายรายวัน แยกตามช่องทาง</t>
  </si>
  <si>
    <t>→ Col F และ Col J-K คำนวณอัตโนมัติ</t>
  </si>
  <si>
    <t>⚠️ รายการที่ต้องตรวจสอบ</t>
  </si>
  <si>
    <t>→ Stock #1 / Drink: มีรายการชื่อไม่ชัดเจน 1 รายการ (แถว 25)</t>
  </si>
  <si>
    <t>→ Stock #4 / Yogurt Shake: 'ปาใ' และ 'ปาใ-ลิ้นจี่' — ชื่อจริงคืออะไร?</t>
  </si>
  <si>
    <t>📌 สาขาในระบบปัจจุบัน: Sinthom</t>
  </si>
  <si>
    <t>→ เพิ่มสาขาอื่นได้โดยแก้ไข Data Validation ใน Col B</t>
  </si>
  <si>
    <t>📊 Sheet 'ฐานข้อมูลสะสม'</t>
  </si>
  <si>
    <t>→ สำหรับ accumulate ข้อมูลหลายวัน/หลายสาขา เพื่อวิเคราะห์ trend</t>
  </si>
  <si>
    <t>→ ทุกครั้งที่กรอก Sheet บันทึกสต็อครายวัน เสร็จ: copy แถวข้อมูล → Paste Values ที่นี่</t>
  </si>
  <si>
    <t>→ ห้ามลบแถวเก่า ให้ต่อลงไปเรื่อยๆ</t>
  </si>
  <si>
    <t>🔴 คอลัมน์ใหม่: ผลต่าง (Variance)</t>
  </si>
  <si>
    <t>→ สูตร: ยกมา + รับเข้า - ขายไป - ส่งคืน - คงเหลือ</t>
  </si>
  <si>
    <t>→ เขียว = ยอดถูกต้อง · แดง = ยอดไม่ตรง ต้องตรวจสอบ</t>
  </si>
  <si>
    <t>🟡 คอลัมน์ใหม่: Par Level</t>
  </si>
  <si>
    <t>→ กรอกจำนวนขั้นต่ำที่ควรมีในสต็อคของแต่ละรายการ</t>
  </si>
  <si>
    <t>→ ระบบจะ flag อัตโนมัติเมื่อคงเหลือต่ำกว่า Par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</si>
</sst>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m/d/yyyy"/>
    <numFmt numFmtId="166" formatCode="#,##0.##"/>
    <numFmt numFmtId="167" formatCode="0;\-0;;@"/>
  </numFmts>
  <fonts count="33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2E75B6"/>
      <name val="Arial"/>
      <family val="2"/>
      <charset val="1"/>
    </font>
    <font>
      <b/>
      <sz val="9"/>
      <color rgb="FF375623"/>
      <name val="Arial"/>
      <family val="2"/>
      <charset val="1"/>
    </font>
    <font>
      <sz val="9"/>
      <color rgb="FF555555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i/>
      <sz val="9"/>
      <color rgb="FFAAAAAA"/>
      <name val="Arial"/>
      <family val="2"/>
      <charset val="1"/>
    </font>
    <font>
      <i/>
      <sz val="8"/>
      <color rgb="FFAAAAAA"/>
      <name val="Arial"/>
      <family val="2"/>
      <charset val="1"/>
    </font>
    <font>
      <b/>
      <sz val="9"/>
      <color theme="1"/>
      <name val="Arial"/>
      <family val="2"/>
      <charset val="1"/>
    </font>
    <font>
      <sz val="11"/>
      <color theme="1"/>
      <name val="DejaVu Sans"/>
      <family val="2"/>
    </font>
    <font>
      <sz val="11"/>
      <color theme="1"/>
      <name val="DejaVu Sans"/>
      <family val="2"/>
      <charset val="1"/>
    </font>
    <font>
      <b/>
      <sz val="10"/>
      <color rgb="FFFFFFFF"/>
      <name val="DejaVu Sans"/>
      <family val="2"/>
      <charset val="1"/>
    </font>
    <font>
      <b/>
      <sz val="10"/>
      <color rgb="FF1F3864"/>
      <name val="Arial"/>
      <family val="2"/>
      <charset val="1"/>
    </font>
    <font>
      <b/>
      <sz val="12"/>
      <color rgb="FF1F3864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name val="Arial"/>
      <family val="2"/>
      <charset val="1"/>
    </font>
    <font>
      <i/>
      <sz val="11"/>
      <color rgb="FF555555"/>
      <name val="Calibri"/>
      <family val="2"/>
    </font>
    <font>
      <i/>
      <sz val="11"/>
      <color rgb="FF757575"/>
      <name val="Calibri"/>
      <family val="2"/>
    </font>
    <font>
      <i/>
      <sz val="11"/>
      <color rgb="FF1565C0"/>
      <name val="Calibri"/>
      <family val="2"/>
    </font>
    <font>
      <b/>
      <sz val="11"/>
      <color rgb="FFFFFFFF"/>
      <name val="Arial"/>
      <family val="2"/>
      <charset val="1"/>
    </font>
    <font>
      <b/>
      <sz val="10"/>
      <color rgb="FF1A5E1F"/>
      <name val="Arial"/>
      <family val="2"/>
      <charset val="1"/>
    </font>
    <font>
      <i/>
      <sz val="9"/>
      <color rgb="FF888888"/>
      <name val="Arial"/>
      <family val="2"/>
      <charset val="1"/>
    </font>
    <font>
      <i/>
      <sz val="10"/>
      <color rgb="FF555555"/>
      <name val="Arial"/>
      <family val="2"/>
      <charset val="1"/>
    </font>
    <font>
      <sz val="10"/>
      <color rgb="FF2E4057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10"/>
      <name val="Arial"/>
      <family val="2"/>
      <charset val="1"/>
    </font>
  </fonts>
  <fills count="53">
    <fill>
      <patternFill patternType="none"/>
    </fill>
    <fill>
      <patternFill patternType="gray125"/>
    </fill>
    <fill>
      <patternFill patternType="solid">
        <fgColor rgb="FF196EBC"/>
        <bgColor rgb="FF28435A"/>
      </patternFill>
    </fill>
    <fill>
      <patternFill patternType="solid">
        <fgColor rgb="FF1F3864"/>
        <bgColor rgb="FF28435A"/>
      </patternFill>
    </fill>
    <fill>
      <patternFill patternType="solid">
        <fgColor rgb="FFDEEAF1"/>
        <bgColor rgb="FFDAEEF3"/>
      </patternFill>
    </fill>
    <fill>
      <patternFill patternType="solid">
        <fgColor rgb="FFE2EFDA"/>
        <bgColor rgb="FFE0F0E8"/>
      </patternFill>
    </fill>
    <fill>
      <patternFill patternType="solid">
        <fgColor rgb="FFBDD7EE"/>
        <bgColor rgb="FFC5CAE9"/>
      </patternFill>
    </fill>
    <fill>
      <patternFill patternType="solid">
        <fgColor rgb="FFFFFFFF"/>
        <bgColor rgb="FFF8F9FA"/>
      </patternFill>
    </fill>
    <fill>
      <patternFill patternType="solid">
        <fgColor rgb="FFFFFDE7"/>
        <bgColor rgb="FFFFF9E6"/>
      </patternFill>
    </fill>
    <fill>
      <patternFill patternType="solid">
        <fgColor rgb="FFDAEEF3"/>
        <bgColor rgb="FFDEEAF1"/>
      </patternFill>
    </fill>
    <fill>
      <patternFill patternType="solid">
        <fgColor rgb="FFE2D0F3"/>
        <bgColor rgb="FFE8DAEF"/>
      </patternFill>
    </fill>
    <fill>
      <patternFill patternType="solid">
        <fgColor rgb="FFFCE4D6"/>
        <bgColor rgb="FFFFE4E1"/>
      </patternFill>
    </fill>
    <fill>
      <patternFill patternType="solid">
        <fgColor rgb="FFFDEBD0"/>
        <bgColor rgb="FFFFF2CC"/>
      </patternFill>
    </fill>
    <fill>
      <patternFill patternType="solid">
        <fgColor rgb="FFD5F5E3"/>
        <bgColor rgb="FFE0F0E8"/>
      </patternFill>
    </fill>
    <fill>
      <patternFill patternType="solid">
        <fgColor rgb="FFECECEC"/>
        <bgColor rgb="FFF3E5F5"/>
      </patternFill>
    </fill>
    <fill>
      <patternFill patternType="solid">
        <fgColor rgb="FFFFF2CC"/>
        <bgColor rgb="FFFCF3CF"/>
      </patternFill>
    </fill>
    <fill>
      <patternFill patternType="solid">
        <fgColor rgb="FFFCF3CF"/>
        <bgColor rgb="FFFFF2CC"/>
      </patternFill>
    </fill>
    <fill>
      <patternFill patternType="solid">
        <fgColor rgb="FFF9E4C8"/>
        <bgColor rgb="FFFCE4D6"/>
      </patternFill>
    </fill>
    <fill>
      <patternFill patternType="solid">
        <fgColor rgb="FFFADBD8"/>
        <bgColor rgb="FFFCE4D6"/>
      </patternFill>
    </fill>
    <fill>
      <patternFill patternType="solid">
        <fgColor rgb="FFD5DBDB"/>
        <bgColor rgb="FFD3D3D3"/>
      </patternFill>
    </fill>
    <fill>
      <patternFill patternType="solid">
        <fgColor rgb="FFDAE8FB"/>
        <bgColor rgb="FFDEEAF1"/>
      </patternFill>
    </fill>
    <fill>
      <patternFill patternType="solid">
        <fgColor rgb="FFFFF9C4"/>
        <bgColor rgb="FFFFF2CC"/>
      </patternFill>
    </fill>
    <fill>
      <patternFill patternType="solid">
        <fgColor theme="3" tint="0.59959715567491678"/>
        <bgColor rgb="FFC5CAE9"/>
      </patternFill>
    </fill>
    <fill>
      <patternFill patternType="solid">
        <fgColor rgb="FFD0E0FF"/>
        <bgColor rgb="FFDAE8FB"/>
      </patternFill>
    </fill>
    <fill>
      <patternFill patternType="solid">
        <fgColor rgb="FFC5CAE9"/>
        <bgColor rgb="FFCCCCCC"/>
      </patternFill>
    </fill>
    <fill>
      <patternFill patternType="solid">
        <fgColor rgb="FFE8DAEF"/>
        <bgColor rgb="FFE0E0E0"/>
      </patternFill>
    </fill>
    <fill>
      <patternFill patternType="solid">
        <fgColor rgb="FFF5F5DC"/>
        <bgColor rgb="FFFCF3CF"/>
      </patternFill>
    </fill>
    <fill>
      <patternFill patternType="solid">
        <fgColor rgb="FFFFE4E1"/>
        <bgColor rgb="FFFCE4D6"/>
      </patternFill>
    </fill>
    <fill>
      <patternFill patternType="solid">
        <fgColor rgb="FFF0FFF0"/>
        <bgColor rgb="FFF0FBF0"/>
      </patternFill>
    </fill>
    <fill>
      <patternFill patternType="solid">
        <fgColor rgb="FFE0F0E8"/>
        <bgColor rgb="FFE2EFDA"/>
      </patternFill>
    </fill>
    <fill>
      <patternFill patternType="solid">
        <fgColor rgb="FFC8F7C5"/>
        <bgColor rgb="FFC6EFCE"/>
      </patternFill>
    </fill>
    <fill>
      <patternFill patternType="solid">
        <fgColor rgb="FFEAFAF1"/>
        <bgColor rgb="FFF0FBF0"/>
      </patternFill>
    </fill>
    <fill>
      <patternFill patternType="solid">
        <fgColor rgb="FFFEF9E7"/>
        <bgColor rgb="FFFFF9E6"/>
      </patternFill>
    </fill>
    <fill>
      <patternFill patternType="solid">
        <fgColor theme="9" tint="0.59959715567491678"/>
        <bgColor rgb="FFFADBD8"/>
      </patternFill>
    </fill>
    <fill>
      <patternFill patternType="solid">
        <fgColor rgb="FF7F7F7F"/>
        <bgColor rgb="FF9F8B23"/>
      </patternFill>
    </fill>
    <fill>
      <patternFill patternType="solid">
        <fgColor rgb="FF28435A"/>
        <bgColor rgb="FF1F3864"/>
      </patternFill>
    </fill>
    <fill>
      <patternFill patternType="darkGray">
        <fgColor rgb="FFDAE8FB"/>
        <bgColor rgb="FFDEEAF1"/>
      </patternFill>
    </fill>
    <fill>
      <patternFill patternType="solid">
        <fgColor rgb="FF375623"/>
        <bgColor rgb="FF236120"/>
      </patternFill>
    </fill>
    <fill>
      <patternFill patternType="solid">
        <fgColor rgb="FF9F8B23"/>
        <bgColor rgb="FF7F7F7F"/>
      </patternFill>
    </fill>
    <fill>
      <patternFill patternType="solid">
        <fgColor rgb="FF555555"/>
        <bgColor rgb="FF375623"/>
      </patternFill>
    </fill>
    <fill>
      <patternFill patternType="solid">
        <fgColor rgb="FFEBF3FC"/>
        <bgColor rgb="FFE3F2FD"/>
      </patternFill>
    </fill>
    <fill>
      <patternFill patternType="solid">
        <fgColor rgb="FFE8F5E9"/>
        <bgColor rgb="FFEAFAF1"/>
      </patternFill>
    </fill>
    <fill>
      <patternFill patternType="solid">
        <fgColor rgb="FFE3F2FD"/>
        <bgColor rgb="FFEBF3FC"/>
      </patternFill>
    </fill>
    <fill>
      <patternFill patternType="solid">
        <fgColor rgb="FFFFF8E1"/>
        <bgColor rgb="FFFFF9E6"/>
      </patternFill>
    </fill>
    <fill>
      <patternFill patternType="solid">
        <fgColor rgb="FFF3E5F5"/>
        <bgColor rgb="FFECECEC"/>
      </patternFill>
    </fill>
    <fill>
      <patternFill patternType="solid">
        <fgColor rgb="FFF5F5F5"/>
        <bgColor rgb="FFF8F8F8"/>
      </patternFill>
    </fill>
    <fill>
      <patternFill patternType="solid">
        <fgColor rgb="FFD3D3D3"/>
        <bgColor rgb="FFD5DBDB"/>
      </patternFill>
    </fill>
    <fill>
      <patternFill patternType="solid">
        <fgColor rgb="FFF0FBF0"/>
        <bgColor rgb="FFF0FFF0"/>
      </patternFill>
    </fill>
    <fill>
      <patternFill patternType="solid">
        <fgColor rgb="FFFFF9E6"/>
        <bgColor rgb="FFFEF9E7"/>
      </patternFill>
    </fill>
    <fill>
      <patternFill patternType="solid">
        <fgColor rgb="FFE0E0E0"/>
        <bgColor rgb="FFD5DBDB"/>
      </patternFill>
    </fill>
    <fill>
      <patternFill patternType="solid">
        <fgColor rgb="FFFFF0F0"/>
        <bgColor rgb="FFF5F5F5"/>
      </patternFill>
    </fill>
    <fill>
      <patternFill patternType="solid">
        <fgColor rgb="FFF8F8F8"/>
        <bgColor rgb="FFF8F9FA"/>
      </patternFill>
    </fill>
    <fill>
      <patternFill patternType="solid">
        <fgColor rgb="FFF8F9FA"/>
        <bgColor rgb="FFF8F8F8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9F8B2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medium">
        <color rgb="FF9F8B23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medium">
        <color rgb="FF196EBC"/>
      </left>
      <right style="medium">
        <color rgb="FF196EBC"/>
      </right>
      <top style="medium">
        <color rgb="FF196EBC"/>
      </top>
      <bottom style="medium">
        <color rgb="FF196EBC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31" fillId="8" borderId="0" xfId="0" applyFont="1" applyFill="1" applyAlignment="1">
      <alignment horizontal="left" vertical="center" indent="1"/>
    </xf>
    <xf numFmtId="0" fontId="23" fillId="37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165" fontId="0" fillId="34" borderId="0" xfId="0" applyNumberFormat="1" applyFill="1"/>
    <xf numFmtId="3" fontId="12" fillId="22" borderId="4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5" fillId="35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 indent="1"/>
    </xf>
    <xf numFmtId="3" fontId="8" fillId="7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6" fontId="9" fillId="7" borderId="1" xfId="0" applyNumberFormat="1" applyFont="1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0" fontId="8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indent="1"/>
    </xf>
    <xf numFmtId="0" fontId="8" fillId="10" borderId="1" xfId="0" applyFont="1" applyFill="1" applyBorder="1" applyAlignment="1">
      <alignment horizontal="left" vertical="center" indent="1"/>
    </xf>
    <xf numFmtId="0" fontId="8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indent="1"/>
    </xf>
    <xf numFmtId="0" fontId="8" fillId="11" borderId="1" xfId="0" applyFont="1" applyFill="1" applyBorder="1" applyAlignment="1">
      <alignment horizontal="left" vertical="center" indent="1"/>
    </xf>
    <xf numFmtId="0" fontId="8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 indent="1"/>
    </xf>
    <xf numFmtId="0" fontId="8" fillId="12" borderId="1" xfId="0" applyFont="1" applyFill="1" applyBorder="1" applyAlignment="1">
      <alignment horizontal="left" vertical="center" indent="1"/>
    </xf>
    <xf numFmtId="0" fontId="8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 indent="1"/>
    </xf>
    <xf numFmtId="0" fontId="8" fillId="13" borderId="1" xfId="0" applyFont="1" applyFill="1" applyBorder="1" applyAlignment="1">
      <alignment horizontal="left" vertical="center" indent="1"/>
    </xf>
    <xf numFmtId="0" fontId="8" fillId="13" borderId="1" xfId="0" applyFont="1" applyFill="1" applyBorder="1" applyAlignment="1">
      <alignment horizontal="center" vertical="center"/>
    </xf>
    <xf numFmtId="166" fontId="10" fillId="14" borderId="1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 indent="1"/>
    </xf>
    <xf numFmtId="0" fontId="8" fillId="15" borderId="1" xfId="0" applyFont="1" applyFill="1" applyBorder="1" applyAlignment="1">
      <alignment horizontal="left" vertical="center" indent="1"/>
    </xf>
    <xf numFmtId="0" fontId="8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left" vertical="center" indent="1"/>
    </xf>
    <xf numFmtId="0" fontId="8" fillId="16" borderId="1" xfId="0" applyFont="1" applyFill="1" applyBorder="1" applyAlignment="1">
      <alignment horizontal="left" vertical="center" indent="1"/>
    </xf>
    <xf numFmtId="0" fontId="8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center" indent="1"/>
    </xf>
    <xf numFmtId="0" fontId="8" fillId="17" borderId="1" xfId="0" applyFont="1" applyFill="1" applyBorder="1" applyAlignment="1">
      <alignment horizontal="left" vertical="center" indent="1"/>
    </xf>
    <xf numFmtId="0" fontId="8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left" vertical="center" indent="1"/>
    </xf>
    <xf numFmtId="0" fontId="8" fillId="18" borderId="1" xfId="0" applyFont="1" applyFill="1" applyBorder="1" applyAlignment="1">
      <alignment horizontal="left" vertical="center" indent="1"/>
    </xf>
    <xf numFmtId="0" fontId="8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left" vertical="center" indent="1"/>
    </xf>
    <xf numFmtId="0" fontId="8" fillId="19" borderId="1" xfId="0" applyFont="1" applyFill="1" applyBorder="1" applyAlignment="1">
      <alignment horizontal="left" vertical="center" indent="1"/>
    </xf>
    <xf numFmtId="0" fontId="8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left" vertical="center" indent="1"/>
    </xf>
    <xf numFmtId="0" fontId="8" fillId="20" borderId="1" xfId="0" applyFont="1" applyFill="1" applyBorder="1" applyAlignment="1">
      <alignment horizontal="left" vertical="center" indent="1"/>
    </xf>
    <xf numFmtId="0" fontId="8" fillId="20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3" fontId="3" fillId="3" borderId="2" xfId="0" applyNumberFormat="1" applyFont="1" applyFill="1" applyBorder="1" applyAlignment="1">
      <alignment horizontal="center" vertical="center"/>
    </xf>
    <xf numFmtId="3" fontId="7" fillId="21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indent="1"/>
    </xf>
    <xf numFmtId="166" fontId="3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/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3" fontId="12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indent="1"/>
    </xf>
    <xf numFmtId="166" fontId="3" fillId="0" borderId="3" xfId="0" applyNumberFormat="1" applyFont="1" applyBorder="1" applyAlignment="1">
      <alignment horizontal="center" vertical="center"/>
    </xf>
    <xf numFmtId="0" fontId="0" fillId="0" borderId="3" xfId="0" applyBorder="1"/>
    <xf numFmtId="0" fontId="6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left" vertical="center" indent="1"/>
    </xf>
    <xf numFmtId="0" fontId="8" fillId="23" borderId="1" xfId="0" applyFont="1" applyFill="1" applyBorder="1" applyAlignment="1">
      <alignment horizontal="left" vertical="center" indent="1"/>
    </xf>
    <xf numFmtId="0" fontId="8" fillId="2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left" vertical="center" indent="1"/>
    </xf>
    <xf numFmtId="0" fontId="8" fillId="24" borderId="1" xfId="0" applyFont="1" applyFill="1" applyBorder="1" applyAlignment="1">
      <alignment horizontal="left" vertical="center" indent="1"/>
    </xf>
    <xf numFmtId="0" fontId="8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left" vertical="center" indent="1"/>
    </xf>
    <xf numFmtId="0" fontId="8" fillId="25" borderId="1" xfId="0" applyFont="1" applyFill="1" applyBorder="1" applyAlignment="1">
      <alignment horizontal="left" vertical="center" indent="1"/>
    </xf>
    <xf numFmtId="0" fontId="8" fillId="25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left" vertical="center" indent="1"/>
    </xf>
    <xf numFmtId="0" fontId="8" fillId="26" borderId="1" xfId="0" applyFont="1" applyFill="1" applyBorder="1" applyAlignment="1">
      <alignment horizontal="left" vertical="center" indent="1"/>
    </xf>
    <xf numFmtId="0" fontId="8" fillId="26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left" vertical="center" indent="1"/>
    </xf>
    <xf numFmtId="0" fontId="8" fillId="27" borderId="1" xfId="0" applyFont="1" applyFill="1" applyBorder="1" applyAlignment="1">
      <alignment horizontal="left" vertical="center" indent="1"/>
    </xf>
    <xf numFmtId="0" fontId="8" fillId="27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left" vertical="center" indent="1"/>
    </xf>
    <xf numFmtId="0" fontId="8" fillId="28" borderId="1" xfId="0" applyFont="1" applyFill="1" applyBorder="1" applyAlignment="1">
      <alignment horizontal="left" vertical="center" indent="1"/>
    </xf>
    <xf numFmtId="0" fontId="8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left" vertical="center" indent="1"/>
    </xf>
    <xf numFmtId="0" fontId="8" fillId="29" borderId="1" xfId="0" applyFont="1" applyFill="1" applyBorder="1" applyAlignment="1">
      <alignment horizontal="left" vertical="center" indent="1"/>
    </xf>
    <xf numFmtId="0" fontId="8" fillId="29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left" vertical="center" indent="1"/>
    </xf>
    <xf numFmtId="0" fontId="8" fillId="30" borderId="1" xfId="0" applyFont="1" applyFill="1" applyBorder="1" applyAlignment="1">
      <alignment horizontal="left" vertical="center" indent="1"/>
    </xf>
    <xf numFmtId="0" fontId="8" fillId="30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left" vertical="center" indent="1"/>
    </xf>
    <xf numFmtId="0" fontId="8" fillId="31" borderId="1" xfId="0" applyFont="1" applyFill="1" applyBorder="1" applyAlignment="1">
      <alignment horizontal="left" vertical="center" indent="1"/>
    </xf>
    <xf numFmtId="0" fontId="8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left" vertical="center" indent="1"/>
    </xf>
    <xf numFmtId="0" fontId="8" fillId="32" borderId="1" xfId="0" applyFont="1" applyFill="1" applyBorder="1" applyAlignment="1">
      <alignment horizontal="left" vertical="center" indent="1"/>
    </xf>
    <xf numFmtId="0" fontId="8" fillId="32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left" vertical="center" indent="1"/>
    </xf>
    <xf numFmtId="0" fontId="8" fillId="33" borderId="1" xfId="0" applyFont="1" applyFill="1" applyBorder="1" applyAlignment="1">
      <alignment horizontal="center" vertical="center"/>
    </xf>
    <xf numFmtId="3" fontId="8" fillId="33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34" borderId="1" xfId="0" applyNumberFormat="1" applyFont="1" applyFill="1" applyBorder="1" applyAlignment="1">
      <alignment horizontal="center" vertical="center"/>
    </xf>
    <xf numFmtId="0" fontId="0" fillId="34" borderId="0" xfId="0" applyFill="1"/>
    <xf numFmtId="165" fontId="1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4" fillId="0" borderId="0" xfId="0" applyFont="1"/>
    <xf numFmtId="0" fontId="13" fillId="0" borderId="0" xfId="0" applyFont="1"/>
    <xf numFmtId="0" fontId="16" fillId="0" borderId="0" xfId="0" applyFont="1" applyAlignment="1" applyProtection="1">
      <alignment horizontal="center" vertical="center" wrapText="1"/>
      <protection locked="0"/>
    </xf>
    <xf numFmtId="164" fontId="17" fillId="36" borderId="0" xfId="0" applyNumberFormat="1" applyFont="1" applyFill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8" fillId="5" borderId="0" xfId="0" applyFont="1" applyFill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37" borderId="1" xfId="0" applyFont="1" applyFill="1" applyBorder="1" applyAlignment="1" applyProtection="1">
      <alignment horizontal="center" vertical="center" wrapText="1"/>
      <protection locked="0"/>
    </xf>
    <xf numFmtId="0" fontId="3" fillId="38" borderId="1" xfId="0" applyFont="1" applyFill="1" applyBorder="1" applyAlignment="1" applyProtection="1">
      <alignment horizontal="center" vertical="center" wrapText="1"/>
      <protection locked="0"/>
    </xf>
    <xf numFmtId="0" fontId="3" fillId="39" borderId="1" xfId="0" applyFont="1" applyFill="1" applyBorder="1" applyAlignment="1" applyProtection="1">
      <alignment horizontal="center" vertical="center" wrapText="1"/>
      <protection locked="0"/>
    </xf>
    <xf numFmtId="0" fontId="19" fillId="40" borderId="1" xfId="0" applyFont="1" applyFill="1" applyBorder="1" applyAlignment="1" applyProtection="1">
      <alignment horizontal="left" vertical="center"/>
      <protection locked="0"/>
    </xf>
    <xf numFmtId="0" fontId="8" fillId="40" borderId="1" xfId="0" applyFont="1" applyFill="1" applyBorder="1" applyAlignment="1" applyProtection="1">
      <alignment horizontal="left" vertical="center"/>
      <protection locked="0"/>
    </xf>
    <xf numFmtId="0" fontId="19" fillId="40" borderId="1" xfId="0" applyFont="1" applyFill="1" applyBorder="1" applyAlignment="1" applyProtection="1">
      <alignment horizontal="center" vertical="center" wrapText="1"/>
      <protection locked="0"/>
    </xf>
    <xf numFmtId="0" fontId="20" fillId="41" borderId="1" xfId="0" applyFont="1" applyFill="1" applyBorder="1" applyAlignment="1" applyProtection="1">
      <alignment horizontal="center" vertical="center"/>
      <protection locked="0"/>
    </xf>
    <xf numFmtId="0" fontId="20" fillId="42" borderId="1" xfId="0" applyFont="1" applyFill="1" applyBorder="1" applyAlignment="1" applyProtection="1">
      <alignment horizontal="center" vertical="center"/>
      <protection locked="0"/>
    </xf>
    <xf numFmtId="167" fontId="20" fillId="41" borderId="1" xfId="0" applyNumberFormat="1" applyFont="1" applyFill="1" applyBorder="1" applyAlignment="1" applyProtection="1">
      <alignment horizontal="center" vertical="center"/>
      <protection locked="0"/>
    </xf>
    <xf numFmtId="167" fontId="20" fillId="43" borderId="1" xfId="0" applyNumberFormat="1" applyFont="1" applyFill="1" applyBorder="1" applyAlignment="1" applyProtection="1">
      <alignment horizontal="center" vertical="center"/>
      <protection locked="0"/>
    </xf>
    <xf numFmtId="0" fontId="20" fillId="44" borderId="1" xfId="0" applyFont="1" applyFill="1" applyBorder="1" applyAlignment="1" applyProtection="1">
      <alignment horizontal="center" vertical="center"/>
      <protection locked="0"/>
    </xf>
    <xf numFmtId="0" fontId="20" fillId="45" borderId="1" xfId="0" applyFont="1" applyFill="1" applyBorder="1" applyAlignment="1" applyProtection="1">
      <alignment horizontal="center" vertical="center"/>
      <protection locked="0"/>
    </xf>
    <xf numFmtId="167" fontId="21" fillId="46" borderId="1" xfId="0" applyNumberFormat="1" applyFont="1" applyFill="1" applyBorder="1" applyAlignment="1">
      <alignment horizontal="center" vertical="center"/>
    </xf>
    <xf numFmtId="0" fontId="20" fillId="43" borderId="1" xfId="0" applyFont="1" applyFill="1" applyBorder="1" applyAlignment="1" applyProtection="1">
      <alignment horizontal="center" vertical="center"/>
      <protection locked="0"/>
    </xf>
    <xf numFmtId="0" fontId="20" fillId="44" borderId="5" xfId="0" applyFont="1" applyFill="1" applyBorder="1" applyAlignment="1" applyProtection="1">
      <alignment horizontal="center" vertical="center"/>
      <protection locked="0"/>
    </xf>
    <xf numFmtId="0" fontId="19" fillId="47" borderId="1" xfId="0" applyFont="1" applyFill="1" applyBorder="1" applyAlignment="1" applyProtection="1">
      <alignment horizontal="left" vertical="center"/>
      <protection locked="0"/>
    </xf>
    <xf numFmtId="0" fontId="8" fillId="47" borderId="1" xfId="0" applyFont="1" applyFill="1" applyBorder="1" applyAlignment="1" applyProtection="1">
      <alignment horizontal="left" vertical="center"/>
      <protection locked="0"/>
    </xf>
    <xf numFmtId="0" fontId="19" fillId="47" borderId="1" xfId="0" applyFont="1" applyFill="1" applyBorder="1" applyAlignment="1" applyProtection="1">
      <alignment horizontal="center" vertical="center" wrapText="1"/>
      <protection locked="0"/>
    </xf>
    <xf numFmtId="0" fontId="21" fillId="46" borderId="1" xfId="0" applyFont="1" applyFill="1" applyBorder="1" applyAlignment="1">
      <alignment horizontal="center" vertical="center"/>
    </xf>
    <xf numFmtId="0" fontId="19" fillId="48" borderId="1" xfId="0" applyFont="1" applyFill="1" applyBorder="1" applyAlignment="1" applyProtection="1">
      <alignment horizontal="left" vertical="center"/>
      <protection locked="0"/>
    </xf>
    <xf numFmtId="0" fontId="8" fillId="48" borderId="1" xfId="0" applyFont="1" applyFill="1" applyBorder="1" applyAlignment="1" applyProtection="1">
      <alignment horizontal="left" vertical="center"/>
      <protection locked="0"/>
    </xf>
    <xf numFmtId="0" fontId="19" fillId="48" borderId="1" xfId="0" applyFont="1" applyFill="1" applyBorder="1" applyAlignment="1" applyProtection="1">
      <alignment horizontal="center" vertical="center" wrapText="1"/>
      <protection locked="0"/>
    </xf>
    <xf numFmtId="0" fontId="7" fillId="48" borderId="1" xfId="0" applyFont="1" applyFill="1" applyBorder="1" applyAlignment="1" applyProtection="1">
      <alignment horizontal="left" vertical="center"/>
      <protection locked="0"/>
    </xf>
    <xf numFmtId="0" fontId="0" fillId="49" borderId="1" xfId="0" applyFill="1" applyBorder="1" applyProtection="1">
      <protection locked="0"/>
    </xf>
    <xf numFmtId="0" fontId="21" fillId="46" borderId="1" xfId="0" applyFont="1" applyFill="1" applyBorder="1"/>
    <xf numFmtId="0" fontId="22" fillId="42" borderId="1" xfId="0" applyFont="1" applyFill="1" applyBorder="1" applyAlignment="1" applyProtection="1">
      <alignment horizontal="center" vertical="center"/>
      <protection locked="0"/>
    </xf>
    <xf numFmtId="0" fontId="19" fillId="50" borderId="1" xfId="0" applyFont="1" applyFill="1" applyBorder="1" applyAlignment="1" applyProtection="1">
      <alignment horizontal="left" vertical="center"/>
      <protection locked="0"/>
    </xf>
    <xf numFmtId="0" fontId="8" fillId="50" borderId="1" xfId="0" applyFont="1" applyFill="1" applyBorder="1" applyAlignment="1" applyProtection="1">
      <alignment horizontal="left" vertical="center"/>
      <protection locked="0"/>
    </xf>
    <xf numFmtId="0" fontId="19" fillId="50" borderId="1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right" vertical="center"/>
    </xf>
    <xf numFmtId="164" fontId="23" fillId="2" borderId="6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3" fillId="37" borderId="7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" fillId="35" borderId="1" xfId="0" applyFont="1" applyFill="1" applyBorder="1" applyAlignment="1">
      <alignment horizontal="center" vertical="center" wrapText="1"/>
    </xf>
    <xf numFmtId="164" fontId="16" fillId="4" borderId="1" xfId="0" applyNumberFormat="1" applyFont="1" applyFill="1" applyBorder="1" applyAlignment="1">
      <alignment horizontal="center" vertical="center"/>
    </xf>
    <xf numFmtId="0" fontId="26" fillId="51" borderId="1" xfId="0" applyFont="1" applyFill="1" applyBorder="1" applyAlignment="1">
      <alignment horizontal="center" vertical="center"/>
    </xf>
    <xf numFmtId="3" fontId="27" fillId="52" borderId="1" xfId="0" applyNumberFormat="1" applyFont="1" applyFill="1" applyBorder="1" applyAlignment="1">
      <alignment horizontal="center" vertical="center"/>
    </xf>
    <xf numFmtId="3" fontId="28" fillId="41" borderId="1" xfId="0" applyNumberFormat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3" fontId="29" fillId="0" borderId="1" xfId="0" applyNumberFormat="1" applyFont="1" applyBorder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52" borderId="1" xfId="0" applyFont="1" applyFill="1" applyBorder="1" applyAlignment="1">
      <alignment horizontal="center" vertical="center"/>
    </xf>
    <xf numFmtId="3" fontId="0" fillId="0" borderId="0" xfId="0" applyNumberFormat="1"/>
    <xf numFmtId="0" fontId="0" fillId="49" borderId="0" xfId="0" applyFill="1"/>
    <xf numFmtId="164" fontId="30" fillId="21" borderId="1" xfId="0" applyNumberFormat="1" applyFont="1" applyFill="1" applyBorder="1" applyAlignment="1">
      <alignment horizontal="center" vertical="center"/>
    </xf>
    <xf numFmtId="0" fontId="30" fillId="21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28" fillId="41" borderId="1" xfId="0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5" fontId="8" fillId="52" borderId="1" xfId="0" applyNumberFormat="1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3" fontId="8" fillId="52" borderId="1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 indent="1"/>
    </xf>
  </cellXfs>
  <cellStyles count="1">
    <cellStyle name="Normal" xfId="0" builtinId="0"/>
  </cellStyles>
  <dxfs count="15"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9999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9999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9999"/>
        </patternFill>
      </fill>
    </dxf>
    <dxf>
      <font>
        <b/>
        <sz val="9"/>
        <color rgb="FF9C0006"/>
        <name val="Arial"/>
        <charset val="1"/>
      </font>
      <fill>
        <patternFill>
          <bgColor rgb="FFFF9999"/>
        </patternFill>
      </fill>
    </dxf>
    <dxf>
      <font>
        <b/>
        <sz val="9"/>
        <color rgb="FF9C0006"/>
        <name val="Arial"/>
        <charset val="1"/>
      </font>
      <fill>
        <patternFill>
          <bgColor rgb="FFFF9999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9999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9999"/>
        </patternFill>
      </fill>
    </dxf>
    <dxf>
      <font>
        <b/>
        <sz val="9"/>
        <color rgb="FF9C0006"/>
        <name val="Arial"/>
        <charset val="1"/>
      </font>
      <fill>
        <patternFill>
          <bgColor rgb="FFFF9999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99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F8E1"/>
      <rgbColor rgb="FFE2EFDA"/>
      <rgbColor rgb="FFF8F9FA"/>
      <rgbColor rgb="FFFCF3CF"/>
      <rgbColor rgb="FFFFF0F0"/>
      <rgbColor rgb="FFDAE8FB"/>
      <rgbColor rgb="FF9C0006"/>
      <rgbColor rgb="FF236120"/>
      <rgbColor rgb="FFFFF9E6"/>
      <rgbColor rgb="FF9F8B23"/>
      <rgbColor rgb="FFF5F5DC"/>
      <rgbColor rgb="FFE3F2FD"/>
      <rgbColor rgb="FFCCCCCC"/>
      <rgbColor rgb="FF7F7F7F"/>
      <rgbColor rgb="FF9CAFD5"/>
      <rgbColor rgb="FFFFE4E1"/>
      <rgbColor rgb="FFFFF9C4"/>
      <rgbColor rgb="FFD5F5E3"/>
      <rgbColor rgb="FFF0FBF0"/>
      <rgbColor rgb="FFFADBD8"/>
      <rgbColor rgb="FF196EBC"/>
      <rgbColor rgb="FFC5CAE9"/>
      <rgbColor rgb="FFFFFDE7"/>
      <rgbColor rgb="FFF5F5F5"/>
      <rgbColor rgb="FFFDEBD0"/>
      <rgbColor rgb="FFDEEAF1"/>
      <rgbColor rgb="FFEAFAF1"/>
      <rgbColor rgb="FFFEF9E7"/>
      <rgbColor rgb="FFECECEC"/>
      <rgbColor rgb="FFF0FFF0"/>
      <rgbColor rgb="FFE0E0E0"/>
      <rgbColor rgb="FFDAEEF3"/>
      <rgbColor rgb="FFC8F7C5"/>
      <rgbColor rgb="FFFFF2CC"/>
      <rgbColor rgb="FFBDD7EE"/>
      <rgbColor rgb="FFFF9999"/>
      <rgbColor rgb="FFE2D0F3"/>
      <rgbColor rgb="FFFCD5B5"/>
      <rgbColor rgb="FFE0F0E8"/>
      <rgbColor rgb="FFD0E0FF"/>
      <rgbColor rgb="FFC6EFCE"/>
      <rgbColor rgb="FFF9E4C8"/>
      <rgbColor rgb="FFFCE4D6"/>
      <rgbColor rgb="FFE8DAEF"/>
      <rgbColor rgb="FF555555"/>
      <rgbColor rgb="FFD3D3D3"/>
      <rgbColor rgb="FF1F3864"/>
      <rgbColor rgb="FFD5DBDB"/>
      <rgbColor rgb="FFF8F8F8"/>
      <rgbColor rgb="FF375623"/>
      <rgbColor rgb="FFE8F5E9"/>
      <rgbColor rgb="FFF3E5F5"/>
      <rgbColor rgb="FFEBF3FC"/>
      <rgbColor rgb="FF284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67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J122" sqref="J122"/>
    </sheetView>
  </sheetViews>
  <sheetFormatPr baseColWidth="10" defaultColWidth="8.83203125" defaultRowHeight="15"/>
  <cols>
    <col min="1" max="1" width="12" customWidth="1"/>
    <col min="2" max="2" width="14" customWidth="1"/>
    <col min="3" max="3" width="28.1640625" customWidth="1"/>
    <col min="4" max="4" width="22" customWidth="1"/>
    <col min="5" max="5" width="34" customWidth="1"/>
    <col min="6" max="6" width="14" customWidth="1"/>
    <col min="7" max="13" width="12" customWidth="1"/>
    <col min="14" max="14" width="10" customWidth="1"/>
    <col min="15" max="15" width="20" customWidth="1"/>
    <col min="16" max="17" width="12" customWidth="1"/>
    <col min="18" max="18" width="14" customWidth="1"/>
  </cols>
  <sheetData>
    <row r="1" spans="1:18" ht="42" customHeight="1">
      <c r="A1" s="9" t="s">
        <v>0</v>
      </c>
      <c r="F1" s="10">
        <v>46186</v>
      </c>
      <c r="I1" t="s">
        <v>1</v>
      </c>
      <c r="J1" s="7"/>
      <c r="K1" s="7"/>
      <c r="L1" s="7"/>
      <c r="M1" s="7"/>
      <c r="N1" s="7"/>
      <c r="O1" s="7"/>
      <c r="P1" s="7"/>
      <c r="Q1" s="7"/>
      <c r="R1" s="7"/>
    </row>
    <row r="2" spans="1:18" ht="25.5" customHeight="1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37.5" customHeight="1">
      <c r="A3" s="11" t="s">
        <v>3</v>
      </c>
      <c r="B3" s="11" t="s">
        <v>4</v>
      </c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14</v>
      </c>
      <c r="M3" s="12" t="s">
        <v>15</v>
      </c>
      <c r="N3" s="12" t="s">
        <v>16</v>
      </c>
      <c r="O3" s="12" t="s">
        <v>17</v>
      </c>
      <c r="P3" s="12" t="s">
        <v>18</v>
      </c>
      <c r="Q3" s="13" t="s">
        <v>19</v>
      </c>
      <c r="R3" s="12" t="s">
        <v>20</v>
      </c>
    </row>
    <row r="4" spans="1:18" ht="18" customHeight="1">
      <c r="A4" s="14">
        <v>46186</v>
      </c>
      <c r="B4" s="15" t="s">
        <v>1</v>
      </c>
      <c r="C4" s="16" t="s">
        <v>21</v>
      </c>
      <c r="D4" s="17" t="s">
        <v>22</v>
      </c>
      <c r="E4" s="18" t="s">
        <v>23</v>
      </c>
      <c r="F4" s="16" t="s">
        <v>24</v>
      </c>
      <c r="G4" s="19">
        <v>2</v>
      </c>
      <c r="H4" s="19">
        <v>542</v>
      </c>
      <c r="I4" s="19">
        <v>4</v>
      </c>
      <c r="J4" s="19">
        <v>0</v>
      </c>
      <c r="K4" s="19">
        <v>0</v>
      </c>
      <c r="L4" s="19">
        <v>6</v>
      </c>
      <c r="M4" s="19">
        <v>540</v>
      </c>
      <c r="N4" s="19">
        <v>0</v>
      </c>
      <c r="O4" s="20">
        <v>0</v>
      </c>
      <c r="P4" s="21">
        <v>0</v>
      </c>
      <c r="Q4" s="22"/>
      <c r="R4" s="23" t="s">
        <v>25</v>
      </c>
    </row>
    <row r="5" spans="1:18" ht="18" customHeight="1">
      <c r="A5" s="14">
        <v>46186</v>
      </c>
      <c r="B5" s="15" t="s">
        <v>1</v>
      </c>
      <c r="C5" s="16" t="s">
        <v>21</v>
      </c>
      <c r="D5" s="17" t="s">
        <v>22</v>
      </c>
      <c r="E5" s="18" t="s">
        <v>26</v>
      </c>
      <c r="F5" s="16" t="s">
        <v>24</v>
      </c>
      <c r="G5" s="19">
        <v>1</v>
      </c>
      <c r="H5" s="19">
        <v>340</v>
      </c>
      <c r="I5" s="19">
        <v>0</v>
      </c>
      <c r="J5" s="19">
        <v>0</v>
      </c>
      <c r="K5" s="19">
        <v>0</v>
      </c>
      <c r="L5" s="19">
        <v>1</v>
      </c>
      <c r="M5" s="19">
        <v>340</v>
      </c>
      <c r="N5" s="19">
        <v>0</v>
      </c>
      <c r="O5" s="20">
        <v>0</v>
      </c>
      <c r="P5" s="21">
        <v>0</v>
      </c>
      <c r="Q5" s="22"/>
      <c r="R5" s="23"/>
    </row>
    <row r="6" spans="1:18" ht="18" customHeight="1">
      <c r="A6" s="14">
        <v>46186</v>
      </c>
      <c r="B6" s="15" t="s">
        <v>1</v>
      </c>
      <c r="C6" s="16" t="s">
        <v>21</v>
      </c>
      <c r="D6" s="17" t="s">
        <v>22</v>
      </c>
      <c r="E6" s="18" t="s">
        <v>27</v>
      </c>
      <c r="F6" s="16" t="s">
        <v>24</v>
      </c>
      <c r="G6" s="19">
        <v>1</v>
      </c>
      <c r="H6" s="19">
        <v>330</v>
      </c>
      <c r="I6" s="19">
        <v>0</v>
      </c>
      <c r="J6" s="19">
        <v>0</v>
      </c>
      <c r="K6" s="19">
        <v>0</v>
      </c>
      <c r="L6" s="19">
        <v>1</v>
      </c>
      <c r="M6" s="19">
        <v>330</v>
      </c>
      <c r="N6" s="19">
        <v>0</v>
      </c>
      <c r="O6" s="20">
        <v>0</v>
      </c>
      <c r="P6" s="21">
        <v>0</v>
      </c>
      <c r="Q6" s="22"/>
      <c r="R6" s="23"/>
    </row>
    <row r="7" spans="1:18" ht="18" customHeight="1">
      <c r="A7" s="14">
        <v>46186</v>
      </c>
      <c r="B7" s="15" t="s">
        <v>1</v>
      </c>
      <c r="C7" s="16" t="s">
        <v>21</v>
      </c>
      <c r="D7" s="17" t="s">
        <v>22</v>
      </c>
      <c r="E7" s="18" t="s">
        <v>28</v>
      </c>
      <c r="F7" s="16" t="s">
        <v>24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20">
        <v>0</v>
      </c>
      <c r="P7" s="21">
        <v>0</v>
      </c>
      <c r="Q7" s="22"/>
      <c r="R7" s="23"/>
    </row>
    <row r="8" spans="1:18" ht="18" customHeight="1">
      <c r="A8" s="14">
        <v>46186</v>
      </c>
      <c r="B8" s="15" t="s">
        <v>1</v>
      </c>
      <c r="C8" s="16" t="s">
        <v>21</v>
      </c>
      <c r="D8" s="17" t="s">
        <v>22</v>
      </c>
      <c r="E8" s="18" t="s">
        <v>29</v>
      </c>
      <c r="F8" s="16" t="s">
        <v>24</v>
      </c>
      <c r="G8" s="19">
        <v>1</v>
      </c>
      <c r="H8" s="19">
        <v>0</v>
      </c>
      <c r="I8" s="19">
        <v>0</v>
      </c>
      <c r="J8" s="19">
        <v>0</v>
      </c>
      <c r="K8" s="19">
        <v>0</v>
      </c>
      <c r="L8" s="19">
        <v>1</v>
      </c>
      <c r="M8" s="19">
        <v>0</v>
      </c>
      <c r="N8" s="19">
        <v>0</v>
      </c>
      <c r="O8" s="20">
        <v>0</v>
      </c>
      <c r="P8" s="21">
        <v>0</v>
      </c>
      <c r="Q8" s="22"/>
      <c r="R8" s="23"/>
    </row>
    <row r="9" spans="1:18" ht="18" customHeight="1">
      <c r="A9" s="14">
        <v>46186</v>
      </c>
      <c r="B9" s="15" t="s">
        <v>1</v>
      </c>
      <c r="C9" s="16" t="s">
        <v>21</v>
      </c>
      <c r="D9" s="17" t="s">
        <v>22</v>
      </c>
      <c r="E9" s="18" t="s">
        <v>30</v>
      </c>
      <c r="F9" s="16" t="s">
        <v>24</v>
      </c>
      <c r="G9" s="19">
        <v>1</v>
      </c>
      <c r="H9" s="19">
        <v>500</v>
      </c>
      <c r="I9" s="19">
        <v>0</v>
      </c>
      <c r="J9" s="19">
        <v>0</v>
      </c>
      <c r="K9" s="19">
        <v>0</v>
      </c>
      <c r="L9" s="19">
        <v>1</v>
      </c>
      <c r="M9" s="19">
        <v>500</v>
      </c>
      <c r="N9" s="19">
        <v>0</v>
      </c>
      <c r="O9" s="20">
        <v>0</v>
      </c>
      <c r="P9" s="21">
        <v>0</v>
      </c>
      <c r="Q9" s="22"/>
      <c r="R9" s="23"/>
    </row>
    <row r="10" spans="1:18" ht="18" customHeight="1">
      <c r="A10" s="14">
        <v>46186</v>
      </c>
      <c r="B10" s="15" t="s">
        <v>1</v>
      </c>
      <c r="C10" s="16" t="s">
        <v>21</v>
      </c>
      <c r="D10" s="17" t="s">
        <v>22</v>
      </c>
      <c r="E10" s="18" t="s">
        <v>31</v>
      </c>
      <c r="F10" s="16" t="s">
        <v>24</v>
      </c>
      <c r="G10" s="19">
        <v>0</v>
      </c>
      <c r="H10" s="19">
        <v>599</v>
      </c>
      <c r="I10" s="19">
        <v>1</v>
      </c>
      <c r="J10" s="19">
        <v>350</v>
      </c>
      <c r="K10" s="19">
        <v>0</v>
      </c>
      <c r="L10" s="19">
        <v>1</v>
      </c>
      <c r="M10" s="19">
        <v>499</v>
      </c>
      <c r="N10" s="19">
        <v>0</v>
      </c>
      <c r="O10" s="20">
        <v>0</v>
      </c>
      <c r="P10" s="21">
        <v>0</v>
      </c>
      <c r="Q10" s="22"/>
      <c r="R10" s="23"/>
    </row>
    <row r="11" spans="1:18" ht="18" customHeight="1">
      <c r="A11" s="14">
        <v>46186</v>
      </c>
      <c r="B11" s="15" t="s">
        <v>1</v>
      </c>
      <c r="C11" s="16" t="s">
        <v>21</v>
      </c>
      <c r="D11" s="17" t="s">
        <v>22</v>
      </c>
      <c r="E11" s="18" t="s">
        <v>32</v>
      </c>
      <c r="F11" s="16" t="s">
        <v>24</v>
      </c>
      <c r="G11" s="19">
        <v>2</v>
      </c>
      <c r="H11" s="19">
        <v>303</v>
      </c>
      <c r="I11" s="19">
        <v>0</v>
      </c>
      <c r="J11" s="19">
        <v>0</v>
      </c>
      <c r="K11" s="19">
        <v>0</v>
      </c>
      <c r="L11" s="19">
        <v>2</v>
      </c>
      <c r="M11" s="19">
        <v>300</v>
      </c>
      <c r="N11" s="19">
        <v>0</v>
      </c>
      <c r="O11" s="20">
        <v>0</v>
      </c>
      <c r="P11" s="21">
        <v>0</v>
      </c>
      <c r="Q11" s="22"/>
      <c r="R11" s="23"/>
    </row>
    <row r="12" spans="1:18" ht="18" customHeight="1">
      <c r="A12" s="14">
        <v>46186</v>
      </c>
      <c r="B12" s="15" t="s">
        <v>1</v>
      </c>
      <c r="C12" s="16" t="s">
        <v>21</v>
      </c>
      <c r="D12" s="17" t="s">
        <v>22</v>
      </c>
      <c r="E12" s="18" t="s">
        <v>33</v>
      </c>
      <c r="F12" s="16" t="s">
        <v>24</v>
      </c>
      <c r="G12" s="19">
        <v>5</v>
      </c>
      <c r="H12" s="19">
        <v>863</v>
      </c>
      <c r="I12" s="19">
        <v>2</v>
      </c>
      <c r="J12" s="19">
        <v>0</v>
      </c>
      <c r="K12" s="19">
        <v>0</v>
      </c>
      <c r="L12" s="19">
        <v>7</v>
      </c>
      <c r="M12" s="19">
        <v>683</v>
      </c>
      <c r="N12" s="19">
        <v>0</v>
      </c>
      <c r="O12" s="20">
        <v>0</v>
      </c>
      <c r="P12" s="21">
        <v>0</v>
      </c>
      <c r="Q12" s="22"/>
      <c r="R12" s="23"/>
    </row>
    <row r="13" spans="1:18" ht="18" customHeight="1">
      <c r="A13" s="14">
        <v>46186</v>
      </c>
      <c r="B13" s="15" t="s">
        <v>1</v>
      </c>
      <c r="C13" s="24" t="s">
        <v>21</v>
      </c>
      <c r="D13" s="25" t="s">
        <v>34</v>
      </c>
      <c r="E13" s="26" t="s">
        <v>35</v>
      </c>
      <c r="F13" s="24" t="s">
        <v>36</v>
      </c>
      <c r="G13" s="19">
        <v>6</v>
      </c>
      <c r="H13" s="19">
        <v>0</v>
      </c>
      <c r="I13" s="19">
        <v>5</v>
      </c>
      <c r="J13" s="19">
        <v>0</v>
      </c>
      <c r="K13" s="19"/>
      <c r="L13" s="19"/>
      <c r="M13" s="19"/>
      <c r="N13" s="19">
        <v>0</v>
      </c>
      <c r="O13" s="27">
        <v>0</v>
      </c>
      <c r="P13" s="21">
        <v>11</v>
      </c>
      <c r="Q13" s="22"/>
      <c r="R13" s="23"/>
    </row>
    <row r="14" spans="1:18" ht="18" customHeight="1">
      <c r="A14" s="14">
        <v>46186</v>
      </c>
      <c r="B14" s="15" t="s">
        <v>1</v>
      </c>
      <c r="C14" s="24" t="s">
        <v>21</v>
      </c>
      <c r="D14" s="25" t="s">
        <v>34</v>
      </c>
      <c r="E14" s="26" t="s">
        <v>37</v>
      </c>
      <c r="F14" s="24" t="s">
        <v>36</v>
      </c>
      <c r="G14" s="19">
        <v>4</v>
      </c>
      <c r="H14" s="19">
        <v>0</v>
      </c>
      <c r="I14" s="19">
        <v>0</v>
      </c>
      <c r="J14" s="19">
        <v>0</v>
      </c>
      <c r="K14" s="19"/>
      <c r="L14" s="19"/>
      <c r="M14" s="19"/>
      <c r="N14" s="19">
        <v>0</v>
      </c>
      <c r="O14" s="27">
        <v>0</v>
      </c>
      <c r="P14" s="21">
        <v>4</v>
      </c>
      <c r="Q14" s="22"/>
      <c r="R14" s="23"/>
    </row>
    <row r="15" spans="1:18" ht="18" customHeight="1">
      <c r="A15" s="14">
        <v>46186</v>
      </c>
      <c r="B15" s="15" t="s">
        <v>1</v>
      </c>
      <c r="C15" s="28" t="s">
        <v>21</v>
      </c>
      <c r="D15" s="29" t="s">
        <v>38</v>
      </c>
      <c r="E15" s="30" t="s">
        <v>39</v>
      </c>
      <c r="F15" s="28" t="s">
        <v>40</v>
      </c>
      <c r="G15" s="19">
        <v>15</v>
      </c>
      <c r="H15" s="19">
        <v>0</v>
      </c>
      <c r="I15" s="19">
        <v>0</v>
      </c>
      <c r="J15" s="19">
        <v>0</v>
      </c>
      <c r="K15" s="19">
        <v>0</v>
      </c>
      <c r="L15" s="19">
        <v>15</v>
      </c>
      <c r="M15" s="19">
        <v>0</v>
      </c>
      <c r="N15" s="19">
        <v>0</v>
      </c>
      <c r="O15" s="31">
        <v>0</v>
      </c>
      <c r="P15" s="21">
        <v>0</v>
      </c>
      <c r="Q15" s="22"/>
      <c r="R15" s="23"/>
    </row>
    <row r="16" spans="1:18" ht="18" customHeight="1">
      <c r="A16" s="14">
        <v>46186</v>
      </c>
      <c r="B16" s="15" t="s">
        <v>1</v>
      </c>
      <c r="C16" s="28" t="s">
        <v>21</v>
      </c>
      <c r="D16" s="29" t="s">
        <v>38</v>
      </c>
      <c r="E16" s="30" t="s">
        <v>41</v>
      </c>
      <c r="F16" s="28" t="s">
        <v>42</v>
      </c>
      <c r="G16" s="19">
        <v>13</v>
      </c>
      <c r="H16" s="19">
        <v>0</v>
      </c>
      <c r="I16" s="19">
        <v>0</v>
      </c>
      <c r="J16" s="19">
        <v>0</v>
      </c>
      <c r="K16" s="19">
        <v>0</v>
      </c>
      <c r="L16" s="19">
        <v>13</v>
      </c>
      <c r="M16" s="19">
        <v>0</v>
      </c>
      <c r="N16" s="19">
        <v>0</v>
      </c>
      <c r="O16" s="31">
        <v>0</v>
      </c>
      <c r="P16" s="21">
        <v>0</v>
      </c>
      <c r="Q16" s="22"/>
      <c r="R16" s="23"/>
    </row>
    <row r="17" spans="1:18" ht="18" customHeight="1">
      <c r="A17" s="14">
        <v>46186</v>
      </c>
      <c r="B17" s="15" t="s">
        <v>1</v>
      </c>
      <c r="C17" s="32" t="s">
        <v>21</v>
      </c>
      <c r="D17" s="33" t="s">
        <v>43</v>
      </c>
      <c r="E17" s="34" t="s">
        <v>44</v>
      </c>
      <c r="F17" s="32" t="s">
        <v>45</v>
      </c>
      <c r="G17" s="19"/>
      <c r="H17" s="19"/>
      <c r="I17" s="19"/>
      <c r="J17" s="19"/>
      <c r="K17" s="19"/>
      <c r="L17" s="19"/>
      <c r="M17" s="19"/>
      <c r="N17" s="19"/>
      <c r="O17" s="35"/>
      <c r="P17" s="21"/>
      <c r="Q17" s="22"/>
      <c r="R17" s="23"/>
    </row>
    <row r="18" spans="1:18" ht="18" customHeight="1">
      <c r="A18" s="14">
        <v>46186</v>
      </c>
      <c r="B18" s="15" t="s">
        <v>1</v>
      </c>
      <c r="C18" s="32" t="s">
        <v>21</v>
      </c>
      <c r="D18" s="33" t="s">
        <v>43</v>
      </c>
      <c r="E18" s="34" t="s">
        <v>46</v>
      </c>
      <c r="F18" s="32" t="s">
        <v>47</v>
      </c>
      <c r="G18" s="19"/>
      <c r="H18" s="19"/>
      <c r="I18" s="19"/>
      <c r="J18" s="19"/>
      <c r="K18" s="19"/>
      <c r="L18" s="19"/>
      <c r="M18" s="19"/>
      <c r="N18" s="19"/>
      <c r="O18" s="35"/>
      <c r="P18" s="21"/>
      <c r="Q18" s="22"/>
      <c r="R18" s="23"/>
    </row>
    <row r="19" spans="1:18" ht="18" customHeight="1">
      <c r="A19" s="14">
        <v>46186</v>
      </c>
      <c r="B19" s="15" t="s">
        <v>1</v>
      </c>
      <c r="C19" s="36" t="s">
        <v>21</v>
      </c>
      <c r="D19" s="37" t="s">
        <v>48</v>
      </c>
      <c r="E19" s="38" t="s">
        <v>49</v>
      </c>
      <c r="F19" s="36" t="s">
        <v>50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39">
        <v>0</v>
      </c>
      <c r="P19" s="21">
        <v>0</v>
      </c>
      <c r="Q19" s="22"/>
      <c r="R19" s="23"/>
    </row>
    <row r="20" spans="1:18" ht="18" customHeight="1">
      <c r="A20" s="14">
        <v>46186</v>
      </c>
      <c r="B20" s="15" t="s">
        <v>1</v>
      </c>
      <c r="C20" s="40" t="s">
        <v>21</v>
      </c>
      <c r="D20" s="41" t="s">
        <v>51</v>
      </c>
      <c r="E20" s="42" t="s">
        <v>52</v>
      </c>
      <c r="F20" s="40" t="s">
        <v>50</v>
      </c>
      <c r="G20" s="19">
        <v>37</v>
      </c>
      <c r="H20" s="19">
        <v>0</v>
      </c>
      <c r="I20" s="19">
        <v>50</v>
      </c>
      <c r="J20" s="19">
        <v>0</v>
      </c>
      <c r="K20" s="19">
        <v>3</v>
      </c>
      <c r="L20" s="19">
        <v>84</v>
      </c>
      <c r="M20" s="19">
        <v>0</v>
      </c>
      <c r="N20" s="19">
        <v>0</v>
      </c>
      <c r="O20" s="43">
        <v>0</v>
      </c>
      <c r="P20" s="44"/>
      <c r="Q20" s="22"/>
      <c r="R20" s="23"/>
    </row>
    <row r="21" spans="1:18" ht="18" customHeight="1">
      <c r="A21" s="14">
        <v>46186</v>
      </c>
      <c r="B21" s="15" t="s">
        <v>1</v>
      </c>
      <c r="C21" s="45" t="s">
        <v>21</v>
      </c>
      <c r="D21" s="46" t="s">
        <v>53</v>
      </c>
      <c r="E21" s="47" t="s">
        <v>54</v>
      </c>
      <c r="F21" s="45" t="s">
        <v>55</v>
      </c>
      <c r="G21" s="19"/>
      <c r="H21" s="19"/>
      <c r="I21" s="19"/>
      <c r="J21" s="19"/>
      <c r="K21" s="19"/>
      <c r="L21" s="19"/>
      <c r="M21" s="19"/>
      <c r="N21" s="19"/>
      <c r="O21" s="48"/>
      <c r="P21" s="44"/>
      <c r="Q21" s="22"/>
      <c r="R21" s="23"/>
    </row>
    <row r="22" spans="1:18" ht="18" customHeight="1">
      <c r="A22" s="14">
        <v>46186</v>
      </c>
      <c r="B22" s="15" t="s">
        <v>1</v>
      </c>
      <c r="C22" s="45" t="s">
        <v>21</v>
      </c>
      <c r="D22" s="46" t="s">
        <v>53</v>
      </c>
      <c r="E22" s="47" t="s">
        <v>56</v>
      </c>
      <c r="F22" s="45" t="s">
        <v>57</v>
      </c>
      <c r="G22" s="19">
        <v>9</v>
      </c>
      <c r="H22" s="19">
        <v>0</v>
      </c>
      <c r="I22" s="19">
        <v>0</v>
      </c>
      <c r="J22" s="19">
        <v>0</v>
      </c>
      <c r="K22" s="19">
        <v>0</v>
      </c>
      <c r="L22" s="19">
        <v>9</v>
      </c>
      <c r="M22" s="19">
        <v>0</v>
      </c>
      <c r="N22" s="19">
        <v>0</v>
      </c>
      <c r="O22" s="48">
        <v>0</v>
      </c>
      <c r="P22" s="44"/>
      <c r="Q22" s="22"/>
      <c r="R22" s="23"/>
    </row>
    <row r="23" spans="1:18" ht="18" customHeight="1">
      <c r="A23" s="14">
        <v>46186</v>
      </c>
      <c r="B23" s="15" t="s">
        <v>1</v>
      </c>
      <c r="C23" s="45" t="s">
        <v>21</v>
      </c>
      <c r="D23" s="46" t="s">
        <v>53</v>
      </c>
      <c r="E23" s="47" t="s">
        <v>58</v>
      </c>
      <c r="F23" s="45" t="s">
        <v>59</v>
      </c>
      <c r="G23" s="19">
        <v>4</v>
      </c>
      <c r="H23" s="19">
        <v>0</v>
      </c>
      <c r="I23" s="19">
        <v>5</v>
      </c>
      <c r="J23" s="19">
        <v>0</v>
      </c>
      <c r="K23" s="19">
        <v>0</v>
      </c>
      <c r="L23" s="19">
        <v>9</v>
      </c>
      <c r="M23" s="19">
        <v>0</v>
      </c>
      <c r="N23" s="19">
        <v>0</v>
      </c>
      <c r="O23" s="48">
        <v>0</v>
      </c>
      <c r="P23" s="44"/>
      <c r="Q23" s="22"/>
      <c r="R23" s="23"/>
    </row>
    <row r="24" spans="1:18" ht="18" customHeight="1">
      <c r="A24" s="14">
        <v>46186</v>
      </c>
      <c r="B24" s="15" t="s">
        <v>1</v>
      </c>
      <c r="C24" s="45" t="s">
        <v>21</v>
      </c>
      <c r="D24" s="46" t="s">
        <v>53</v>
      </c>
      <c r="E24" s="47" t="s">
        <v>60</v>
      </c>
      <c r="F24" s="45" t="s">
        <v>59</v>
      </c>
      <c r="G24" s="19">
        <v>1</v>
      </c>
      <c r="H24" s="19">
        <v>0</v>
      </c>
      <c r="I24" s="19">
        <v>5</v>
      </c>
      <c r="J24" s="19">
        <v>0</v>
      </c>
      <c r="K24" s="19">
        <v>0</v>
      </c>
      <c r="L24" s="19">
        <v>6</v>
      </c>
      <c r="M24" s="19">
        <v>0</v>
      </c>
      <c r="N24" s="19">
        <v>0</v>
      </c>
      <c r="O24" s="48">
        <v>0</v>
      </c>
      <c r="P24" s="44"/>
      <c r="Q24" s="22"/>
      <c r="R24" s="23"/>
    </row>
    <row r="25" spans="1:18" ht="18" customHeight="1">
      <c r="A25" s="14">
        <v>46186</v>
      </c>
      <c r="B25" s="15" t="s">
        <v>1</v>
      </c>
      <c r="C25" s="45" t="s">
        <v>21</v>
      </c>
      <c r="D25" s="46" t="s">
        <v>53</v>
      </c>
      <c r="E25" s="47" t="s">
        <v>61</v>
      </c>
      <c r="F25" s="45" t="s">
        <v>59</v>
      </c>
      <c r="G25" s="19">
        <v>0</v>
      </c>
      <c r="H25" s="19">
        <v>0</v>
      </c>
      <c r="I25" s="19">
        <v>10</v>
      </c>
      <c r="J25" s="19">
        <v>0</v>
      </c>
      <c r="K25" s="19">
        <v>0</v>
      </c>
      <c r="L25" s="19">
        <v>10</v>
      </c>
      <c r="M25" s="19">
        <v>0</v>
      </c>
      <c r="N25" s="19">
        <v>0</v>
      </c>
      <c r="O25" s="48">
        <v>0</v>
      </c>
      <c r="P25" s="44"/>
      <c r="Q25" s="22"/>
      <c r="R25" s="23"/>
    </row>
    <row r="26" spans="1:18" ht="18" customHeight="1">
      <c r="A26" s="14">
        <v>46186</v>
      </c>
      <c r="B26" s="15" t="s">
        <v>1</v>
      </c>
      <c r="C26" s="45" t="s">
        <v>21</v>
      </c>
      <c r="D26" s="46" t="s">
        <v>53</v>
      </c>
      <c r="E26" s="47" t="s">
        <v>62</v>
      </c>
      <c r="F26" s="45" t="s">
        <v>59</v>
      </c>
      <c r="G26" s="19">
        <v>2</v>
      </c>
      <c r="H26" s="19">
        <v>0</v>
      </c>
      <c r="I26" s="19">
        <v>5</v>
      </c>
      <c r="J26" s="19">
        <v>0</v>
      </c>
      <c r="K26" s="19">
        <v>0</v>
      </c>
      <c r="L26" s="19">
        <v>7</v>
      </c>
      <c r="M26" s="19">
        <v>0</v>
      </c>
      <c r="N26" s="19">
        <v>0</v>
      </c>
      <c r="O26" s="48">
        <v>0</v>
      </c>
      <c r="P26" s="44"/>
      <c r="Q26" s="22"/>
      <c r="R26" s="23"/>
    </row>
    <row r="27" spans="1:18" ht="18" customHeight="1">
      <c r="A27" s="14">
        <v>46186</v>
      </c>
      <c r="B27" s="15" t="s">
        <v>1</v>
      </c>
      <c r="C27" s="45" t="s">
        <v>21</v>
      </c>
      <c r="D27" s="46" t="s">
        <v>53</v>
      </c>
      <c r="E27" s="47" t="s">
        <v>63</v>
      </c>
      <c r="F27" s="45" t="s">
        <v>59</v>
      </c>
      <c r="G27" s="19">
        <v>1</v>
      </c>
      <c r="H27" s="19">
        <v>0</v>
      </c>
      <c r="I27" s="19">
        <v>5</v>
      </c>
      <c r="J27" s="19">
        <v>0</v>
      </c>
      <c r="K27" s="19">
        <v>0</v>
      </c>
      <c r="L27" s="19">
        <v>6</v>
      </c>
      <c r="M27" s="19">
        <v>0</v>
      </c>
      <c r="N27" s="19">
        <v>0</v>
      </c>
      <c r="O27" s="48">
        <v>0</v>
      </c>
      <c r="P27" s="44"/>
      <c r="Q27" s="22"/>
      <c r="R27" s="23"/>
    </row>
    <row r="28" spans="1:18" ht="18" customHeight="1">
      <c r="A28" s="14">
        <v>46186</v>
      </c>
      <c r="B28" s="15" t="s">
        <v>1</v>
      </c>
      <c r="C28" s="45" t="s">
        <v>21</v>
      </c>
      <c r="D28" s="46" t="s">
        <v>53</v>
      </c>
      <c r="E28" s="47" t="s">
        <v>64</v>
      </c>
      <c r="F28" s="45" t="s">
        <v>59</v>
      </c>
      <c r="G28" s="19">
        <v>4</v>
      </c>
      <c r="H28" s="19">
        <v>0</v>
      </c>
      <c r="I28" s="19">
        <v>0</v>
      </c>
      <c r="J28" s="19">
        <v>0</v>
      </c>
      <c r="K28" s="19">
        <v>0</v>
      </c>
      <c r="L28" s="19">
        <v>4</v>
      </c>
      <c r="M28" s="19">
        <v>0</v>
      </c>
      <c r="N28" s="19">
        <v>0</v>
      </c>
      <c r="O28" s="48">
        <v>0</v>
      </c>
      <c r="P28" s="44"/>
      <c r="Q28" s="22"/>
      <c r="R28" s="23"/>
    </row>
    <row r="29" spans="1:18" ht="18" customHeight="1">
      <c r="A29" s="14">
        <v>46186</v>
      </c>
      <c r="B29" s="15" t="s">
        <v>1</v>
      </c>
      <c r="C29" s="49" t="s">
        <v>21</v>
      </c>
      <c r="D29" s="50" t="s">
        <v>65</v>
      </c>
      <c r="E29" s="51" t="s">
        <v>66</v>
      </c>
      <c r="F29" s="49" t="s">
        <v>55</v>
      </c>
      <c r="G29" s="19">
        <v>5</v>
      </c>
      <c r="H29" s="19">
        <v>0</v>
      </c>
      <c r="I29" s="19">
        <v>0</v>
      </c>
      <c r="J29" s="19">
        <v>0</v>
      </c>
      <c r="K29" s="19">
        <v>0</v>
      </c>
      <c r="L29" s="19">
        <v>5</v>
      </c>
      <c r="M29" s="19">
        <v>0</v>
      </c>
      <c r="N29" s="19">
        <v>0</v>
      </c>
      <c r="O29" s="52">
        <v>0</v>
      </c>
      <c r="P29" s="21">
        <v>0</v>
      </c>
      <c r="Q29" s="22"/>
      <c r="R29" s="23"/>
    </row>
    <row r="30" spans="1:18" ht="18" customHeight="1">
      <c r="A30" s="14">
        <v>46186</v>
      </c>
      <c r="B30" s="15" t="s">
        <v>1</v>
      </c>
      <c r="C30" s="49" t="s">
        <v>21</v>
      </c>
      <c r="D30" s="50" t="s">
        <v>65</v>
      </c>
      <c r="E30" s="51" t="s">
        <v>67</v>
      </c>
      <c r="F30" s="49" t="s">
        <v>55</v>
      </c>
      <c r="G30" s="19">
        <v>5</v>
      </c>
      <c r="H30" s="19">
        <v>0</v>
      </c>
      <c r="I30" s="19">
        <v>0</v>
      </c>
      <c r="J30" s="19">
        <v>0</v>
      </c>
      <c r="K30" s="19">
        <v>0</v>
      </c>
      <c r="L30" s="19">
        <v>5</v>
      </c>
      <c r="M30" s="19">
        <v>0</v>
      </c>
      <c r="N30" s="19">
        <v>0</v>
      </c>
      <c r="O30" s="52">
        <v>0</v>
      </c>
      <c r="P30" s="21">
        <v>0</v>
      </c>
      <c r="Q30" s="22"/>
      <c r="R30" s="23"/>
    </row>
    <row r="31" spans="1:18" ht="18" customHeight="1">
      <c r="A31" s="14">
        <v>46186</v>
      </c>
      <c r="B31" s="15" t="s">
        <v>1</v>
      </c>
      <c r="C31" s="49" t="s">
        <v>21</v>
      </c>
      <c r="D31" s="50" t="s">
        <v>65</v>
      </c>
      <c r="E31" s="51" t="s">
        <v>68</v>
      </c>
      <c r="F31" s="49" t="s">
        <v>55</v>
      </c>
      <c r="G31" s="19">
        <v>0</v>
      </c>
      <c r="H31" s="19">
        <v>0</v>
      </c>
      <c r="I31" s="19">
        <v>4</v>
      </c>
      <c r="J31" s="19">
        <v>0</v>
      </c>
      <c r="K31" s="19">
        <v>0</v>
      </c>
      <c r="L31" s="19">
        <v>4</v>
      </c>
      <c r="M31" s="19">
        <v>0</v>
      </c>
      <c r="N31" s="19">
        <v>0</v>
      </c>
      <c r="O31" s="52">
        <v>0</v>
      </c>
      <c r="P31" s="21">
        <v>0</v>
      </c>
      <c r="Q31" s="22"/>
      <c r="R31" s="23"/>
    </row>
    <row r="32" spans="1:18" ht="18" customHeight="1">
      <c r="A32" s="14">
        <v>46186</v>
      </c>
      <c r="B32" s="15" t="s">
        <v>1</v>
      </c>
      <c r="C32" s="53" t="s">
        <v>69</v>
      </c>
      <c r="D32" s="54" t="s">
        <v>70</v>
      </c>
      <c r="E32" s="55" t="s">
        <v>71</v>
      </c>
      <c r="F32" s="53" t="s">
        <v>72</v>
      </c>
      <c r="G32" s="19">
        <v>2</v>
      </c>
      <c r="H32" s="19">
        <v>134</v>
      </c>
      <c r="I32" s="19">
        <v>0</v>
      </c>
      <c r="J32" s="19">
        <v>0</v>
      </c>
      <c r="K32" s="19">
        <v>0</v>
      </c>
      <c r="L32" s="19">
        <v>2</v>
      </c>
      <c r="M32" s="19">
        <v>74</v>
      </c>
      <c r="N32" s="19">
        <v>0</v>
      </c>
      <c r="O32" s="56">
        <v>0</v>
      </c>
      <c r="P32" s="21">
        <v>0</v>
      </c>
      <c r="Q32" s="22"/>
      <c r="R32" s="23"/>
    </row>
    <row r="33" spans="1:18" ht="18" customHeight="1">
      <c r="A33" s="14">
        <v>46186</v>
      </c>
      <c r="B33" s="15" t="s">
        <v>1</v>
      </c>
      <c r="C33" s="53" t="s">
        <v>69</v>
      </c>
      <c r="D33" s="54" t="s">
        <v>70</v>
      </c>
      <c r="E33" s="55" t="s">
        <v>73</v>
      </c>
      <c r="F33" s="53" t="s">
        <v>74</v>
      </c>
      <c r="G33" s="19">
        <v>2</v>
      </c>
      <c r="H33" s="19">
        <v>262</v>
      </c>
      <c r="I33" s="19">
        <v>0</v>
      </c>
      <c r="J33" s="19">
        <v>0</v>
      </c>
      <c r="K33" s="19">
        <v>0</v>
      </c>
      <c r="L33" s="19">
        <v>2</v>
      </c>
      <c r="M33" s="19">
        <v>260</v>
      </c>
      <c r="N33" s="19">
        <v>0</v>
      </c>
      <c r="O33" s="56">
        <v>0</v>
      </c>
      <c r="P33" s="21">
        <v>0</v>
      </c>
      <c r="Q33" s="22"/>
      <c r="R33" s="23"/>
    </row>
    <row r="34" spans="1:18" ht="18" customHeight="1">
      <c r="A34" s="14">
        <v>46186</v>
      </c>
      <c r="B34" s="15" t="s">
        <v>1</v>
      </c>
      <c r="C34" s="53" t="s">
        <v>69</v>
      </c>
      <c r="D34" s="54" t="s">
        <v>70</v>
      </c>
      <c r="E34" s="55" t="s">
        <v>75</v>
      </c>
      <c r="F34" s="53" t="s">
        <v>76</v>
      </c>
      <c r="G34" s="19">
        <v>0</v>
      </c>
      <c r="H34" s="19">
        <v>212</v>
      </c>
      <c r="I34" s="19">
        <v>1</v>
      </c>
      <c r="J34" s="19">
        <v>0</v>
      </c>
      <c r="K34" s="19">
        <v>0</v>
      </c>
      <c r="L34" s="19">
        <v>1</v>
      </c>
      <c r="M34" s="19">
        <v>210</v>
      </c>
      <c r="N34" s="19">
        <v>0</v>
      </c>
      <c r="O34" s="56">
        <v>0</v>
      </c>
      <c r="P34" s="21">
        <v>0</v>
      </c>
      <c r="Q34" s="22"/>
      <c r="R34" s="23"/>
    </row>
    <row r="35" spans="1:18" ht="18" customHeight="1">
      <c r="A35" s="14">
        <v>46186</v>
      </c>
      <c r="B35" s="15" t="s">
        <v>1</v>
      </c>
      <c r="C35" s="53" t="s">
        <v>69</v>
      </c>
      <c r="D35" s="54" t="s">
        <v>70</v>
      </c>
      <c r="E35" s="55" t="s">
        <v>77</v>
      </c>
      <c r="F35" s="53" t="s">
        <v>78</v>
      </c>
      <c r="G35" s="19">
        <v>0</v>
      </c>
      <c r="H35" s="19">
        <v>890</v>
      </c>
      <c r="I35" s="19">
        <v>0</v>
      </c>
      <c r="J35" s="19">
        <v>0</v>
      </c>
      <c r="K35" s="19">
        <v>0</v>
      </c>
      <c r="L35" s="19">
        <v>0</v>
      </c>
      <c r="M35" s="19">
        <v>890</v>
      </c>
      <c r="N35" s="19">
        <v>0</v>
      </c>
      <c r="O35" s="56">
        <v>0</v>
      </c>
      <c r="P35" s="21">
        <v>0</v>
      </c>
      <c r="Q35" s="22"/>
      <c r="R35" s="23"/>
    </row>
    <row r="36" spans="1:18" ht="18" customHeight="1">
      <c r="A36" s="14">
        <v>46186</v>
      </c>
      <c r="B36" s="15" t="s">
        <v>1</v>
      </c>
      <c r="C36" s="53" t="s">
        <v>69</v>
      </c>
      <c r="D36" s="54" t="s">
        <v>70</v>
      </c>
      <c r="E36" s="55" t="s">
        <v>79</v>
      </c>
      <c r="F36" s="53" t="s">
        <v>80</v>
      </c>
      <c r="G36" s="19">
        <v>1</v>
      </c>
      <c r="H36" s="19">
        <v>158</v>
      </c>
      <c r="I36" s="19">
        <v>0</v>
      </c>
      <c r="J36" s="19">
        <v>0</v>
      </c>
      <c r="K36" s="19">
        <v>0</v>
      </c>
      <c r="L36" s="19">
        <v>1</v>
      </c>
      <c r="M36" s="19">
        <v>158</v>
      </c>
      <c r="N36" s="19">
        <v>0</v>
      </c>
      <c r="O36" s="56">
        <v>0</v>
      </c>
      <c r="P36" s="21">
        <v>0</v>
      </c>
      <c r="Q36" s="22"/>
      <c r="R36" s="23"/>
    </row>
    <row r="37" spans="1:18" ht="18" customHeight="1">
      <c r="A37" s="14">
        <v>46186</v>
      </c>
      <c r="B37" s="15" t="s">
        <v>1</v>
      </c>
      <c r="C37" s="53" t="s">
        <v>69</v>
      </c>
      <c r="D37" s="54" t="s">
        <v>70</v>
      </c>
      <c r="E37" s="55" t="s">
        <v>81</v>
      </c>
      <c r="F37" s="53" t="s">
        <v>82</v>
      </c>
      <c r="G37" s="19">
        <v>1</v>
      </c>
      <c r="H37" s="19">
        <v>369</v>
      </c>
      <c r="I37" s="19">
        <v>0</v>
      </c>
      <c r="J37" s="19">
        <v>0</v>
      </c>
      <c r="K37" s="19">
        <v>0</v>
      </c>
      <c r="L37" s="19">
        <v>1</v>
      </c>
      <c r="M37" s="19">
        <v>369</v>
      </c>
      <c r="N37" s="19">
        <v>0</v>
      </c>
      <c r="O37" s="56">
        <v>0</v>
      </c>
      <c r="P37" s="21">
        <v>0</v>
      </c>
      <c r="Q37" s="22"/>
      <c r="R37" s="23"/>
    </row>
    <row r="38" spans="1:18" ht="18" customHeight="1">
      <c r="A38" s="14">
        <v>46186</v>
      </c>
      <c r="B38" s="15" t="s">
        <v>1</v>
      </c>
      <c r="C38" s="53" t="s">
        <v>69</v>
      </c>
      <c r="D38" s="54" t="s">
        <v>70</v>
      </c>
      <c r="E38" s="55" t="s">
        <v>83</v>
      </c>
      <c r="F38" s="53" t="s">
        <v>82</v>
      </c>
      <c r="G38" s="19">
        <v>1</v>
      </c>
      <c r="H38" s="19">
        <v>342</v>
      </c>
      <c r="I38" s="19">
        <v>0</v>
      </c>
      <c r="J38" s="19">
        <v>0</v>
      </c>
      <c r="K38" s="19">
        <v>0</v>
      </c>
      <c r="L38" s="19">
        <v>1</v>
      </c>
      <c r="M38" s="19">
        <v>342</v>
      </c>
      <c r="N38" s="19">
        <v>0</v>
      </c>
      <c r="O38" s="56">
        <v>0</v>
      </c>
      <c r="P38" s="21">
        <v>0</v>
      </c>
      <c r="Q38" s="22"/>
      <c r="R38" s="23"/>
    </row>
    <row r="39" spans="1:18" ht="18" customHeight="1">
      <c r="A39" s="14">
        <v>46186</v>
      </c>
      <c r="B39" s="15" t="s">
        <v>1</v>
      </c>
      <c r="C39" s="53" t="s">
        <v>69</v>
      </c>
      <c r="D39" s="54" t="s">
        <v>70</v>
      </c>
      <c r="E39" s="55" t="s">
        <v>84</v>
      </c>
      <c r="F39" s="53" t="s">
        <v>82</v>
      </c>
      <c r="G39" s="19">
        <v>1</v>
      </c>
      <c r="H39" s="19">
        <v>391</v>
      </c>
      <c r="I39" s="19">
        <v>0</v>
      </c>
      <c r="J39" s="19">
        <v>0</v>
      </c>
      <c r="K39" s="19">
        <v>0</v>
      </c>
      <c r="L39" s="19">
        <v>1</v>
      </c>
      <c r="M39" s="19">
        <v>391</v>
      </c>
      <c r="N39" s="19">
        <v>0</v>
      </c>
      <c r="O39" s="56">
        <v>0</v>
      </c>
      <c r="P39" s="21">
        <v>0</v>
      </c>
      <c r="Q39" s="22"/>
      <c r="R39" s="23"/>
    </row>
    <row r="40" spans="1:18" ht="18" customHeight="1">
      <c r="A40" s="14">
        <v>46186</v>
      </c>
      <c r="B40" s="15" t="s">
        <v>1</v>
      </c>
      <c r="C40" s="53" t="s">
        <v>69</v>
      </c>
      <c r="D40" s="54" t="s">
        <v>70</v>
      </c>
      <c r="E40" s="55" t="s">
        <v>85</v>
      </c>
      <c r="F40" s="53" t="s">
        <v>86</v>
      </c>
      <c r="G40" s="19">
        <v>0</v>
      </c>
      <c r="H40" s="19">
        <v>150</v>
      </c>
      <c r="I40" s="19">
        <v>0</v>
      </c>
      <c r="J40" s="19">
        <v>0</v>
      </c>
      <c r="K40" s="19">
        <v>0</v>
      </c>
      <c r="L40" s="19">
        <v>0</v>
      </c>
      <c r="M40" s="19">
        <v>150</v>
      </c>
      <c r="N40" s="19">
        <v>0</v>
      </c>
      <c r="O40" s="56">
        <v>0</v>
      </c>
      <c r="P40" s="21">
        <v>0</v>
      </c>
      <c r="Q40" s="22"/>
      <c r="R40" s="23"/>
    </row>
    <row r="41" spans="1:18" ht="18" customHeight="1">
      <c r="A41" s="14">
        <v>46186</v>
      </c>
      <c r="B41" s="15" t="s">
        <v>1</v>
      </c>
      <c r="C41" s="53" t="s">
        <v>69</v>
      </c>
      <c r="D41" s="54" t="s">
        <v>70</v>
      </c>
      <c r="E41" s="55" t="s">
        <v>87</v>
      </c>
      <c r="F41" s="53" t="s">
        <v>82</v>
      </c>
      <c r="G41" s="19">
        <v>2</v>
      </c>
      <c r="H41" s="19">
        <v>155</v>
      </c>
      <c r="I41" s="19">
        <v>0</v>
      </c>
      <c r="J41" s="19">
        <v>0</v>
      </c>
      <c r="K41" s="19">
        <v>0</v>
      </c>
      <c r="L41" s="19">
        <v>2</v>
      </c>
      <c r="M41" s="19">
        <v>347</v>
      </c>
      <c r="N41" s="19">
        <v>0</v>
      </c>
      <c r="O41" s="56">
        <v>0</v>
      </c>
      <c r="P41" s="21">
        <v>0</v>
      </c>
      <c r="Q41" s="22"/>
      <c r="R41" s="23"/>
    </row>
    <row r="42" spans="1:18" ht="18" customHeight="1">
      <c r="A42" s="14">
        <v>46186</v>
      </c>
      <c r="B42" s="15" t="s">
        <v>1</v>
      </c>
      <c r="C42" s="53" t="s">
        <v>69</v>
      </c>
      <c r="D42" s="54" t="s">
        <v>70</v>
      </c>
      <c r="E42" s="55" t="s">
        <v>88</v>
      </c>
      <c r="F42" s="53" t="s">
        <v>82</v>
      </c>
      <c r="G42" s="19">
        <v>1</v>
      </c>
      <c r="H42" s="19">
        <v>260</v>
      </c>
      <c r="I42" s="19">
        <v>0</v>
      </c>
      <c r="J42" s="19">
        <v>0</v>
      </c>
      <c r="K42" s="19">
        <v>0</v>
      </c>
      <c r="L42" s="19">
        <v>1</v>
      </c>
      <c r="M42" s="19">
        <v>260</v>
      </c>
      <c r="N42" s="19">
        <v>0</v>
      </c>
      <c r="O42" s="56">
        <v>0</v>
      </c>
      <c r="P42" s="21">
        <v>0</v>
      </c>
      <c r="Q42" s="22"/>
      <c r="R42" s="23"/>
    </row>
    <row r="43" spans="1:18" ht="18" customHeight="1">
      <c r="A43" s="14">
        <v>46186</v>
      </c>
      <c r="B43" s="15" t="s">
        <v>1</v>
      </c>
      <c r="C43" s="53" t="s">
        <v>69</v>
      </c>
      <c r="D43" s="54" t="s">
        <v>70</v>
      </c>
      <c r="E43" s="55" t="s">
        <v>89</v>
      </c>
      <c r="F43" s="53" t="s">
        <v>82</v>
      </c>
      <c r="G43" s="19">
        <v>1</v>
      </c>
      <c r="H43" s="19">
        <v>347</v>
      </c>
      <c r="I43" s="19">
        <v>0</v>
      </c>
      <c r="J43" s="19">
        <v>0</v>
      </c>
      <c r="K43" s="19">
        <v>0</v>
      </c>
      <c r="L43" s="19">
        <v>1</v>
      </c>
      <c r="M43" s="19">
        <v>347</v>
      </c>
      <c r="N43" s="19">
        <v>0</v>
      </c>
      <c r="O43" s="56">
        <v>0</v>
      </c>
      <c r="P43" s="21">
        <v>0</v>
      </c>
      <c r="Q43" s="22"/>
      <c r="R43" s="23"/>
    </row>
    <row r="44" spans="1:18" ht="18" customHeight="1">
      <c r="A44" s="14">
        <v>46186</v>
      </c>
      <c r="B44" s="15" t="s">
        <v>1</v>
      </c>
      <c r="C44" s="53" t="s">
        <v>69</v>
      </c>
      <c r="D44" s="54" t="s">
        <v>70</v>
      </c>
      <c r="E44" s="55" t="s">
        <v>90</v>
      </c>
      <c r="F44" s="53" t="s">
        <v>91</v>
      </c>
      <c r="G44" s="19">
        <v>1</v>
      </c>
      <c r="H44" s="19">
        <v>830</v>
      </c>
      <c r="I44" s="19">
        <v>0</v>
      </c>
      <c r="J44" s="19">
        <v>0</v>
      </c>
      <c r="K44" s="19">
        <v>0</v>
      </c>
      <c r="L44" s="19">
        <v>1</v>
      </c>
      <c r="M44" s="19">
        <v>830</v>
      </c>
      <c r="N44" s="19">
        <v>0</v>
      </c>
      <c r="O44" s="56">
        <v>0</v>
      </c>
      <c r="P44" s="21">
        <v>0</v>
      </c>
      <c r="Q44" s="22"/>
      <c r="R44" s="23"/>
    </row>
    <row r="45" spans="1:18" ht="18" customHeight="1">
      <c r="A45" s="14">
        <v>46186</v>
      </c>
      <c r="B45" s="15" t="s">
        <v>1</v>
      </c>
      <c r="C45" s="53" t="s">
        <v>69</v>
      </c>
      <c r="D45" s="54" t="s">
        <v>70</v>
      </c>
      <c r="E45" s="55" t="s">
        <v>92</v>
      </c>
      <c r="F45" s="53" t="s">
        <v>91</v>
      </c>
      <c r="G45" s="19">
        <v>1</v>
      </c>
      <c r="H45" s="19">
        <v>815</v>
      </c>
      <c r="I45" s="19">
        <v>0</v>
      </c>
      <c r="J45" s="19">
        <v>0</v>
      </c>
      <c r="K45" s="19">
        <v>0</v>
      </c>
      <c r="L45" s="19">
        <v>1</v>
      </c>
      <c r="M45" s="19">
        <v>815</v>
      </c>
      <c r="N45" s="19">
        <v>0</v>
      </c>
      <c r="O45" s="56">
        <v>0</v>
      </c>
      <c r="P45" s="21">
        <v>0</v>
      </c>
      <c r="Q45" s="22"/>
      <c r="R45" s="23"/>
    </row>
    <row r="46" spans="1:18" ht="18" customHeight="1">
      <c r="A46" s="14">
        <v>46186</v>
      </c>
      <c r="B46" s="15" t="s">
        <v>1</v>
      </c>
      <c r="C46" s="57" t="s">
        <v>69</v>
      </c>
      <c r="D46" s="58" t="s">
        <v>93</v>
      </c>
      <c r="E46" s="59" t="s">
        <v>94</v>
      </c>
      <c r="F46" s="57" t="s">
        <v>95</v>
      </c>
      <c r="G46" s="19">
        <v>5</v>
      </c>
      <c r="H46" s="19">
        <v>78</v>
      </c>
      <c r="I46" s="19">
        <v>0</v>
      </c>
      <c r="J46" s="19">
        <v>1</v>
      </c>
      <c r="K46" s="19">
        <v>0</v>
      </c>
      <c r="L46" s="19">
        <v>6</v>
      </c>
      <c r="M46" s="19">
        <v>0</v>
      </c>
      <c r="N46" s="19">
        <v>0</v>
      </c>
      <c r="O46" s="60">
        <v>0</v>
      </c>
      <c r="P46" s="21">
        <v>-1</v>
      </c>
      <c r="Q46" s="22"/>
      <c r="R46" s="23"/>
    </row>
    <row r="47" spans="1:18" ht="18" customHeight="1">
      <c r="A47" s="14">
        <v>46186</v>
      </c>
      <c r="B47" s="15" t="s">
        <v>1</v>
      </c>
      <c r="C47" s="57" t="s">
        <v>69</v>
      </c>
      <c r="D47" s="58" t="s">
        <v>93</v>
      </c>
      <c r="E47" s="59" t="s">
        <v>96</v>
      </c>
      <c r="F47" s="57" t="s">
        <v>97</v>
      </c>
      <c r="G47" s="19">
        <v>0</v>
      </c>
      <c r="H47" s="19">
        <v>261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60">
        <v>0</v>
      </c>
      <c r="P47" s="21">
        <v>0</v>
      </c>
      <c r="Q47" s="22"/>
      <c r="R47" s="23"/>
    </row>
    <row r="48" spans="1:18" ht="18" customHeight="1">
      <c r="A48" s="14">
        <v>46186</v>
      </c>
      <c r="B48" s="15" t="s">
        <v>1</v>
      </c>
      <c r="C48" s="57" t="s">
        <v>69</v>
      </c>
      <c r="D48" s="58" t="s">
        <v>93</v>
      </c>
      <c r="E48" s="59" t="s">
        <v>98</v>
      </c>
      <c r="F48" s="57" t="s">
        <v>99</v>
      </c>
      <c r="G48" s="19">
        <v>0</v>
      </c>
      <c r="H48" s="19">
        <v>0</v>
      </c>
      <c r="I48" s="19">
        <v>0</v>
      </c>
      <c r="J48" s="19">
        <v>3</v>
      </c>
      <c r="K48" s="19">
        <v>0</v>
      </c>
      <c r="L48" s="19">
        <v>3</v>
      </c>
      <c r="M48" s="19">
        <v>0</v>
      </c>
      <c r="N48" s="19">
        <v>0</v>
      </c>
      <c r="O48" s="60">
        <v>0</v>
      </c>
      <c r="P48" s="21">
        <v>-3</v>
      </c>
      <c r="Q48" s="22"/>
      <c r="R48" s="23"/>
    </row>
    <row r="49" spans="1:18" ht="18" customHeight="1">
      <c r="A49" s="14">
        <v>46186</v>
      </c>
      <c r="B49" s="15" t="s">
        <v>1</v>
      </c>
      <c r="C49" s="57" t="s">
        <v>69</v>
      </c>
      <c r="D49" s="58" t="s">
        <v>93</v>
      </c>
      <c r="E49" s="59" t="s">
        <v>100</v>
      </c>
      <c r="F49" s="57" t="s">
        <v>97</v>
      </c>
      <c r="G49" s="19">
        <v>2</v>
      </c>
      <c r="H49" s="19">
        <v>400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60">
        <v>0</v>
      </c>
      <c r="P49" s="21">
        <v>2</v>
      </c>
      <c r="Q49" s="22"/>
      <c r="R49" s="23"/>
    </row>
    <row r="50" spans="1:18" ht="18" customHeight="1">
      <c r="A50" s="14">
        <v>46186</v>
      </c>
      <c r="B50" s="15" t="s">
        <v>1</v>
      </c>
      <c r="C50" s="57" t="s">
        <v>69</v>
      </c>
      <c r="D50" s="58" t="s">
        <v>93</v>
      </c>
      <c r="E50" s="59" t="s">
        <v>101</v>
      </c>
      <c r="F50" s="57" t="s">
        <v>102</v>
      </c>
      <c r="G50" s="19">
        <v>1</v>
      </c>
      <c r="H50" s="19">
        <v>290</v>
      </c>
      <c r="I50" s="19">
        <v>1</v>
      </c>
      <c r="J50" s="19">
        <v>0</v>
      </c>
      <c r="K50" s="19">
        <v>0</v>
      </c>
      <c r="L50" s="19">
        <v>1</v>
      </c>
      <c r="M50" s="19">
        <v>290</v>
      </c>
      <c r="N50" s="19">
        <v>0</v>
      </c>
      <c r="O50" s="60">
        <v>0</v>
      </c>
      <c r="P50" s="21">
        <v>1</v>
      </c>
      <c r="Q50" s="22"/>
      <c r="R50" s="23"/>
    </row>
    <row r="51" spans="1:18" ht="18" customHeight="1">
      <c r="A51" s="14">
        <v>46186</v>
      </c>
      <c r="B51" s="15" t="s">
        <v>1</v>
      </c>
      <c r="C51" s="57" t="s">
        <v>69</v>
      </c>
      <c r="D51" s="58" t="s">
        <v>93</v>
      </c>
      <c r="E51" s="59" t="s">
        <v>103</v>
      </c>
      <c r="F51" s="57" t="s">
        <v>104</v>
      </c>
      <c r="G51" s="19">
        <v>0</v>
      </c>
      <c r="H51" s="19">
        <v>1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60">
        <v>0</v>
      </c>
      <c r="P51" s="21">
        <v>0</v>
      </c>
      <c r="Q51" s="22"/>
      <c r="R51" s="23"/>
    </row>
    <row r="52" spans="1:18" ht="18" customHeight="1">
      <c r="A52" s="14">
        <v>46186</v>
      </c>
      <c r="B52" s="15" t="s">
        <v>1</v>
      </c>
      <c r="C52" s="61" t="s">
        <v>69</v>
      </c>
      <c r="D52" s="62" t="s">
        <v>105</v>
      </c>
      <c r="E52" s="63" t="s">
        <v>106</v>
      </c>
      <c r="F52" s="61" t="s">
        <v>107</v>
      </c>
      <c r="G52" s="19">
        <v>1</v>
      </c>
      <c r="H52" s="19">
        <v>896</v>
      </c>
      <c r="I52" s="19">
        <v>0</v>
      </c>
      <c r="J52" s="19">
        <v>0</v>
      </c>
      <c r="K52" s="19">
        <v>0</v>
      </c>
      <c r="L52" s="19">
        <v>1</v>
      </c>
      <c r="M52" s="19">
        <v>896</v>
      </c>
      <c r="N52" s="19">
        <v>0</v>
      </c>
      <c r="O52" s="64">
        <v>0</v>
      </c>
      <c r="P52" s="21">
        <v>0</v>
      </c>
      <c r="Q52" s="22"/>
      <c r="R52" s="23"/>
    </row>
    <row r="53" spans="1:18" ht="18" customHeight="1">
      <c r="A53" s="14">
        <v>46186</v>
      </c>
      <c r="B53" s="15" t="s">
        <v>1</v>
      </c>
      <c r="C53" s="61" t="s">
        <v>69</v>
      </c>
      <c r="D53" s="62" t="s">
        <v>105</v>
      </c>
      <c r="E53" s="63" t="s">
        <v>108</v>
      </c>
      <c r="F53" s="61" t="s">
        <v>107</v>
      </c>
      <c r="G53" s="19">
        <v>1</v>
      </c>
      <c r="H53" s="19">
        <v>1002</v>
      </c>
      <c r="I53" s="19">
        <v>0</v>
      </c>
      <c r="J53" s="19">
        <v>0</v>
      </c>
      <c r="K53" s="19">
        <v>0</v>
      </c>
      <c r="L53" s="19">
        <v>0</v>
      </c>
      <c r="M53" s="19">
        <v>1002</v>
      </c>
      <c r="N53" s="19">
        <v>0</v>
      </c>
      <c r="O53" s="64">
        <v>0</v>
      </c>
      <c r="P53" s="21">
        <v>1</v>
      </c>
      <c r="Q53" s="22"/>
      <c r="R53" s="23"/>
    </row>
    <row r="54" spans="1:18" ht="18" customHeight="1">
      <c r="A54" s="14">
        <v>46186</v>
      </c>
      <c r="B54" s="15" t="s">
        <v>1</v>
      </c>
      <c r="C54" s="61" t="s">
        <v>69</v>
      </c>
      <c r="D54" s="62" t="s">
        <v>105</v>
      </c>
      <c r="E54" s="63" t="s">
        <v>109</v>
      </c>
      <c r="F54" s="61" t="s">
        <v>91</v>
      </c>
      <c r="G54" s="19">
        <v>2</v>
      </c>
      <c r="H54" s="19">
        <v>366</v>
      </c>
      <c r="I54" s="19">
        <v>0</v>
      </c>
      <c r="J54" s="19">
        <v>0</v>
      </c>
      <c r="K54" s="19">
        <v>0</v>
      </c>
      <c r="L54" s="19">
        <v>2</v>
      </c>
      <c r="M54" s="19">
        <v>366</v>
      </c>
      <c r="N54" s="19">
        <v>0</v>
      </c>
      <c r="O54" s="64">
        <v>0</v>
      </c>
      <c r="P54" s="21">
        <v>0</v>
      </c>
      <c r="Q54" s="22"/>
      <c r="R54" s="23"/>
    </row>
    <row r="55" spans="1:18" ht="18" customHeight="1">
      <c r="A55" s="14">
        <v>46186</v>
      </c>
      <c r="B55" s="15" t="s">
        <v>1</v>
      </c>
      <c r="C55" s="65" t="s">
        <v>110</v>
      </c>
      <c r="D55" s="66" t="s">
        <v>111</v>
      </c>
      <c r="E55" s="67" t="s">
        <v>112</v>
      </c>
      <c r="F55" s="65" t="s">
        <v>113</v>
      </c>
      <c r="G55" s="19">
        <v>0</v>
      </c>
      <c r="H55" s="19">
        <v>48</v>
      </c>
      <c r="I55" s="19">
        <v>1</v>
      </c>
      <c r="J55" s="19">
        <v>0</v>
      </c>
      <c r="K55" s="19">
        <v>0</v>
      </c>
      <c r="L55" s="19">
        <v>1</v>
      </c>
      <c r="M55" s="19">
        <v>48</v>
      </c>
      <c r="N55" s="19">
        <v>0</v>
      </c>
      <c r="O55" s="68">
        <v>0</v>
      </c>
      <c r="P55" s="44"/>
      <c r="Q55" s="22"/>
      <c r="R55" s="23"/>
    </row>
    <row r="56" spans="1:18" ht="18" customHeight="1">
      <c r="A56" s="14">
        <v>46186</v>
      </c>
      <c r="B56" s="15" t="s">
        <v>1</v>
      </c>
      <c r="C56" s="65" t="s">
        <v>110</v>
      </c>
      <c r="D56" s="66" t="s">
        <v>111</v>
      </c>
      <c r="E56" s="67" t="s">
        <v>114</v>
      </c>
      <c r="F56" s="65" t="s">
        <v>113</v>
      </c>
      <c r="G56" s="19">
        <v>1</v>
      </c>
      <c r="H56" s="19">
        <v>43</v>
      </c>
      <c r="I56" s="19">
        <v>0</v>
      </c>
      <c r="J56" s="19">
        <v>0</v>
      </c>
      <c r="K56" s="19">
        <v>0</v>
      </c>
      <c r="L56" s="19">
        <v>1</v>
      </c>
      <c r="M56" s="19">
        <v>40</v>
      </c>
      <c r="N56" s="19">
        <v>0</v>
      </c>
      <c r="O56" s="68">
        <v>0</v>
      </c>
      <c r="P56" s="44"/>
      <c r="Q56" s="22"/>
      <c r="R56" s="23"/>
    </row>
    <row r="57" spans="1:18" ht="18" customHeight="1">
      <c r="A57" s="14">
        <v>46186</v>
      </c>
      <c r="B57" s="15" t="s">
        <v>1</v>
      </c>
      <c r="C57" s="65" t="s">
        <v>110</v>
      </c>
      <c r="D57" s="66" t="s">
        <v>111</v>
      </c>
      <c r="E57" s="67" t="s">
        <v>115</v>
      </c>
      <c r="F57" s="65" t="s">
        <v>113</v>
      </c>
      <c r="G57" s="19">
        <v>0</v>
      </c>
      <c r="H57" s="19">
        <v>45</v>
      </c>
      <c r="I57" s="19">
        <v>1</v>
      </c>
      <c r="J57" s="19">
        <v>0</v>
      </c>
      <c r="K57" s="19">
        <v>0</v>
      </c>
      <c r="L57" s="19">
        <v>1</v>
      </c>
      <c r="M57" s="19">
        <v>45</v>
      </c>
      <c r="N57" s="19">
        <v>0</v>
      </c>
      <c r="O57" s="68">
        <v>0</v>
      </c>
      <c r="P57" s="44"/>
      <c r="Q57" s="22"/>
      <c r="R57" s="23"/>
    </row>
    <row r="58" spans="1:18" ht="19.5" customHeight="1">
      <c r="A58" s="14">
        <v>46186</v>
      </c>
      <c r="B58" s="15" t="s">
        <v>1</v>
      </c>
      <c r="C58" s="65" t="s">
        <v>110</v>
      </c>
      <c r="D58" s="66" t="s">
        <v>111</v>
      </c>
      <c r="E58" s="67" t="s">
        <v>116</v>
      </c>
      <c r="F58" s="65" t="s">
        <v>113</v>
      </c>
      <c r="G58" s="19">
        <v>2</v>
      </c>
      <c r="H58" s="19">
        <v>10</v>
      </c>
      <c r="I58" s="19">
        <v>0</v>
      </c>
      <c r="J58" s="19">
        <v>0</v>
      </c>
      <c r="K58" s="19">
        <v>0</v>
      </c>
      <c r="L58" s="19">
        <v>2</v>
      </c>
      <c r="M58" s="19">
        <v>7</v>
      </c>
      <c r="N58" s="19">
        <v>0</v>
      </c>
      <c r="O58" s="68">
        <v>0</v>
      </c>
      <c r="P58" s="44"/>
      <c r="Q58" s="22"/>
      <c r="R58" s="23"/>
    </row>
    <row r="59" spans="1:18" ht="18" customHeight="1">
      <c r="A59" s="14">
        <v>46186</v>
      </c>
      <c r="B59" s="15" t="s">
        <v>1</v>
      </c>
      <c r="C59" s="69" t="s">
        <v>110</v>
      </c>
      <c r="D59" s="69" t="s">
        <v>111</v>
      </c>
      <c r="E59" s="70" t="s">
        <v>117</v>
      </c>
      <c r="F59" s="69" t="s">
        <v>104</v>
      </c>
      <c r="G59" s="71">
        <v>150</v>
      </c>
      <c r="H59" s="71">
        <v>146</v>
      </c>
      <c r="I59" s="71">
        <v>2</v>
      </c>
      <c r="J59" s="71">
        <v>0</v>
      </c>
      <c r="K59" s="72"/>
      <c r="L59" s="71">
        <v>250</v>
      </c>
      <c r="M59" s="71">
        <v>140</v>
      </c>
      <c r="N59" s="71">
        <v>0</v>
      </c>
      <c r="O59" s="73"/>
      <c r="P59" s="74" t="e">
        <f>#VALUE!</f>
        <v>#VALUE!</v>
      </c>
      <c r="Q59" s="75"/>
      <c r="R59" s="75"/>
    </row>
    <row r="60" spans="1:18" ht="18" customHeight="1">
      <c r="A60" s="76">
        <v>46186</v>
      </c>
      <c r="B60" s="77" t="s">
        <v>1</v>
      </c>
      <c r="C60" s="78"/>
      <c r="D60" s="78"/>
      <c r="E60" s="79"/>
      <c r="F60" s="78"/>
      <c r="G60" s="5">
        <v>296</v>
      </c>
      <c r="H60" s="5"/>
      <c r="I60" s="80">
        <v>100</v>
      </c>
      <c r="J60" s="81"/>
      <c r="K60" s="82">
        <v>6</v>
      </c>
      <c r="L60" s="5">
        <v>390</v>
      </c>
      <c r="M60" s="5"/>
      <c r="N60" s="81"/>
      <c r="O60" s="83"/>
      <c r="P60" s="84"/>
      <c r="Q60" s="85"/>
      <c r="R60" s="85"/>
    </row>
    <row r="61" spans="1:18" ht="18" customHeight="1">
      <c r="A61" s="14">
        <v>46186</v>
      </c>
      <c r="B61" s="15" t="s">
        <v>1</v>
      </c>
      <c r="C61" s="86" t="s">
        <v>110</v>
      </c>
      <c r="D61" s="87" t="s">
        <v>118</v>
      </c>
      <c r="E61" s="88" t="s">
        <v>119</v>
      </c>
      <c r="F61" s="86" t="s">
        <v>113</v>
      </c>
      <c r="G61" s="19">
        <v>2</v>
      </c>
      <c r="H61" s="19">
        <v>0</v>
      </c>
      <c r="I61" s="19">
        <v>0</v>
      </c>
      <c r="J61" s="19">
        <v>0</v>
      </c>
      <c r="K61" s="19">
        <v>0</v>
      </c>
      <c r="L61" s="19">
        <v>2</v>
      </c>
      <c r="M61" s="19">
        <v>0</v>
      </c>
      <c r="N61" s="19">
        <v>0</v>
      </c>
      <c r="O61" s="89">
        <v>0</v>
      </c>
      <c r="P61" s="21">
        <v>0</v>
      </c>
      <c r="Q61" s="22"/>
      <c r="R61" s="23"/>
    </row>
    <row r="62" spans="1:18" ht="18" customHeight="1">
      <c r="A62" s="14">
        <v>46186</v>
      </c>
      <c r="B62" s="15" t="s">
        <v>1</v>
      </c>
      <c r="C62" s="86" t="s">
        <v>110</v>
      </c>
      <c r="D62" s="87" t="s">
        <v>118</v>
      </c>
      <c r="E62" s="88" t="s">
        <v>120</v>
      </c>
      <c r="F62" s="86" t="s">
        <v>113</v>
      </c>
      <c r="G62" s="19">
        <v>2</v>
      </c>
      <c r="H62" s="19">
        <v>0</v>
      </c>
      <c r="I62" s="19">
        <v>0</v>
      </c>
      <c r="J62" s="19">
        <v>0</v>
      </c>
      <c r="K62" s="19">
        <v>0</v>
      </c>
      <c r="L62" s="19">
        <v>2</v>
      </c>
      <c r="M62" s="19">
        <v>0</v>
      </c>
      <c r="N62" s="19">
        <v>0</v>
      </c>
      <c r="O62" s="89">
        <v>0</v>
      </c>
      <c r="P62" s="21">
        <v>0</v>
      </c>
      <c r="Q62" s="22"/>
      <c r="R62" s="23"/>
    </row>
    <row r="63" spans="1:18" ht="18" customHeight="1">
      <c r="A63" s="14">
        <v>46186</v>
      </c>
      <c r="B63" s="15" t="s">
        <v>1</v>
      </c>
      <c r="C63" s="86" t="s">
        <v>110</v>
      </c>
      <c r="D63" s="87" t="s">
        <v>118</v>
      </c>
      <c r="E63" s="88" t="s">
        <v>121</v>
      </c>
      <c r="F63" s="86" t="s">
        <v>113</v>
      </c>
      <c r="G63" s="19">
        <v>2</v>
      </c>
      <c r="H63" s="19">
        <v>0</v>
      </c>
      <c r="I63" s="19">
        <v>0</v>
      </c>
      <c r="J63" s="19">
        <v>0</v>
      </c>
      <c r="K63" s="19">
        <v>0</v>
      </c>
      <c r="L63" s="19">
        <v>2</v>
      </c>
      <c r="M63" s="19">
        <v>0</v>
      </c>
      <c r="N63" s="19">
        <v>0</v>
      </c>
      <c r="O63" s="89">
        <v>0</v>
      </c>
      <c r="P63" s="21">
        <v>0</v>
      </c>
      <c r="Q63" s="22"/>
      <c r="R63" s="23"/>
    </row>
    <row r="64" spans="1:18" ht="18" customHeight="1">
      <c r="A64" s="14">
        <v>46186</v>
      </c>
      <c r="B64" s="15" t="s">
        <v>1</v>
      </c>
      <c r="C64" s="90" t="s">
        <v>110</v>
      </c>
      <c r="D64" s="91" t="s">
        <v>122</v>
      </c>
      <c r="E64" s="92" t="s">
        <v>123</v>
      </c>
      <c r="F64" s="90" t="s">
        <v>113</v>
      </c>
      <c r="G64" s="19">
        <v>1</v>
      </c>
      <c r="H64" s="19">
        <v>0</v>
      </c>
      <c r="I64" s="19">
        <v>1</v>
      </c>
      <c r="J64" s="19">
        <v>0</v>
      </c>
      <c r="K64" s="19">
        <v>0</v>
      </c>
      <c r="L64" s="19">
        <v>2</v>
      </c>
      <c r="M64" s="19">
        <v>0</v>
      </c>
      <c r="N64" s="19">
        <v>0</v>
      </c>
      <c r="O64" s="93">
        <v>0</v>
      </c>
      <c r="P64" s="21">
        <v>0</v>
      </c>
      <c r="Q64" s="22"/>
      <c r="R64" s="23"/>
    </row>
    <row r="65" spans="1:18" ht="18" customHeight="1">
      <c r="A65" s="14">
        <v>46186</v>
      </c>
      <c r="B65" s="15" t="s">
        <v>1</v>
      </c>
      <c r="C65" s="90" t="s">
        <v>110</v>
      </c>
      <c r="D65" s="91" t="s">
        <v>122</v>
      </c>
      <c r="E65" s="92" t="s">
        <v>124</v>
      </c>
      <c r="F65" s="90" t="s">
        <v>113</v>
      </c>
      <c r="G65" s="19">
        <v>1</v>
      </c>
      <c r="H65" s="19">
        <v>0</v>
      </c>
      <c r="I65" s="19">
        <v>1</v>
      </c>
      <c r="J65" s="19">
        <v>0</v>
      </c>
      <c r="K65" s="19">
        <v>0</v>
      </c>
      <c r="L65" s="19">
        <v>2</v>
      </c>
      <c r="M65" s="19">
        <v>0</v>
      </c>
      <c r="N65" s="19">
        <v>0</v>
      </c>
      <c r="O65" s="93">
        <v>0</v>
      </c>
      <c r="P65" s="21">
        <v>0</v>
      </c>
      <c r="Q65" s="22"/>
      <c r="R65" s="23"/>
    </row>
    <row r="66" spans="1:18" ht="18" customHeight="1">
      <c r="A66" s="14">
        <v>46186</v>
      </c>
      <c r="B66" s="15" t="s">
        <v>1</v>
      </c>
      <c r="C66" s="90" t="s">
        <v>110</v>
      </c>
      <c r="D66" s="91" t="s">
        <v>122</v>
      </c>
      <c r="E66" s="92" t="s">
        <v>125</v>
      </c>
      <c r="F66" s="90" t="s">
        <v>113</v>
      </c>
      <c r="G66" s="19">
        <v>2</v>
      </c>
      <c r="H66" s="19">
        <v>0</v>
      </c>
      <c r="I66" s="19">
        <v>0</v>
      </c>
      <c r="J66" s="19">
        <v>0</v>
      </c>
      <c r="K66" s="19">
        <v>0</v>
      </c>
      <c r="L66" s="19">
        <v>2</v>
      </c>
      <c r="M66" s="19">
        <v>0</v>
      </c>
      <c r="N66" s="19">
        <v>0</v>
      </c>
      <c r="O66" s="93">
        <v>0</v>
      </c>
      <c r="P66" s="21">
        <v>0</v>
      </c>
      <c r="Q66" s="22"/>
      <c r="R66" s="23"/>
    </row>
    <row r="67" spans="1:18" ht="18" customHeight="1">
      <c r="A67" s="14">
        <v>46186</v>
      </c>
      <c r="B67" s="15" t="s">
        <v>1</v>
      </c>
      <c r="C67" s="90" t="s">
        <v>110</v>
      </c>
      <c r="D67" s="91" t="s">
        <v>122</v>
      </c>
      <c r="E67" s="92" t="s">
        <v>126</v>
      </c>
      <c r="F67" s="90" t="s">
        <v>113</v>
      </c>
      <c r="G67" s="19">
        <v>1</v>
      </c>
      <c r="H67" s="19">
        <v>0</v>
      </c>
      <c r="I67" s="19">
        <v>1</v>
      </c>
      <c r="J67" s="19">
        <v>0</v>
      </c>
      <c r="K67" s="19">
        <v>0</v>
      </c>
      <c r="L67" s="19">
        <v>2</v>
      </c>
      <c r="M67" s="19">
        <v>0</v>
      </c>
      <c r="N67" s="19">
        <v>0</v>
      </c>
      <c r="O67" s="93">
        <v>0</v>
      </c>
      <c r="P67" s="21">
        <v>0</v>
      </c>
      <c r="Q67" s="22"/>
      <c r="R67" s="23"/>
    </row>
    <row r="68" spans="1:18" ht="18" customHeight="1">
      <c r="A68" s="14">
        <v>46186</v>
      </c>
      <c r="B68" s="15" t="s">
        <v>1</v>
      </c>
      <c r="C68" s="94" t="s">
        <v>110</v>
      </c>
      <c r="D68" s="95" t="s">
        <v>127</v>
      </c>
      <c r="E68" s="96" t="s">
        <v>128</v>
      </c>
      <c r="F68" s="94" t="s">
        <v>129</v>
      </c>
      <c r="G68" s="19">
        <v>1</v>
      </c>
      <c r="H68" s="19">
        <v>0</v>
      </c>
      <c r="I68" s="19">
        <v>1</v>
      </c>
      <c r="J68" s="19">
        <v>0</v>
      </c>
      <c r="K68" s="19">
        <v>0</v>
      </c>
      <c r="L68" s="19">
        <v>2</v>
      </c>
      <c r="M68" s="19">
        <v>0</v>
      </c>
      <c r="N68" s="19">
        <v>0</v>
      </c>
      <c r="O68" s="97">
        <v>0</v>
      </c>
      <c r="P68" s="21">
        <v>0</v>
      </c>
      <c r="Q68" s="22"/>
      <c r="R68" s="23"/>
    </row>
    <row r="69" spans="1:18" ht="18" customHeight="1">
      <c r="A69" s="14">
        <v>46186</v>
      </c>
      <c r="B69" s="15" t="s">
        <v>1</v>
      </c>
      <c r="C69" s="94" t="s">
        <v>110</v>
      </c>
      <c r="D69" s="95" t="s">
        <v>127</v>
      </c>
      <c r="E69" s="96" t="s">
        <v>130</v>
      </c>
      <c r="F69" s="94" t="s">
        <v>129</v>
      </c>
      <c r="G69" s="19">
        <v>4</v>
      </c>
      <c r="H69" s="19">
        <v>0</v>
      </c>
      <c r="I69" s="19">
        <v>0</v>
      </c>
      <c r="J69" s="19">
        <v>0</v>
      </c>
      <c r="K69" s="19">
        <v>0</v>
      </c>
      <c r="L69" s="19">
        <v>4</v>
      </c>
      <c r="M69" s="19">
        <v>0</v>
      </c>
      <c r="N69" s="19">
        <v>0</v>
      </c>
      <c r="O69" s="97">
        <v>0</v>
      </c>
      <c r="P69" s="21">
        <v>0</v>
      </c>
      <c r="Q69" s="22"/>
      <c r="R69" s="23"/>
    </row>
    <row r="70" spans="1:18" ht="18" customHeight="1">
      <c r="A70" s="14">
        <v>46186</v>
      </c>
      <c r="B70" s="15" t="s">
        <v>1</v>
      </c>
      <c r="C70" s="94" t="s">
        <v>110</v>
      </c>
      <c r="D70" s="95" t="s">
        <v>127</v>
      </c>
      <c r="E70" s="96" t="s">
        <v>131</v>
      </c>
      <c r="F70" s="94" t="s">
        <v>129</v>
      </c>
      <c r="G70" s="19">
        <v>2</v>
      </c>
      <c r="H70" s="19">
        <v>0</v>
      </c>
      <c r="I70" s="19">
        <v>0</v>
      </c>
      <c r="J70" s="19">
        <v>0</v>
      </c>
      <c r="K70" s="19">
        <v>0</v>
      </c>
      <c r="L70" s="19">
        <v>2</v>
      </c>
      <c r="M70" s="19">
        <v>0</v>
      </c>
      <c r="N70" s="19">
        <v>0</v>
      </c>
      <c r="O70" s="97">
        <v>0</v>
      </c>
      <c r="P70" s="21">
        <v>0</v>
      </c>
      <c r="Q70" s="22"/>
      <c r="R70" s="23"/>
    </row>
    <row r="71" spans="1:18" ht="18" customHeight="1">
      <c r="A71" s="14">
        <v>46186</v>
      </c>
      <c r="B71" s="15" t="s">
        <v>1</v>
      </c>
      <c r="C71" s="94" t="s">
        <v>110</v>
      </c>
      <c r="D71" s="95" t="s">
        <v>127</v>
      </c>
      <c r="E71" s="96" t="s">
        <v>132</v>
      </c>
      <c r="F71" s="94" t="s">
        <v>129</v>
      </c>
      <c r="G71" s="19">
        <v>2</v>
      </c>
      <c r="H71" s="19">
        <v>0</v>
      </c>
      <c r="I71" s="19">
        <v>0</v>
      </c>
      <c r="J71" s="19">
        <v>0</v>
      </c>
      <c r="K71" s="19">
        <v>0</v>
      </c>
      <c r="L71" s="19">
        <v>2</v>
      </c>
      <c r="M71" s="19">
        <v>0</v>
      </c>
      <c r="N71" s="19">
        <v>0</v>
      </c>
      <c r="O71" s="97">
        <v>0</v>
      </c>
      <c r="P71" s="21">
        <v>0</v>
      </c>
      <c r="Q71" s="22"/>
      <c r="R71" s="23"/>
    </row>
    <row r="72" spans="1:18" ht="18" customHeight="1">
      <c r="A72" s="14">
        <v>46186</v>
      </c>
      <c r="B72" s="15" t="s">
        <v>1</v>
      </c>
      <c r="C72" s="94" t="s">
        <v>110</v>
      </c>
      <c r="D72" s="95" t="s">
        <v>127</v>
      </c>
      <c r="E72" s="96" t="s">
        <v>133</v>
      </c>
      <c r="F72" s="94" t="s">
        <v>129</v>
      </c>
      <c r="G72" s="19">
        <v>2</v>
      </c>
      <c r="H72" s="19">
        <v>0</v>
      </c>
      <c r="I72" s="19">
        <v>0</v>
      </c>
      <c r="J72" s="19">
        <v>0</v>
      </c>
      <c r="K72" s="19">
        <v>0</v>
      </c>
      <c r="L72" s="19">
        <v>2</v>
      </c>
      <c r="M72" s="19">
        <v>0</v>
      </c>
      <c r="N72" s="19">
        <v>0</v>
      </c>
      <c r="O72" s="97">
        <v>0</v>
      </c>
      <c r="P72" s="21">
        <v>0</v>
      </c>
      <c r="Q72" s="22"/>
      <c r="R72" s="23"/>
    </row>
    <row r="73" spans="1:18" ht="18" customHeight="1">
      <c r="A73" s="14">
        <v>46186</v>
      </c>
      <c r="B73" s="15" t="s">
        <v>1</v>
      </c>
      <c r="C73" s="94" t="s">
        <v>110</v>
      </c>
      <c r="D73" s="95" t="s">
        <v>127</v>
      </c>
      <c r="E73" s="96" t="s">
        <v>134</v>
      </c>
      <c r="F73" s="94" t="s">
        <v>129</v>
      </c>
      <c r="G73" s="19">
        <v>2</v>
      </c>
      <c r="H73" s="19">
        <v>0</v>
      </c>
      <c r="I73" s="19">
        <v>0</v>
      </c>
      <c r="J73" s="19">
        <v>0</v>
      </c>
      <c r="K73" s="19">
        <v>0</v>
      </c>
      <c r="L73" s="19">
        <v>2</v>
      </c>
      <c r="M73" s="19">
        <v>0</v>
      </c>
      <c r="N73" s="19">
        <v>0</v>
      </c>
      <c r="O73" s="97">
        <v>0</v>
      </c>
      <c r="P73" s="21">
        <v>0</v>
      </c>
      <c r="Q73" s="22"/>
      <c r="R73" s="23"/>
    </row>
    <row r="74" spans="1:18" ht="18" customHeight="1">
      <c r="A74" s="14">
        <v>46186</v>
      </c>
      <c r="B74" s="15" t="s">
        <v>1</v>
      </c>
      <c r="C74" s="98" t="s">
        <v>110</v>
      </c>
      <c r="D74" s="99" t="s">
        <v>135</v>
      </c>
      <c r="E74" s="100" t="s">
        <v>136</v>
      </c>
      <c r="F74" s="98" t="s">
        <v>137</v>
      </c>
      <c r="G74" s="19">
        <v>4</v>
      </c>
      <c r="H74" s="19">
        <v>0</v>
      </c>
      <c r="I74" s="19">
        <v>0</v>
      </c>
      <c r="J74" s="19">
        <v>0</v>
      </c>
      <c r="K74" s="19">
        <v>0</v>
      </c>
      <c r="L74" s="19">
        <v>4</v>
      </c>
      <c r="M74" s="19">
        <v>0</v>
      </c>
      <c r="N74" s="19">
        <v>0</v>
      </c>
      <c r="O74" s="101">
        <v>0</v>
      </c>
      <c r="P74" s="21">
        <v>0</v>
      </c>
      <c r="Q74" s="22"/>
      <c r="R74" s="23"/>
    </row>
    <row r="75" spans="1:18" ht="18" customHeight="1">
      <c r="A75" s="14">
        <v>46186</v>
      </c>
      <c r="B75" s="15" t="s">
        <v>1</v>
      </c>
      <c r="C75" s="98" t="s">
        <v>110</v>
      </c>
      <c r="D75" s="99" t="s">
        <v>135</v>
      </c>
      <c r="E75" s="100" t="s">
        <v>138</v>
      </c>
      <c r="F75" s="98" t="s">
        <v>137</v>
      </c>
      <c r="G75" s="19">
        <v>0</v>
      </c>
      <c r="H75" s="19">
        <v>24</v>
      </c>
      <c r="I75" s="19">
        <v>0</v>
      </c>
      <c r="J75" s="19">
        <v>25</v>
      </c>
      <c r="K75" s="19">
        <v>0</v>
      </c>
      <c r="L75" s="19">
        <v>0</v>
      </c>
      <c r="M75" s="19">
        <v>48</v>
      </c>
      <c r="N75" s="19">
        <v>0</v>
      </c>
      <c r="O75" s="101">
        <v>0</v>
      </c>
      <c r="P75" s="21">
        <v>0</v>
      </c>
      <c r="Q75" s="22"/>
      <c r="R75" s="23"/>
    </row>
    <row r="76" spans="1:18" ht="18" customHeight="1">
      <c r="A76" s="14">
        <v>46186</v>
      </c>
      <c r="B76" s="15" t="s">
        <v>1</v>
      </c>
      <c r="C76" s="98" t="s">
        <v>110</v>
      </c>
      <c r="D76" s="99" t="s">
        <v>135</v>
      </c>
      <c r="E76" s="100" t="s">
        <v>139</v>
      </c>
      <c r="F76" s="98" t="s">
        <v>137</v>
      </c>
      <c r="G76" s="19">
        <v>0</v>
      </c>
      <c r="H76" s="19">
        <v>45</v>
      </c>
      <c r="I76" s="19">
        <v>0</v>
      </c>
      <c r="J76" s="19">
        <v>0</v>
      </c>
      <c r="K76" s="19">
        <v>0</v>
      </c>
      <c r="L76" s="19">
        <v>0</v>
      </c>
      <c r="M76" s="19">
        <v>43</v>
      </c>
      <c r="N76" s="19">
        <v>0</v>
      </c>
      <c r="O76" s="101">
        <v>0</v>
      </c>
      <c r="P76" s="21">
        <v>0</v>
      </c>
      <c r="Q76" s="22"/>
      <c r="R76" s="23"/>
    </row>
    <row r="77" spans="1:18" ht="18" customHeight="1">
      <c r="A77" s="14">
        <v>46186</v>
      </c>
      <c r="B77" s="15" t="s">
        <v>1</v>
      </c>
      <c r="C77" s="98" t="s">
        <v>110</v>
      </c>
      <c r="D77" s="99" t="s">
        <v>135</v>
      </c>
      <c r="E77" s="100" t="s">
        <v>140</v>
      </c>
      <c r="F77" s="98" t="s">
        <v>137</v>
      </c>
      <c r="G77" s="19">
        <v>0</v>
      </c>
      <c r="H77" s="19">
        <v>22</v>
      </c>
      <c r="I77" s="19">
        <v>0</v>
      </c>
      <c r="J77" s="19">
        <v>0</v>
      </c>
      <c r="K77" s="19">
        <v>0</v>
      </c>
      <c r="L77" s="19">
        <v>0</v>
      </c>
      <c r="M77" s="19">
        <v>21</v>
      </c>
      <c r="N77" s="19">
        <v>0</v>
      </c>
      <c r="O77" s="101">
        <v>0</v>
      </c>
      <c r="P77" s="21">
        <v>0</v>
      </c>
      <c r="Q77" s="22"/>
      <c r="R77" s="23"/>
    </row>
    <row r="78" spans="1:18" ht="18" customHeight="1">
      <c r="A78" s="14">
        <v>46186</v>
      </c>
      <c r="B78" s="15" t="s">
        <v>1</v>
      </c>
      <c r="C78" s="98" t="s">
        <v>110</v>
      </c>
      <c r="D78" s="99" t="s">
        <v>135</v>
      </c>
      <c r="E78" s="100" t="s">
        <v>141</v>
      </c>
      <c r="F78" s="98" t="s">
        <v>142</v>
      </c>
      <c r="G78" s="19"/>
      <c r="H78" s="19"/>
      <c r="I78" s="19"/>
      <c r="J78" s="19"/>
      <c r="K78" s="19"/>
      <c r="L78" s="19"/>
      <c r="M78" s="19"/>
      <c r="N78" s="19"/>
      <c r="O78" s="101"/>
      <c r="P78" s="21"/>
      <c r="Q78" s="22"/>
      <c r="R78" s="23"/>
    </row>
    <row r="79" spans="1:18" ht="18" customHeight="1">
      <c r="A79" s="14">
        <v>46186</v>
      </c>
      <c r="B79" s="15" t="s">
        <v>1</v>
      </c>
      <c r="C79" s="98" t="s">
        <v>110</v>
      </c>
      <c r="D79" s="99" t="s">
        <v>135</v>
      </c>
      <c r="E79" s="100" t="s">
        <v>143</v>
      </c>
      <c r="F79" s="98" t="s">
        <v>144</v>
      </c>
      <c r="G79" s="19">
        <v>0</v>
      </c>
      <c r="H79" s="19">
        <v>33</v>
      </c>
      <c r="I79" s="19">
        <v>0</v>
      </c>
      <c r="J79" s="19">
        <v>20</v>
      </c>
      <c r="K79" s="19">
        <v>0</v>
      </c>
      <c r="L79" s="19">
        <v>0</v>
      </c>
      <c r="M79" s="19">
        <v>33</v>
      </c>
      <c r="N79" s="19">
        <v>0</v>
      </c>
      <c r="O79" s="101">
        <v>0</v>
      </c>
      <c r="P79" s="21">
        <v>0</v>
      </c>
      <c r="Q79" s="22"/>
      <c r="R79" s="23"/>
    </row>
    <row r="80" spans="1:18" ht="18" customHeight="1">
      <c r="A80" s="14">
        <v>46186</v>
      </c>
      <c r="B80" s="15" t="s">
        <v>1</v>
      </c>
      <c r="C80" s="98" t="s">
        <v>110</v>
      </c>
      <c r="D80" s="99" t="s">
        <v>135</v>
      </c>
      <c r="E80" s="100" t="s">
        <v>145</v>
      </c>
      <c r="F80" s="98" t="s">
        <v>146</v>
      </c>
      <c r="G80" s="19">
        <v>0</v>
      </c>
      <c r="H80" s="19">
        <v>36</v>
      </c>
      <c r="I80" s="19">
        <v>0</v>
      </c>
      <c r="J80" s="19">
        <v>0</v>
      </c>
      <c r="K80" s="19">
        <v>0</v>
      </c>
      <c r="L80" s="19">
        <v>0</v>
      </c>
      <c r="M80" s="19">
        <v>36</v>
      </c>
      <c r="N80" s="19">
        <v>0</v>
      </c>
      <c r="O80" s="101">
        <v>0</v>
      </c>
      <c r="P80" s="21">
        <v>0</v>
      </c>
      <c r="Q80" s="22"/>
      <c r="R80" s="23"/>
    </row>
    <row r="81" spans="1:18" ht="18" customHeight="1">
      <c r="A81" s="14">
        <v>46186</v>
      </c>
      <c r="B81" s="15" t="s">
        <v>1</v>
      </c>
      <c r="C81" s="98" t="s">
        <v>110</v>
      </c>
      <c r="D81" s="99" t="s">
        <v>135</v>
      </c>
      <c r="E81" s="100" t="s">
        <v>147</v>
      </c>
      <c r="F81" s="98" t="s">
        <v>146</v>
      </c>
      <c r="G81" s="19">
        <v>0</v>
      </c>
      <c r="H81" s="19">
        <v>34</v>
      </c>
      <c r="I81" s="19">
        <v>0</v>
      </c>
      <c r="J81" s="19">
        <v>0</v>
      </c>
      <c r="K81" s="19">
        <v>0</v>
      </c>
      <c r="L81" s="19">
        <v>0</v>
      </c>
      <c r="M81" s="19">
        <v>33</v>
      </c>
      <c r="N81" s="19">
        <v>0</v>
      </c>
      <c r="O81" s="101">
        <v>0</v>
      </c>
      <c r="P81" s="21">
        <v>0</v>
      </c>
      <c r="Q81" s="22"/>
      <c r="R81" s="23"/>
    </row>
    <row r="82" spans="1:18" ht="18" customHeight="1">
      <c r="A82" s="14">
        <v>46186</v>
      </c>
      <c r="B82" s="15" t="s">
        <v>1</v>
      </c>
      <c r="C82" s="98" t="s">
        <v>110</v>
      </c>
      <c r="D82" s="99" t="s">
        <v>135</v>
      </c>
      <c r="E82" s="100" t="s">
        <v>148</v>
      </c>
      <c r="F82" s="98" t="s">
        <v>149</v>
      </c>
      <c r="G82" s="19">
        <v>2</v>
      </c>
      <c r="H82" s="19">
        <v>0</v>
      </c>
      <c r="I82" s="19">
        <v>0</v>
      </c>
      <c r="J82" s="19">
        <v>0</v>
      </c>
      <c r="K82" s="19">
        <v>0</v>
      </c>
      <c r="L82" s="19">
        <v>2</v>
      </c>
      <c r="M82" s="19">
        <v>0</v>
      </c>
      <c r="N82" s="19">
        <v>0</v>
      </c>
      <c r="O82" s="101">
        <v>0</v>
      </c>
      <c r="P82" s="21">
        <v>0</v>
      </c>
      <c r="Q82" s="22"/>
      <c r="R82" s="23"/>
    </row>
    <row r="83" spans="1:18" ht="18" customHeight="1">
      <c r="A83" s="14">
        <v>46186</v>
      </c>
      <c r="B83" s="15" t="s">
        <v>1</v>
      </c>
      <c r="C83" s="98" t="s">
        <v>110</v>
      </c>
      <c r="D83" s="99" t="s">
        <v>135</v>
      </c>
      <c r="E83" s="100" t="s">
        <v>150</v>
      </c>
      <c r="F83" s="98" t="s">
        <v>149</v>
      </c>
      <c r="G83" s="19">
        <v>2</v>
      </c>
      <c r="H83" s="19">
        <v>0</v>
      </c>
      <c r="I83" s="19">
        <v>0</v>
      </c>
      <c r="J83" s="19">
        <v>0</v>
      </c>
      <c r="K83" s="19">
        <v>0</v>
      </c>
      <c r="L83" s="19">
        <v>2</v>
      </c>
      <c r="M83" s="19">
        <v>0</v>
      </c>
      <c r="N83" s="19">
        <v>0</v>
      </c>
      <c r="O83" s="101">
        <v>0</v>
      </c>
      <c r="P83" s="21">
        <v>0</v>
      </c>
      <c r="Q83" s="22"/>
      <c r="R83" s="23"/>
    </row>
    <row r="84" spans="1:18" ht="18" customHeight="1">
      <c r="A84" s="14">
        <v>46186</v>
      </c>
      <c r="B84" s="15" t="s">
        <v>1</v>
      </c>
      <c r="C84" s="98" t="s">
        <v>110</v>
      </c>
      <c r="D84" s="99" t="s">
        <v>135</v>
      </c>
      <c r="E84" s="100" t="s">
        <v>151</v>
      </c>
      <c r="F84" s="98" t="s">
        <v>149</v>
      </c>
      <c r="G84" s="19">
        <v>2</v>
      </c>
      <c r="H84" s="19">
        <v>0</v>
      </c>
      <c r="I84" s="19">
        <v>0</v>
      </c>
      <c r="J84" s="19">
        <v>0</v>
      </c>
      <c r="K84" s="19">
        <v>0</v>
      </c>
      <c r="L84" s="19">
        <v>2</v>
      </c>
      <c r="M84" s="19">
        <v>0</v>
      </c>
      <c r="N84" s="19">
        <v>0</v>
      </c>
      <c r="O84" s="101">
        <v>0</v>
      </c>
      <c r="P84" s="21">
        <v>0</v>
      </c>
      <c r="Q84" s="22"/>
      <c r="R84" s="23"/>
    </row>
    <row r="85" spans="1:18" ht="18" customHeight="1">
      <c r="A85" s="14">
        <v>46186</v>
      </c>
      <c r="B85" s="15" t="s">
        <v>1</v>
      </c>
      <c r="C85" s="98" t="s">
        <v>110</v>
      </c>
      <c r="D85" s="99" t="s">
        <v>135</v>
      </c>
      <c r="E85" s="100" t="s">
        <v>152</v>
      </c>
      <c r="F85" s="98" t="s">
        <v>149</v>
      </c>
      <c r="G85" s="19">
        <v>2</v>
      </c>
      <c r="H85" s="19">
        <v>0</v>
      </c>
      <c r="I85" s="19">
        <v>0</v>
      </c>
      <c r="J85" s="19">
        <v>0</v>
      </c>
      <c r="K85" s="19">
        <v>0</v>
      </c>
      <c r="L85" s="19">
        <v>2</v>
      </c>
      <c r="M85" s="19">
        <v>0</v>
      </c>
      <c r="N85" s="19">
        <v>0</v>
      </c>
      <c r="O85" s="101">
        <v>0</v>
      </c>
      <c r="P85" s="21">
        <v>0</v>
      </c>
      <c r="Q85" s="22"/>
      <c r="R85" s="23"/>
    </row>
    <row r="86" spans="1:18" ht="18" customHeight="1">
      <c r="A86" s="14">
        <v>46186</v>
      </c>
      <c r="B86" s="15" t="s">
        <v>1</v>
      </c>
      <c r="C86" s="98" t="s">
        <v>110</v>
      </c>
      <c r="D86" s="99" t="s">
        <v>135</v>
      </c>
      <c r="E86" s="100" t="s">
        <v>153</v>
      </c>
      <c r="F86" s="98" t="s">
        <v>149</v>
      </c>
      <c r="G86" s="19">
        <v>2</v>
      </c>
      <c r="H86" s="19">
        <v>0</v>
      </c>
      <c r="I86" s="19">
        <v>0</v>
      </c>
      <c r="J86" s="19">
        <v>0</v>
      </c>
      <c r="K86" s="19">
        <v>0</v>
      </c>
      <c r="L86" s="19">
        <v>2</v>
      </c>
      <c r="M86" s="19">
        <v>0</v>
      </c>
      <c r="N86" s="19">
        <v>0</v>
      </c>
      <c r="O86" s="101">
        <v>0</v>
      </c>
      <c r="P86" s="21">
        <v>0</v>
      </c>
      <c r="Q86" s="22"/>
      <c r="R86" s="23"/>
    </row>
    <row r="87" spans="1:18" ht="18" customHeight="1">
      <c r="A87" s="14">
        <v>46186</v>
      </c>
      <c r="B87" s="15" t="s">
        <v>1</v>
      </c>
      <c r="C87" s="102" t="s">
        <v>110</v>
      </c>
      <c r="D87" s="103" t="s">
        <v>154</v>
      </c>
      <c r="E87" s="104" t="s">
        <v>155</v>
      </c>
      <c r="F87" s="102" t="s">
        <v>156</v>
      </c>
      <c r="G87" s="19">
        <v>0</v>
      </c>
      <c r="H87" s="19">
        <v>3</v>
      </c>
      <c r="I87" s="19">
        <v>0</v>
      </c>
      <c r="J87" s="19">
        <v>0</v>
      </c>
      <c r="K87" s="19">
        <v>0</v>
      </c>
      <c r="L87" s="19">
        <v>0</v>
      </c>
      <c r="M87" s="19">
        <v>3</v>
      </c>
      <c r="N87" s="19">
        <v>0</v>
      </c>
      <c r="O87" s="105">
        <v>0</v>
      </c>
      <c r="P87" s="21">
        <v>0</v>
      </c>
      <c r="Q87" s="22"/>
      <c r="R87" s="23" t="e">
        <f>#NAME?</f>
        <v>#NAME?</v>
      </c>
    </row>
    <row r="88" spans="1:18" ht="18" customHeight="1">
      <c r="A88" s="14">
        <v>46186</v>
      </c>
      <c r="B88" s="15" t="s">
        <v>1</v>
      </c>
      <c r="C88" s="102" t="s">
        <v>110</v>
      </c>
      <c r="D88" s="103" t="s">
        <v>154</v>
      </c>
      <c r="E88" s="104" t="s">
        <v>157</v>
      </c>
      <c r="F88" s="102" t="s">
        <v>158</v>
      </c>
      <c r="G88" s="19">
        <v>0</v>
      </c>
      <c r="H88" s="19">
        <v>2</v>
      </c>
      <c r="I88" s="19">
        <v>0</v>
      </c>
      <c r="J88" s="19">
        <v>0</v>
      </c>
      <c r="K88" s="19">
        <v>0</v>
      </c>
      <c r="L88" s="19">
        <v>0</v>
      </c>
      <c r="M88" s="19">
        <v>2</v>
      </c>
      <c r="N88" s="19">
        <v>0</v>
      </c>
      <c r="O88" s="105">
        <v>0</v>
      </c>
      <c r="P88" s="21">
        <v>0</v>
      </c>
      <c r="Q88" s="22"/>
      <c r="R88" s="23" t="e">
        <f>#NAME?</f>
        <v>#NAME?</v>
      </c>
    </row>
    <row r="89" spans="1:18" ht="18" customHeight="1">
      <c r="A89" s="14">
        <v>46186</v>
      </c>
      <c r="B89" s="15" t="s">
        <v>1</v>
      </c>
      <c r="C89" s="106" t="s">
        <v>110</v>
      </c>
      <c r="D89" s="107" t="s">
        <v>159</v>
      </c>
      <c r="E89" s="108" t="s">
        <v>160</v>
      </c>
      <c r="F89" s="106" t="s">
        <v>158</v>
      </c>
      <c r="G89" s="19">
        <v>0</v>
      </c>
      <c r="H89" s="19">
        <v>2</v>
      </c>
      <c r="I89" s="19"/>
      <c r="J89" s="19"/>
      <c r="K89" s="19"/>
      <c r="L89" s="19"/>
      <c r="M89" s="19"/>
      <c r="N89" s="19"/>
      <c r="O89" s="109"/>
      <c r="P89" s="21" t="e">
        <f>#VALUE!</f>
        <v>#VALUE!</v>
      </c>
      <c r="Q89" s="22"/>
      <c r="R89" s="23"/>
    </row>
    <row r="90" spans="1:18" ht="18" customHeight="1">
      <c r="A90" s="14">
        <v>46186</v>
      </c>
      <c r="B90" s="15" t="s">
        <v>1</v>
      </c>
      <c r="C90" s="106" t="s">
        <v>110</v>
      </c>
      <c r="D90" s="107" t="s">
        <v>159</v>
      </c>
      <c r="E90" s="108" t="s">
        <v>161</v>
      </c>
      <c r="F90" s="106" t="s">
        <v>162</v>
      </c>
      <c r="G90" s="19">
        <v>1</v>
      </c>
      <c r="H90" s="19">
        <v>0</v>
      </c>
      <c r="I90" s="19">
        <v>0</v>
      </c>
      <c r="J90" s="19">
        <v>0</v>
      </c>
      <c r="K90" s="19">
        <v>0</v>
      </c>
      <c r="L90" s="19">
        <v>2</v>
      </c>
      <c r="M90" s="19">
        <v>0</v>
      </c>
      <c r="N90" s="19">
        <v>0</v>
      </c>
      <c r="O90" s="109">
        <v>0</v>
      </c>
      <c r="P90" s="21">
        <v>-1</v>
      </c>
      <c r="Q90" s="22"/>
      <c r="R90" s="23"/>
    </row>
    <row r="91" spans="1:18" ht="18" customHeight="1">
      <c r="A91" s="14">
        <v>46186</v>
      </c>
      <c r="B91" s="15" t="s">
        <v>1</v>
      </c>
      <c r="C91" s="106" t="s">
        <v>110</v>
      </c>
      <c r="D91" s="107" t="s">
        <v>159</v>
      </c>
      <c r="E91" s="108" t="s">
        <v>163</v>
      </c>
      <c r="F91" s="106" t="s">
        <v>158</v>
      </c>
      <c r="G91" s="19">
        <v>1</v>
      </c>
      <c r="H91" s="19">
        <v>0</v>
      </c>
      <c r="I91" s="19">
        <v>0</v>
      </c>
      <c r="J91" s="19">
        <v>0</v>
      </c>
      <c r="K91" s="19">
        <v>0</v>
      </c>
      <c r="L91" s="19">
        <v>1</v>
      </c>
      <c r="M91" s="19">
        <v>0</v>
      </c>
      <c r="N91" s="19">
        <v>0</v>
      </c>
      <c r="O91" s="109">
        <v>0</v>
      </c>
      <c r="P91" s="21">
        <v>0</v>
      </c>
      <c r="Q91" s="22"/>
      <c r="R91" s="23"/>
    </row>
    <row r="92" spans="1:18" ht="18" customHeight="1">
      <c r="A92" s="14">
        <v>46186</v>
      </c>
      <c r="B92" s="15" t="s">
        <v>1</v>
      </c>
      <c r="C92" s="106" t="s">
        <v>110</v>
      </c>
      <c r="D92" s="107" t="s">
        <v>159</v>
      </c>
      <c r="E92" s="108" t="s">
        <v>164</v>
      </c>
      <c r="F92" s="106" t="s">
        <v>149</v>
      </c>
      <c r="G92" s="19">
        <v>3</v>
      </c>
      <c r="H92" s="19">
        <v>0</v>
      </c>
      <c r="I92" s="19">
        <v>0</v>
      </c>
      <c r="J92" s="19">
        <v>0</v>
      </c>
      <c r="K92" s="19">
        <v>0</v>
      </c>
      <c r="L92" s="19">
        <v>1</v>
      </c>
      <c r="M92" s="19">
        <v>0</v>
      </c>
      <c r="N92" s="19">
        <v>0</v>
      </c>
      <c r="O92" s="109">
        <v>0</v>
      </c>
      <c r="P92" s="21">
        <v>2</v>
      </c>
      <c r="Q92" s="22"/>
      <c r="R92" s="23"/>
    </row>
    <row r="93" spans="1:18" ht="18" customHeight="1">
      <c r="A93" s="14">
        <v>46186</v>
      </c>
      <c r="B93" s="15" t="s">
        <v>1</v>
      </c>
      <c r="C93" s="106" t="s">
        <v>110</v>
      </c>
      <c r="D93" s="107" t="s">
        <v>159</v>
      </c>
      <c r="E93" s="108" t="s">
        <v>165</v>
      </c>
      <c r="F93" s="106" t="s">
        <v>149</v>
      </c>
      <c r="G93" s="19">
        <v>3</v>
      </c>
      <c r="H93" s="19">
        <v>0</v>
      </c>
      <c r="I93" s="19">
        <v>0</v>
      </c>
      <c r="J93" s="19">
        <v>0</v>
      </c>
      <c r="K93" s="19">
        <v>0</v>
      </c>
      <c r="L93" s="19">
        <v>2</v>
      </c>
      <c r="M93" s="19">
        <v>0</v>
      </c>
      <c r="N93" s="19">
        <v>0</v>
      </c>
      <c r="O93" s="109">
        <v>0</v>
      </c>
      <c r="P93" s="21">
        <v>1</v>
      </c>
      <c r="Q93" s="22"/>
      <c r="R93" s="23"/>
    </row>
    <row r="94" spans="1:18" ht="18" customHeight="1">
      <c r="A94" s="14">
        <v>46186</v>
      </c>
      <c r="B94" s="15" t="s">
        <v>1</v>
      </c>
      <c r="C94" s="106" t="s">
        <v>110</v>
      </c>
      <c r="D94" s="107" t="s">
        <v>159</v>
      </c>
      <c r="E94" s="108" t="s">
        <v>166</v>
      </c>
      <c r="F94" s="106" t="s">
        <v>149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3</v>
      </c>
      <c r="M94" s="19">
        <v>0</v>
      </c>
      <c r="N94" s="19">
        <v>0</v>
      </c>
      <c r="O94" s="109">
        <v>0</v>
      </c>
      <c r="P94" s="21">
        <v>-3</v>
      </c>
      <c r="Q94" s="22"/>
      <c r="R94" s="23"/>
    </row>
    <row r="95" spans="1:18" ht="18" customHeight="1">
      <c r="A95" s="14">
        <v>46186</v>
      </c>
      <c r="B95" s="15" t="s">
        <v>1</v>
      </c>
      <c r="C95" s="110" t="s">
        <v>110</v>
      </c>
      <c r="D95" s="111" t="s">
        <v>167</v>
      </c>
      <c r="E95" s="112" t="s">
        <v>168</v>
      </c>
      <c r="F95" s="110" t="s">
        <v>169</v>
      </c>
      <c r="G95" s="19">
        <v>1</v>
      </c>
      <c r="H95" s="19">
        <v>0</v>
      </c>
      <c r="I95" s="19">
        <v>0</v>
      </c>
      <c r="J95" s="19">
        <v>0</v>
      </c>
      <c r="K95" s="19">
        <v>0</v>
      </c>
      <c r="L95" s="19">
        <v>1</v>
      </c>
      <c r="M95" s="19">
        <v>0</v>
      </c>
      <c r="N95" s="19">
        <v>0</v>
      </c>
      <c r="O95" s="113">
        <v>0</v>
      </c>
      <c r="P95" s="21">
        <v>0</v>
      </c>
      <c r="Q95" s="22"/>
      <c r="R95" s="23"/>
    </row>
    <row r="96" spans="1:18" ht="18" customHeight="1">
      <c r="A96" s="14">
        <v>46186</v>
      </c>
      <c r="B96" s="15" t="s">
        <v>1</v>
      </c>
      <c r="C96" s="110" t="s">
        <v>110</v>
      </c>
      <c r="D96" s="111" t="s">
        <v>167</v>
      </c>
      <c r="E96" s="112" t="s">
        <v>170</v>
      </c>
      <c r="F96" s="110" t="s">
        <v>169</v>
      </c>
      <c r="G96" s="19">
        <v>1</v>
      </c>
      <c r="H96" s="19">
        <v>0</v>
      </c>
      <c r="I96" s="19">
        <v>0</v>
      </c>
      <c r="J96" s="19">
        <v>0</v>
      </c>
      <c r="K96" s="19">
        <v>0</v>
      </c>
      <c r="L96" s="19">
        <v>1</v>
      </c>
      <c r="M96" s="19">
        <v>0</v>
      </c>
      <c r="N96" s="19">
        <v>0</v>
      </c>
      <c r="O96" s="113">
        <v>0</v>
      </c>
      <c r="P96" s="21">
        <v>0</v>
      </c>
      <c r="Q96" s="22"/>
      <c r="R96" s="23"/>
    </row>
    <row r="97" spans="1:18" ht="18" customHeight="1">
      <c r="A97" s="14">
        <v>46186</v>
      </c>
      <c r="B97" s="15" t="s">
        <v>1</v>
      </c>
      <c r="C97" s="110" t="s">
        <v>110</v>
      </c>
      <c r="D97" s="111" t="s">
        <v>167</v>
      </c>
      <c r="E97" s="112" t="s">
        <v>171</v>
      </c>
      <c r="F97" s="110" t="s">
        <v>169</v>
      </c>
      <c r="G97" s="19">
        <v>2</v>
      </c>
      <c r="H97" s="19">
        <v>0</v>
      </c>
      <c r="I97" s="19">
        <v>0</v>
      </c>
      <c r="J97" s="19">
        <v>0</v>
      </c>
      <c r="K97" s="19">
        <v>0</v>
      </c>
      <c r="L97" s="19">
        <v>2</v>
      </c>
      <c r="M97" s="19">
        <v>0</v>
      </c>
      <c r="N97" s="19">
        <v>0</v>
      </c>
      <c r="O97" s="113">
        <v>0</v>
      </c>
      <c r="P97" s="21">
        <v>0</v>
      </c>
      <c r="Q97" s="22"/>
      <c r="R97" s="23"/>
    </row>
    <row r="98" spans="1:18" ht="18" customHeight="1">
      <c r="A98" s="14">
        <v>46186</v>
      </c>
      <c r="B98" s="15" t="s">
        <v>1</v>
      </c>
      <c r="C98" s="110" t="s">
        <v>110</v>
      </c>
      <c r="D98" s="111" t="s">
        <v>167</v>
      </c>
      <c r="E98" s="112" t="s">
        <v>172</v>
      </c>
      <c r="F98" s="110" t="s">
        <v>169</v>
      </c>
      <c r="G98" s="19">
        <v>1</v>
      </c>
      <c r="H98" s="19">
        <v>0</v>
      </c>
      <c r="I98" s="19">
        <v>0</v>
      </c>
      <c r="J98" s="19">
        <v>0</v>
      </c>
      <c r="K98" s="19">
        <v>0</v>
      </c>
      <c r="L98" s="19">
        <v>1</v>
      </c>
      <c r="M98" s="19">
        <v>0</v>
      </c>
      <c r="N98" s="19">
        <v>0</v>
      </c>
      <c r="O98" s="113">
        <v>0</v>
      </c>
      <c r="P98" s="21">
        <v>0</v>
      </c>
      <c r="Q98" s="22"/>
      <c r="R98" s="23"/>
    </row>
    <row r="99" spans="1:18" ht="18" customHeight="1">
      <c r="A99" s="14">
        <v>46186</v>
      </c>
      <c r="B99" s="15" t="s">
        <v>1</v>
      </c>
      <c r="C99" s="110" t="s">
        <v>110</v>
      </c>
      <c r="D99" s="111" t="s">
        <v>167</v>
      </c>
      <c r="E99" s="112" t="s">
        <v>173</v>
      </c>
      <c r="F99" s="110" t="s">
        <v>169</v>
      </c>
      <c r="G99" s="19"/>
      <c r="H99" s="19"/>
      <c r="I99" s="19"/>
      <c r="J99" s="19"/>
      <c r="K99" s="19"/>
      <c r="L99" s="19"/>
      <c r="M99" s="19"/>
      <c r="N99" s="19"/>
      <c r="O99" s="113"/>
      <c r="P99" s="21"/>
      <c r="Q99" s="22"/>
      <c r="R99" s="23"/>
    </row>
    <row r="100" spans="1:18" ht="18" customHeight="1">
      <c r="A100" s="14">
        <v>46186</v>
      </c>
      <c r="B100" s="15" t="s">
        <v>1</v>
      </c>
      <c r="C100" s="114" t="s">
        <v>174</v>
      </c>
      <c r="D100" s="115" t="s">
        <v>175</v>
      </c>
      <c r="E100" s="116" t="s">
        <v>176</v>
      </c>
      <c r="F100" s="114" t="s">
        <v>177</v>
      </c>
      <c r="G100" s="19">
        <v>0</v>
      </c>
      <c r="H100" s="19">
        <v>9</v>
      </c>
      <c r="I100" s="19">
        <v>0</v>
      </c>
      <c r="J100" s="19">
        <v>0</v>
      </c>
      <c r="K100" s="19">
        <v>0</v>
      </c>
      <c r="L100" s="19">
        <v>0</v>
      </c>
      <c r="M100" s="19">
        <v>9</v>
      </c>
      <c r="N100" s="19">
        <v>0</v>
      </c>
      <c r="O100" s="117">
        <v>0</v>
      </c>
      <c r="P100" s="21">
        <v>0</v>
      </c>
      <c r="Q100" s="22"/>
      <c r="R100" s="23"/>
    </row>
    <row r="101" spans="1:18" ht="18" customHeight="1">
      <c r="A101" s="14">
        <v>46186</v>
      </c>
      <c r="B101" s="15" t="s">
        <v>1</v>
      </c>
      <c r="C101" s="114" t="s">
        <v>174</v>
      </c>
      <c r="D101" s="115" t="s">
        <v>175</v>
      </c>
      <c r="E101" s="116" t="s">
        <v>178</v>
      </c>
      <c r="F101" s="114" t="s">
        <v>177</v>
      </c>
      <c r="G101" s="19">
        <v>0</v>
      </c>
      <c r="H101" s="19">
        <v>9</v>
      </c>
      <c r="I101" s="19">
        <v>0</v>
      </c>
      <c r="J101" s="19">
        <v>10</v>
      </c>
      <c r="K101" s="19">
        <v>0</v>
      </c>
      <c r="L101" s="19">
        <v>0</v>
      </c>
      <c r="M101" s="19">
        <v>19</v>
      </c>
      <c r="N101" s="19">
        <v>0</v>
      </c>
      <c r="O101" s="117">
        <v>0</v>
      </c>
      <c r="P101" s="21">
        <v>0</v>
      </c>
      <c r="Q101" s="22"/>
      <c r="R101" s="23"/>
    </row>
    <row r="102" spans="1:18" ht="18" customHeight="1">
      <c r="A102" s="14">
        <v>46186</v>
      </c>
      <c r="B102" s="15" t="s">
        <v>1</v>
      </c>
      <c r="C102" s="114" t="s">
        <v>174</v>
      </c>
      <c r="D102" s="115" t="s">
        <v>175</v>
      </c>
      <c r="E102" s="116" t="s">
        <v>179</v>
      </c>
      <c r="F102" s="114" t="s">
        <v>177</v>
      </c>
      <c r="G102" s="19">
        <v>0</v>
      </c>
      <c r="H102" s="19">
        <v>12</v>
      </c>
      <c r="I102" s="19">
        <v>0</v>
      </c>
      <c r="J102" s="19">
        <v>0</v>
      </c>
      <c r="K102" s="19">
        <v>0</v>
      </c>
      <c r="L102" s="19">
        <v>0</v>
      </c>
      <c r="M102" s="19">
        <v>12</v>
      </c>
      <c r="N102" s="19">
        <v>0</v>
      </c>
      <c r="O102" s="117">
        <v>0</v>
      </c>
      <c r="P102" s="21">
        <v>0</v>
      </c>
      <c r="Q102" s="22"/>
      <c r="R102" s="23"/>
    </row>
    <row r="103" spans="1:18" ht="18" customHeight="1">
      <c r="A103" s="14">
        <v>46186</v>
      </c>
      <c r="B103" s="15" t="s">
        <v>1</v>
      </c>
      <c r="C103" s="114" t="s">
        <v>174</v>
      </c>
      <c r="D103" s="115" t="s">
        <v>175</v>
      </c>
      <c r="E103" s="116" t="s">
        <v>180</v>
      </c>
      <c r="F103" s="114" t="s">
        <v>177</v>
      </c>
      <c r="G103" s="19">
        <v>0</v>
      </c>
      <c r="H103" s="19">
        <v>16</v>
      </c>
      <c r="I103" s="19">
        <v>0</v>
      </c>
      <c r="J103" s="19">
        <v>0</v>
      </c>
      <c r="K103" s="19">
        <v>0</v>
      </c>
      <c r="L103" s="19">
        <v>0</v>
      </c>
      <c r="M103" s="19">
        <v>16</v>
      </c>
      <c r="N103" s="19">
        <v>0</v>
      </c>
      <c r="O103" s="117">
        <v>0</v>
      </c>
      <c r="P103" s="21">
        <v>0</v>
      </c>
      <c r="Q103" s="22"/>
      <c r="R103" s="23"/>
    </row>
    <row r="104" spans="1:18" ht="18" customHeight="1">
      <c r="A104" s="14">
        <v>46186</v>
      </c>
      <c r="B104" s="15" t="s">
        <v>1</v>
      </c>
      <c r="C104" s="118" t="s">
        <v>174</v>
      </c>
      <c r="D104" s="119" t="s">
        <v>181</v>
      </c>
      <c r="E104" s="120" t="s">
        <v>182</v>
      </c>
      <c r="F104" s="118" t="s">
        <v>183</v>
      </c>
      <c r="G104" s="19">
        <v>0</v>
      </c>
      <c r="H104" s="19">
        <v>270</v>
      </c>
      <c r="I104" s="19">
        <v>1</v>
      </c>
      <c r="J104" s="19">
        <v>0</v>
      </c>
      <c r="K104" s="19">
        <v>0</v>
      </c>
      <c r="L104" s="19">
        <v>1</v>
      </c>
      <c r="M104" s="19">
        <v>270</v>
      </c>
      <c r="N104" s="19">
        <v>0</v>
      </c>
      <c r="O104" s="121">
        <v>0</v>
      </c>
      <c r="P104" s="21">
        <v>0</v>
      </c>
      <c r="Q104" s="22"/>
      <c r="R104" s="23"/>
    </row>
    <row r="105" spans="1:18" ht="18" customHeight="1">
      <c r="A105" s="14">
        <v>46186</v>
      </c>
      <c r="B105" s="15" t="s">
        <v>1</v>
      </c>
      <c r="C105" s="118" t="s">
        <v>174</v>
      </c>
      <c r="D105" s="119" t="s">
        <v>181</v>
      </c>
      <c r="E105" s="120" t="s">
        <v>184</v>
      </c>
      <c r="F105" s="118" t="s">
        <v>183</v>
      </c>
      <c r="G105" s="19">
        <v>1</v>
      </c>
      <c r="H105" s="19">
        <v>7</v>
      </c>
      <c r="I105" s="19">
        <v>0</v>
      </c>
      <c r="J105" s="19">
        <v>0</v>
      </c>
      <c r="K105" s="19">
        <v>0</v>
      </c>
      <c r="L105" s="19">
        <v>1</v>
      </c>
      <c r="M105" s="19">
        <v>7</v>
      </c>
      <c r="N105" s="19">
        <v>0</v>
      </c>
      <c r="O105" s="121">
        <v>0</v>
      </c>
      <c r="P105" s="21">
        <v>0</v>
      </c>
      <c r="Q105" s="22"/>
      <c r="R105" s="23"/>
    </row>
    <row r="106" spans="1:18" ht="18" customHeight="1">
      <c r="A106" s="14">
        <v>46186</v>
      </c>
      <c r="B106" s="15" t="s">
        <v>1</v>
      </c>
      <c r="C106" s="118" t="s">
        <v>174</v>
      </c>
      <c r="D106" s="119" t="s">
        <v>181</v>
      </c>
      <c r="E106" s="120" t="s">
        <v>185</v>
      </c>
      <c r="F106" s="118" t="s">
        <v>183</v>
      </c>
      <c r="G106" s="19">
        <v>1</v>
      </c>
      <c r="H106" s="19">
        <v>56</v>
      </c>
      <c r="I106" s="19">
        <v>0</v>
      </c>
      <c r="J106" s="19">
        <v>0</v>
      </c>
      <c r="K106" s="19">
        <v>0</v>
      </c>
      <c r="L106" s="19">
        <v>1</v>
      </c>
      <c r="M106" s="19">
        <v>56</v>
      </c>
      <c r="N106" s="19">
        <v>0</v>
      </c>
      <c r="O106" s="121">
        <v>0</v>
      </c>
      <c r="P106" s="21">
        <v>0</v>
      </c>
      <c r="Q106" s="22"/>
      <c r="R106" s="23"/>
    </row>
    <row r="107" spans="1:18" ht="18" customHeight="1">
      <c r="A107" s="14">
        <v>46186</v>
      </c>
      <c r="B107" s="15" t="s">
        <v>1</v>
      </c>
      <c r="C107" s="118" t="s">
        <v>174</v>
      </c>
      <c r="D107" s="119" t="s">
        <v>181</v>
      </c>
      <c r="E107" s="120" t="s">
        <v>186</v>
      </c>
      <c r="F107" s="118" t="s">
        <v>187</v>
      </c>
      <c r="G107" s="19">
        <v>1</v>
      </c>
      <c r="H107" s="19">
        <v>60</v>
      </c>
      <c r="I107" s="19">
        <v>0</v>
      </c>
      <c r="J107" s="19">
        <v>0</v>
      </c>
      <c r="K107" s="19">
        <v>0</v>
      </c>
      <c r="L107" s="19">
        <v>1</v>
      </c>
      <c r="M107" s="19">
        <v>60</v>
      </c>
      <c r="N107" s="19">
        <v>0</v>
      </c>
      <c r="O107" s="121">
        <v>0</v>
      </c>
      <c r="P107" s="21">
        <v>0</v>
      </c>
      <c r="Q107" s="22"/>
      <c r="R107" s="23"/>
    </row>
    <row r="108" spans="1:18" ht="18" customHeight="1">
      <c r="A108" s="14">
        <v>46186</v>
      </c>
      <c r="B108" s="15" t="s">
        <v>1</v>
      </c>
      <c r="C108" s="122" t="s">
        <v>174</v>
      </c>
      <c r="D108" s="123" t="s">
        <v>188</v>
      </c>
      <c r="E108" s="124" t="s">
        <v>189</v>
      </c>
      <c r="F108" s="122" t="s">
        <v>187</v>
      </c>
      <c r="G108" s="19">
        <v>1</v>
      </c>
      <c r="H108" s="19">
        <v>332</v>
      </c>
      <c r="I108" s="19">
        <v>1</v>
      </c>
      <c r="J108" s="19">
        <v>0</v>
      </c>
      <c r="K108" s="19">
        <v>0</v>
      </c>
      <c r="L108" s="19">
        <v>2</v>
      </c>
      <c r="M108" s="19">
        <v>272</v>
      </c>
      <c r="N108" s="19">
        <v>0</v>
      </c>
      <c r="O108" s="125">
        <v>0</v>
      </c>
      <c r="P108" s="21">
        <v>0</v>
      </c>
      <c r="Q108" s="22"/>
      <c r="R108" s="23"/>
    </row>
    <row r="109" spans="1:18" ht="18" customHeight="1">
      <c r="A109" s="14">
        <v>46186</v>
      </c>
      <c r="B109" s="15" t="s">
        <v>1</v>
      </c>
      <c r="C109" s="122" t="s">
        <v>174</v>
      </c>
      <c r="D109" s="123" t="s">
        <v>188</v>
      </c>
      <c r="E109" s="124" t="s">
        <v>190</v>
      </c>
      <c r="F109" s="122" t="s">
        <v>187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25">
        <v>0</v>
      </c>
      <c r="P109" s="21">
        <v>0</v>
      </c>
      <c r="Q109" s="22"/>
      <c r="R109" s="23"/>
    </row>
    <row r="110" spans="1:18" ht="18" customHeight="1">
      <c r="A110" s="14">
        <v>46186</v>
      </c>
      <c r="B110" s="15" t="s">
        <v>1</v>
      </c>
      <c r="C110" s="122" t="s">
        <v>174</v>
      </c>
      <c r="D110" s="123" t="s">
        <v>188</v>
      </c>
      <c r="E110" s="124" t="s">
        <v>191</v>
      </c>
      <c r="F110" s="122" t="s">
        <v>192</v>
      </c>
      <c r="G110" s="19">
        <v>1</v>
      </c>
      <c r="H110" s="19">
        <v>265</v>
      </c>
      <c r="I110" s="19">
        <v>0</v>
      </c>
      <c r="J110" s="19">
        <v>0</v>
      </c>
      <c r="K110" s="19">
        <v>0</v>
      </c>
      <c r="L110" s="19">
        <v>1</v>
      </c>
      <c r="M110" s="19">
        <v>265</v>
      </c>
      <c r="N110" s="19">
        <v>0</v>
      </c>
      <c r="O110" s="125">
        <v>0</v>
      </c>
      <c r="P110" s="21">
        <v>0</v>
      </c>
      <c r="Q110" s="22"/>
      <c r="R110" s="23"/>
    </row>
    <row r="111" spans="1:18" ht="18" customHeight="1">
      <c r="A111" s="14">
        <v>46186</v>
      </c>
      <c r="B111" s="15" t="s">
        <v>1</v>
      </c>
      <c r="C111" s="122" t="s">
        <v>174</v>
      </c>
      <c r="D111" s="123" t="s">
        <v>188</v>
      </c>
      <c r="E111" s="124" t="s">
        <v>193</v>
      </c>
      <c r="F111" s="122" t="s">
        <v>192</v>
      </c>
      <c r="G111" s="19">
        <v>1</v>
      </c>
      <c r="H111" s="19">
        <v>446</v>
      </c>
      <c r="I111" s="19">
        <v>0</v>
      </c>
      <c r="J111" s="19">
        <v>0</v>
      </c>
      <c r="K111" s="19">
        <v>0</v>
      </c>
      <c r="L111" s="19">
        <v>1</v>
      </c>
      <c r="M111" s="19">
        <v>446</v>
      </c>
      <c r="N111" s="19">
        <v>0</v>
      </c>
      <c r="O111" s="125">
        <v>0</v>
      </c>
      <c r="P111" s="21">
        <v>0</v>
      </c>
      <c r="Q111" s="22"/>
      <c r="R111" s="23"/>
    </row>
    <row r="112" spans="1:18" ht="18" customHeight="1">
      <c r="A112" s="14">
        <v>46186</v>
      </c>
      <c r="B112" s="15" t="s">
        <v>1</v>
      </c>
      <c r="C112" s="122" t="s">
        <v>174</v>
      </c>
      <c r="D112" s="123" t="s">
        <v>188</v>
      </c>
      <c r="E112" s="124" t="s">
        <v>194</v>
      </c>
      <c r="F112" s="122" t="s">
        <v>195</v>
      </c>
      <c r="G112" s="19">
        <v>1</v>
      </c>
      <c r="H112" s="19">
        <v>29</v>
      </c>
      <c r="I112" s="19">
        <v>0</v>
      </c>
      <c r="J112" s="19">
        <v>0</v>
      </c>
      <c r="K112" s="19">
        <v>0</v>
      </c>
      <c r="L112" s="19">
        <v>1</v>
      </c>
      <c r="M112" s="19">
        <v>29</v>
      </c>
      <c r="N112" s="19">
        <v>0</v>
      </c>
      <c r="O112" s="125">
        <v>0</v>
      </c>
      <c r="P112" s="21"/>
      <c r="Q112" s="22"/>
      <c r="R112" s="23"/>
    </row>
    <row r="113" spans="1:18" ht="15" customHeight="1">
      <c r="A113" s="14">
        <v>46186</v>
      </c>
      <c r="B113" s="15" t="s">
        <v>1</v>
      </c>
      <c r="C113" s="122" t="s">
        <v>174</v>
      </c>
      <c r="D113" s="123" t="s">
        <v>188</v>
      </c>
      <c r="E113" s="124" t="s">
        <v>196</v>
      </c>
      <c r="F113" s="122" t="s">
        <v>197</v>
      </c>
      <c r="G113" s="19">
        <v>1</v>
      </c>
      <c r="H113" s="19">
        <v>98</v>
      </c>
      <c r="I113" s="19">
        <v>0</v>
      </c>
      <c r="J113" s="19">
        <v>0</v>
      </c>
      <c r="K113" s="19">
        <v>0</v>
      </c>
      <c r="L113" s="19">
        <v>1</v>
      </c>
      <c r="M113" s="19">
        <v>98</v>
      </c>
      <c r="N113" s="19">
        <v>0</v>
      </c>
      <c r="O113" s="125">
        <v>0</v>
      </c>
      <c r="P113" s="21">
        <v>0</v>
      </c>
      <c r="Q113" s="22"/>
      <c r="R113" s="23"/>
    </row>
    <row r="114" spans="1:18" ht="18" customHeight="1">
      <c r="A114" s="14">
        <v>46186</v>
      </c>
      <c r="B114" s="15" t="s">
        <v>1</v>
      </c>
      <c r="C114" s="126" t="s">
        <v>174</v>
      </c>
      <c r="D114" s="127" t="s">
        <v>198</v>
      </c>
      <c r="E114" s="127" t="s">
        <v>199</v>
      </c>
      <c r="F114" s="126"/>
      <c r="G114" s="19"/>
      <c r="H114" s="19"/>
      <c r="I114" s="19"/>
      <c r="J114" s="19"/>
      <c r="K114" s="19"/>
      <c r="L114" s="19"/>
      <c r="M114" s="19"/>
      <c r="N114" s="19"/>
      <c r="O114" s="128"/>
      <c r="P114" s="21"/>
      <c r="Q114" s="129"/>
      <c r="R114" s="23"/>
    </row>
    <row r="115" spans="1:18" ht="18" customHeight="1">
      <c r="A115" s="14">
        <v>46186</v>
      </c>
      <c r="B115" s="15" t="s">
        <v>1</v>
      </c>
      <c r="C115" s="126" t="s">
        <v>174</v>
      </c>
      <c r="D115" s="127" t="s">
        <v>198</v>
      </c>
      <c r="E115" s="127" t="s">
        <v>200</v>
      </c>
      <c r="F115" s="126"/>
      <c r="G115" s="19"/>
      <c r="H115" s="19"/>
      <c r="I115" s="19"/>
      <c r="J115" s="19"/>
      <c r="K115" s="19"/>
      <c r="L115" s="19"/>
      <c r="M115" s="19"/>
      <c r="N115" s="19"/>
      <c r="O115" s="128"/>
      <c r="P115" s="21"/>
      <c r="Q115" s="129"/>
      <c r="R115" s="23"/>
    </row>
    <row r="116" spans="1:18" ht="18.75" customHeight="1">
      <c r="A116" s="130">
        <v>46174</v>
      </c>
      <c r="B116" s="15" t="s">
        <v>201</v>
      </c>
      <c r="C116" s="126" t="s">
        <v>174</v>
      </c>
      <c r="D116" s="127" t="s">
        <v>198</v>
      </c>
      <c r="E116" s="127" t="s">
        <v>202</v>
      </c>
      <c r="F116" s="126"/>
      <c r="G116" s="19">
        <v>0</v>
      </c>
      <c r="H116" s="19">
        <v>540</v>
      </c>
      <c r="I116" s="19"/>
      <c r="J116" s="19"/>
      <c r="K116" s="19"/>
      <c r="L116" s="19"/>
      <c r="M116" s="19">
        <v>540</v>
      </c>
      <c r="N116" s="19"/>
      <c r="O116" s="128"/>
      <c r="P116" s="21">
        <v>0</v>
      </c>
      <c r="Q116" s="129"/>
      <c r="R116" s="23"/>
    </row>
    <row r="117" spans="1:18" ht="4.5" customHeight="1">
      <c r="A117" s="14">
        <v>46186</v>
      </c>
      <c r="B117" s="15" t="s">
        <v>1</v>
      </c>
      <c r="C117" s="57" t="s">
        <v>69</v>
      </c>
      <c r="D117" s="58" t="s">
        <v>93</v>
      </c>
      <c r="E117" s="59" t="s">
        <v>203</v>
      </c>
      <c r="F117" s="57"/>
      <c r="G117" s="23">
        <v>3</v>
      </c>
      <c r="H117" s="23">
        <v>117</v>
      </c>
      <c r="I117" s="23">
        <v>0</v>
      </c>
      <c r="J117" s="23">
        <v>0</v>
      </c>
      <c r="K117" s="23">
        <v>0</v>
      </c>
      <c r="L117" s="23">
        <v>3</v>
      </c>
      <c r="M117" s="23">
        <v>110</v>
      </c>
      <c r="N117" s="23">
        <v>0</v>
      </c>
      <c r="O117" s="60">
        <v>0</v>
      </c>
    </row>
    <row r="118" spans="1:18" ht="4.5" customHeight="1">
      <c r="A118" s="131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21">
        <v>0</v>
      </c>
      <c r="Q118" s="22"/>
      <c r="R118" s="23"/>
    </row>
    <row r="119" spans="1:18" ht="21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132"/>
      <c r="O119" s="132"/>
    </row>
    <row r="120" spans="1:18" ht="30" customHeight="1">
      <c r="A120" s="133" t="s">
        <v>204</v>
      </c>
    </row>
    <row r="121" spans="1:18" ht="25.5" customHeight="1">
      <c r="A121" s="134" t="s">
        <v>205</v>
      </c>
      <c r="B121" s="134" t="s">
        <v>206</v>
      </c>
      <c r="C121" s="134" t="s">
        <v>7</v>
      </c>
      <c r="D121" s="134" t="s">
        <v>207</v>
      </c>
      <c r="E121" s="134" t="s">
        <v>208</v>
      </c>
      <c r="F121" s="134" t="s">
        <v>209</v>
      </c>
      <c r="G121" s="134" t="s">
        <v>210</v>
      </c>
      <c r="H121" s="134" t="s">
        <v>211</v>
      </c>
      <c r="I121" s="134" t="s">
        <v>212</v>
      </c>
      <c r="J121" s="134" t="s">
        <v>213</v>
      </c>
      <c r="K121" s="134" t="s">
        <v>16</v>
      </c>
      <c r="L121" s="134" t="s">
        <v>17</v>
      </c>
      <c r="M121" s="134" t="s">
        <v>214</v>
      </c>
    </row>
    <row r="122" spans="1:18" ht="15" customHeight="1">
      <c r="A122" s="10">
        <v>46174</v>
      </c>
      <c r="B122" t="s">
        <v>201</v>
      </c>
      <c r="C122" t="s">
        <v>23</v>
      </c>
      <c r="D122">
        <v>7</v>
      </c>
      <c r="E122">
        <v>561</v>
      </c>
      <c r="I122">
        <v>6</v>
      </c>
      <c r="J122">
        <v>210</v>
      </c>
      <c r="M122" t="s">
        <v>215</v>
      </c>
    </row>
    <row r="123" spans="1:18" ht="15" customHeight="1">
      <c r="A123" s="10">
        <v>46174</v>
      </c>
      <c r="B123" t="s">
        <v>201</v>
      </c>
      <c r="C123" t="s">
        <v>26</v>
      </c>
      <c r="D123">
        <v>1</v>
      </c>
      <c r="E123">
        <v>457</v>
      </c>
      <c r="I123">
        <v>0</v>
      </c>
      <c r="J123">
        <v>1263</v>
      </c>
      <c r="M123" t="s">
        <v>216</v>
      </c>
    </row>
    <row r="124" spans="1:18" ht="15" customHeight="1">
      <c r="A124" s="10">
        <v>46174</v>
      </c>
      <c r="B124" t="s">
        <v>201</v>
      </c>
      <c r="C124" t="s">
        <v>27</v>
      </c>
      <c r="D124">
        <v>2</v>
      </c>
      <c r="E124">
        <v>700</v>
      </c>
      <c r="I124">
        <v>2</v>
      </c>
      <c r="J124">
        <v>599</v>
      </c>
      <c r="M124" t="s">
        <v>217</v>
      </c>
    </row>
    <row r="125" spans="1:18" ht="15" customHeight="1">
      <c r="A125" s="10">
        <v>46174</v>
      </c>
      <c r="B125" t="s">
        <v>201</v>
      </c>
      <c r="C125" t="s">
        <v>28</v>
      </c>
      <c r="E125">
        <v>580</v>
      </c>
      <c r="I125">
        <v>0</v>
      </c>
      <c r="J125">
        <v>571</v>
      </c>
      <c r="M125" t="s">
        <v>218</v>
      </c>
    </row>
    <row r="126" spans="1:18" ht="15" customHeight="1">
      <c r="A126" s="10">
        <v>46174</v>
      </c>
      <c r="B126" t="s">
        <v>201</v>
      </c>
      <c r="C126" t="s">
        <v>29</v>
      </c>
      <c r="E126">
        <v>1555</v>
      </c>
      <c r="I126">
        <v>0</v>
      </c>
      <c r="J126">
        <v>1457</v>
      </c>
      <c r="M126" t="s">
        <v>219</v>
      </c>
    </row>
    <row r="127" spans="1:18" ht="15" customHeight="1">
      <c r="A127" s="10">
        <v>46174</v>
      </c>
      <c r="B127" t="s">
        <v>201</v>
      </c>
      <c r="C127" t="s">
        <v>30</v>
      </c>
      <c r="E127">
        <v>720</v>
      </c>
      <c r="I127">
        <v>0</v>
      </c>
      <c r="J127">
        <v>705</v>
      </c>
      <c r="M127" t="s">
        <v>220</v>
      </c>
    </row>
    <row r="128" spans="1:18" ht="15" customHeight="1">
      <c r="A128" s="10">
        <v>46174</v>
      </c>
      <c r="B128" t="s">
        <v>201</v>
      </c>
      <c r="C128" t="s">
        <v>31</v>
      </c>
      <c r="E128">
        <v>1467</v>
      </c>
      <c r="I128">
        <v>0</v>
      </c>
      <c r="J128">
        <v>1417</v>
      </c>
      <c r="M128" t="s">
        <v>221</v>
      </c>
    </row>
    <row r="129" spans="1:13" ht="15" customHeight="1">
      <c r="A129" s="10">
        <v>46174</v>
      </c>
      <c r="B129" t="s">
        <v>201</v>
      </c>
      <c r="C129" t="s">
        <v>32</v>
      </c>
      <c r="D129">
        <v>2</v>
      </c>
      <c r="E129">
        <v>182</v>
      </c>
      <c r="I129">
        <v>1</v>
      </c>
      <c r="J129">
        <v>1025</v>
      </c>
      <c r="M129" t="s">
        <v>222</v>
      </c>
    </row>
    <row r="130" spans="1:13" ht="15" customHeight="1">
      <c r="A130" s="10">
        <v>46174</v>
      </c>
      <c r="B130" t="s">
        <v>201</v>
      </c>
      <c r="C130" t="s">
        <v>223</v>
      </c>
      <c r="D130">
        <v>7</v>
      </c>
      <c r="E130">
        <v>694</v>
      </c>
      <c r="I130">
        <v>7</v>
      </c>
      <c r="J130">
        <v>208</v>
      </c>
      <c r="M130" t="s">
        <v>224</v>
      </c>
    </row>
    <row r="131" spans="1:13" ht="15" customHeight="1">
      <c r="A131" s="10">
        <v>46174</v>
      </c>
      <c r="B131" t="s">
        <v>201</v>
      </c>
      <c r="C131" t="s">
        <v>35</v>
      </c>
      <c r="D131">
        <v>2</v>
      </c>
      <c r="H131">
        <v>1</v>
      </c>
      <c r="I131">
        <v>1</v>
      </c>
      <c r="M131" t="s">
        <v>225</v>
      </c>
    </row>
    <row r="132" spans="1:13" ht="15" customHeight="1">
      <c r="A132" s="10">
        <v>46174</v>
      </c>
      <c r="B132" t="s">
        <v>201</v>
      </c>
      <c r="C132" t="s">
        <v>37</v>
      </c>
      <c r="D132">
        <v>2</v>
      </c>
      <c r="I132">
        <v>2</v>
      </c>
      <c r="M132" t="s">
        <v>226</v>
      </c>
    </row>
    <row r="133" spans="1:13" ht="15" customHeight="1">
      <c r="A133" s="10">
        <v>46174</v>
      </c>
      <c r="B133" t="s">
        <v>201</v>
      </c>
      <c r="C133" t="s">
        <v>39</v>
      </c>
      <c r="D133">
        <v>20</v>
      </c>
      <c r="I133">
        <v>19</v>
      </c>
      <c r="J133">
        <v>0</v>
      </c>
      <c r="M133" t="s">
        <v>227</v>
      </c>
    </row>
    <row r="134" spans="1:13" ht="15" customHeight="1">
      <c r="A134" s="10">
        <v>46174</v>
      </c>
      <c r="B134" t="s">
        <v>201</v>
      </c>
      <c r="C134" t="s">
        <v>41</v>
      </c>
      <c r="D134">
        <v>15</v>
      </c>
      <c r="I134">
        <v>15</v>
      </c>
      <c r="J134">
        <v>0</v>
      </c>
      <c r="M134" t="s">
        <v>228</v>
      </c>
    </row>
    <row r="135" spans="1:13" ht="15" customHeight="1">
      <c r="A135" s="10">
        <v>46174</v>
      </c>
      <c r="B135" t="s">
        <v>201</v>
      </c>
      <c r="C135" s="135" t="s">
        <v>44</v>
      </c>
      <c r="D135">
        <v>4</v>
      </c>
      <c r="E135">
        <v>8309</v>
      </c>
      <c r="I135">
        <v>4</v>
      </c>
      <c r="J135">
        <v>7163</v>
      </c>
      <c r="M135" t="s">
        <v>229</v>
      </c>
    </row>
    <row r="136" spans="1:13" ht="15" customHeight="1">
      <c r="A136" s="10">
        <v>46174</v>
      </c>
      <c r="B136" t="s">
        <v>201</v>
      </c>
      <c r="C136" t="s">
        <v>230</v>
      </c>
      <c r="D136">
        <v>1</v>
      </c>
      <c r="E136">
        <v>443</v>
      </c>
      <c r="I136">
        <v>1</v>
      </c>
      <c r="J136">
        <v>431</v>
      </c>
      <c r="M136" t="s">
        <v>231</v>
      </c>
    </row>
    <row r="137" spans="1:13" ht="15" customHeight="1">
      <c r="A137" s="10">
        <v>46174</v>
      </c>
      <c r="B137" t="s">
        <v>201</v>
      </c>
      <c r="C137" t="s">
        <v>232</v>
      </c>
      <c r="D137">
        <v>15</v>
      </c>
      <c r="I137">
        <v>0</v>
      </c>
      <c r="J137">
        <v>0</v>
      </c>
      <c r="M137" t="s">
        <v>233</v>
      </c>
    </row>
    <row r="138" spans="1:13" ht="15" customHeight="1">
      <c r="A138" s="10">
        <v>46174</v>
      </c>
      <c r="B138" t="s">
        <v>201</v>
      </c>
      <c r="C138" t="s">
        <v>234</v>
      </c>
      <c r="D138">
        <v>71</v>
      </c>
      <c r="I138">
        <v>0</v>
      </c>
      <c r="J138">
        <v>0</v>
      </c>
      <c r="M138" t="s">
        <v>235</v>
      </c>
    </row>
    <row r="139" spans="1:13" ht="15" customHeight="1">
      <c r="A139" s="10">
        <v>46174</v>
      </c>
      <c r="B139" t="s">
        <v>201</v>
      </c>
      <c r="C139" t="s">
        <v>54</v>
      </c>
      <c r="I139">
        <v>0</v>
      </c>
      <c r="J139">
        <v>0</v>
      </c>
      <c r="M139" t="s">
        <v>236</v>
      </c>
    </row>
    <row r="140" spans="1:13" ht="15" customHeight="1">
      <c r="A140" s="10">
        <v>46174</v>
      </c>
      <c r="B140" t="s">
        <v>201</v>
      </c>
      <c r="C140" t="s">
        <v>237</v>
      </c>
      <c r="D140">
        <v>12</v>
      </c>
      <c r="I140">
        <v>12</v>
      </c>
      <c r="J140">
        <v>0</v>
      </c>
      <c r="M140" t="s">
        <v>238</v>
      </c>
    </row>
    <row r="141" spans="1:13" ht="15" customHeight="1">
      <c r="A141" s="10">
        <v>46174</v>
      </c>
      <c r="B141" t="s">
        <v>201</v>
      </c>
      <c r="C141" s="135" t="s">
        <v>58</v>
      </c>
      <c r="D141">
        <v>7</v>
      </c>
      <c r="I141">
        <v>3</v>
      </c>
      <c r="J141">
        <v>0</v>
      </c>
      <c r="M141" t="s">
        <v>239</v>
      </c>
    </row>
    <row r="142" spans="1:13" ht="15" customHeight="1">
      <c r="A142" s="10">
        <v>46174</v>
      </c>
      <c r="B142" t="s">
        <v>201</v>
      </c>
      <c r="C142" s="135" t="s">
        <v>60</v>
      </c>
      <c r="D142">
        <v>13</v>
      </c>
      <c r="I142">
        <v>9</v>
      </c>
      <c r="J142">
        <v>0</v>
      </c>
      <c r="M142" t="s">
        <v>240</v>
      </c>
    </row>
    <row r="143" spans="1:13" ht="15" customHeight="1">
      <c r="A143" s="10">
        <v>46174</v>
      </c>
      <c r="B143" t="s">
        <v>201</v>
      </c>
      <c r="C143" s="135" t="s">
        <v>61</v>
      </c>
      <c r="D143">
        <v>20</v>
      </c>
      <c r="I143">
        <v>18</v>
      </c>
      <c r="J143">
        <v>0</v>
      </c>
      <c r="M143" t="s">
        <v>241</v>
      </c>
    </row>
    <row r="144" spans="1:13" ht="15" customHeight="1">
      <c r="A144" s="10">
        <v>46174</v>
      </c>
      <c r="B144" t="s">
        <v>201</v>
      </c>
      <c r="C144" s="135" t="s">
        <v>62</v>
      </c>
      <c r="D144">
        <v>10</v>
      </c>
      <c r="I144">
        <v>7</v>
      </c>
      <c r="J144">
        <v>0</v>
      </c>
      <c r="M144" t="s">
        <v>242</v>
      </c>
    </row>
    <row r="145" spans="1:13" ht="15" customHeight="1">
      <c r="A145" s="10">
        <v>46174</v>
      </c>
      <c r="B145" t="s">
        <v>201</v>
      </c>
      <c r="C145" s="135" t="s">
        <v>63</v>
      </c>
      <c r="D145">
        <v>17</v>
      </c>
      <c r="I145">
        <v>14</v>
      </c>
      <c r="J145">
        <v>0</v>
      </c>
      <c r="M145" t="s">
        <v>243</v>
      </c>
    </row>
    <row r="146" spans="1:13" ht="15" customHeight="1">
      <c r="A146" s="10">
        <v>46174</v>
      </c>
      <c r="B146" t="s">
        <v>201</v>
      </c>
      <c r="C146" s="135" t="s">
        <v>64</v>
      </c>
      <c r="D146">
        <v>18</v>
      </c>
      <c r="I146">
        <v>15</v>
      </c>
      <c r="J146">
        <v>0</v>
      </c>
      <c r="M146" t="s">
        <v>244</v>
      </c>
    </row>
    <row r="147" spans="1:13" ht="15" customHeight="1">
      <c r="A147" s="10">
        <v>46174</v>
      </c>
      <c r="B147" t="s">
        <v>201</v>
      </c>
      <c r="C147" t="s">
        <v>66</v>
      </c>
      <c r="D147">
        <v>4</v>
      </c>
      <c r="I147">
        <v>3</v>
      </c>
      <c r="J147">
        <v>0</v>
      </c>
      <c r="M147" t="s">
        <v>245</v>
      </c>
    </row>
    <row r="148" spans="1:13" ht="15" customHeight="1">
      <c r="A148" s="10">
        <v>46174</v>
      </c>
      <c r="B148" t="s">
        <v>201</v>
      </c>
      <c r="C148" t="s">
        <v>67</v>
      </c>
      <c r="D148">
        <v>5</v>
      </c>
      <c r="I148">
        <v>5</v>
      </c>
      <c r="J148">
        <v>0</v>
      </c>
      <c r="M148" t="s">
        <v>246</v>
      </c>
    </row>
    <row r="149" spans="1:13" ht="15" customHeight="1">
      <c r="A149" s="10">
        <v>46174</v>
      </c>
      <c r="B149" t="s">
        <v>201</v>
      </c>
      <c r="C149" t="s">
        <v>68</v>
      </c>
      <c r="D149">
        <v>2</v>
      </c>
      <c r="I149">
        <v>2</v>
      </c>
      <c r="J149">
        <v>0</v>
      </c>
      <c r="M149" t="s">
        <v>247</v>
      </c>
    </row>
    <row r="150" spans="1:13" ht="15" customHeight="1">
      <c r="A150" s="10">
        <v>46174</v>
      </c>
      <c r="B150" t="s">
        <v>201</v>
      </c>
      <c r="C150" t="s">
        <v>71</v>
      </c>
      <c r="D150">
        <v>2</v>
      </c>
      <c r="E150">
        <v>258</v>
      </c>
      <c r="I150">
        <v>2</v>
      </c>
      <c r="J150">
        <v>201</v>
      </c>
      <c r="M150" t="s">
        <v>248</v>
      </c>
    </row>
    <row r="151" spans="1:13" ht="15" customHeight="1">
      <c r="A151" s="10">
        <v>46174</v>
      </c>
      <c r="B151" t="s">
        <v>201</v>
      </c>
      <c r="C151" t="s">
        <v>73</v>
      </c>
      <c r="D151">
        <v>2</v>
      </c>
      <c r="E151">
        <v>333</v>
      </c>
      <c r="I151">
        <v>2</v>
      </c>
      <c r="J151">
        <v>311</v>
      </c>
      <c r="M151" t="s">
        <v>249</v>
      </c>
    </row>
    <row r="152" spans="1:13" ht="15" customHeight="1">
      <c r="A152" s="10">
        <v>46174</v>
      </c>
      <c r="B152" t="s">
        <v>201</v>
      </c>
      <c r="C152" t="s">
        <v>75</v>
      </c>
      <c r="E152">
        <v>304</v>
      </c>
      <c r="I152">
        <v>0</v>
      </c>
      <c r="J152">
        <v>302</v>
      </c>
      <c r="M152" t="s">
        <v>250</v>
      </c>
    </row>
    <row r="153" spans="1:13" ht="15" customHeight="1">
      <c r="A153" s="10">
        <v>46174</v>
      </c>
      <c r="B153" t="s">
        <v>201</v>
      </c>
      <c r="C153" t="s">
        <v>77</v>
      </c>
      <c r="E153">
        <v>661</v>
      </c>
      <c r="I153">
        <v>0</v>
      </c>
      <c r="J153">
        <v>661</v>
      </c>
      <c r="M153" t="s">
        <v>251</v>
      </c>
    </row>
    <row r="154" spans="1:13" ht="15" customHeight="1">
      <c r="A154" s="10">
        <v>46174</v>
      </c>
      <c r="B154" t="s">
        <v>201</v>
      </c>
      <c r="C154" t="s">
        <v>79</v>
      </c>
      <c r="D154">
        <v>1</v>
      </c>
      <c r="E154">
        <v>467</v>
      </c>
      <c r="I154">
        <v>1</v>
      </c>
      <c r="J154">
        <v>436</v>
      </c>
      <c r="M154" t="s">
        <v>252</v>
      </c>
    </row>
    <row r="155" spans="1:13" ht="15" customHeight="1">
      <c r="A155" s="10">
        <v>46174</v>
      </c>
      <c r="B155" t="s">
        <v>201</v>
      </c>
      <c r="C155" t="s">
        <v>81</v>
      </c>
      <c r="E155">
        <v>581</v>
      </c>
      <c r="I155">
        <v>0</v>
      </c>
      <c r="J155">
        <v>581</v>
      </c>
      <c r="M155" t="s">
        <v>253</v>
      </c>
    </row>
    <row r="156" spans="1:13" ht="15" customHeight="1">
      <c r="A156" s="10">
        <v>46174</v>
      </c>
      <c r="B156" t="s">
        <v>201</v>
      </c>
      <c r="C156" t="s">
        <v>83</v>
      </c>
      <c r="D156">
        <v>1</v>
      </c>
      <c r="E156">
        <v>172</v>
      </c>
      <c r="I156">
        <v>1</v>
      </c>
      <c r="J156">
        <v>155</v>
      </c>
      <c r="M156" t="s">
        <v>254</v>
      </c>
    </row>
    <row r="157" spans="1:13" ht="15" customHeight="1">
      <c r="A157" s="10">
        <v>46174</v>
      </c>
      <c r="B157" t="s">
        <v>201</v>
      </c>
      <c r="C157" t="s">
        <v>84</v>
      </c>
      <c r="E157">
        <v>409</v>
      </c>
      <c r="I157">
        <v>0</v>
      </c>
      <c r="J157">
        <v>409</v>
      </c>
      <c r="M157" t="s">
        <v>255</v>
      </c>
    </row>
    <row r="158" spans="1:13" ht="15" customHeight="1">
      <c r="A158" s="10">
        <v>46174</v>
      </c>
      <c r="B158" t="s">
        <v>201</v>
      </c>
      <c r="C158" t="s">
        <v>85</v>
      </c>
      <c r="E158">
        <v>226</v>
      </c>
      <c r="I158">
        <v>0</v>
      </c>
      <c r="J158">
        <v>226</v>
      </c>
      <c r="M158" t="s">
        <v>256</v>
      </c>
    </row>
    <row r="159" spans="1:13" ht="15" customHeight="1">
      <c r="A159" s="10">
        <v>46174</v>
      </c>
      <c r="B159" t="s">
        <v>201</v>
      </c>
      <c r="C159" t="s">
        <v>87</v>
      </c>
      <c r="D159">
        <v>2</v>
      </c>
      <c r="E159">
        <v>53</v>
      </c>
      <c r="I159">
        <v>2</v>
      </c>
      <c r="J159">
        <v>49</v>
      </c>
      <c r="M159" t="s">
        <v>257</v>
      </c>
    </row>
    <row r="160" spans="1:13" ht="15" customHeight="1">
      <c r="A160" s="10">
        <v>46174</v>
      </c>
      <c r="B160" t="s">
        <v>201</v>
      </c>
      <c r="C160" t="s">
        <v>88</v>
      </c>
      <c r="D160">
        <v>1</v>
      </c>
      <c r="E160">
        <v>339</v>
      </c>
      <c r="I160">
        <v>1</v>
      </c>
      <c r="J160">
        <v>338</v>
      </c>
      <c r="M160" t="s">
        <v>258</v>
      </c>
    </row>
    <row r="161" spans="1:13" ht="15" customHeight="1">
      <c r="A161" s="10">
        <v>46174</v>
      </c>
      <c r="B161" t="s">
        <v>201</v>
      </c>
      <c r="C161" t="s">
        <v>89</v>
      </c>
      <c r="D161">
        <v>1</v>
      </c>
      <c r="E161">
        <v>340</v>
      </c>
      <c r="I161">
        <v>1</v>
      </c>
      <c r="J161">
        <v>339</v>
      </c>
      <c r="M161" t="s">
        <v>259</v>
      </c>
    </row>
    <row r="162" spans="1:13" ht="15" customHeight="1">
      <c r="A162" s="10">
        <v>46174</v>
      </c>
      <c r="B162" t="s">
        <v>201</v>
      </c>
      <c r="C162" t="s">
        <v>90</v>
      </c>
      <c r="D162">
        <v>1</v>
      </c>
      <c r="E162">
        <v>642</v>
      </c>
      <c r="I162">
        <v>1</v>
      </c>
      <c r="J162">
        <v>618</v>
      </c>
      <c r="M162" t="s">
        <v>260</v>
      </c>
    </row>
    <row r="163" spans="1:13" ht="15" customHeight="1">
      <c r="A163" s="10">
        <v>46174</v>
      </c>
      <c r="B163" t="s">
        <v>201</v>
      </c>
      <c r="C163" t="s">
        <v>92</v>
      </c>
      <c r="D163">
        <v>1</v>
      </c>
      <c r="E163">
        <v>176</v>
      </c>
      <c r="I163">
        <v>1</v>
      </c>
      <c r="J163">
        <v>172</v>
      </c>
      <c r="M163" t="s">
        <v>261</v>
      </c>
    </row>
    <row r="164" spans="1:13" ht="15" customHeight="1">
      <c r="A164" s="10">
        <v>46174</v>
      </c>
      <c r="B164" t="s">
        <v>201</v>
      </c>
      <c r="C164" t="s">
        <v>94</v>
      </c>
      <c r="D164">
        <v>1</v>
      </c>
      <c r="E164">
        <v>211</v>
      </c>
      <c r="I164">
        <v>0</v>
      </c>
      <c r="J164">
        <v>348</v>
      </c>
      <c r="M164" t="s">
        <v>262</v>
      </c>
    </row>
    <row r="165" spans="1:13" ht="15" customHeight="1">
      <c r="A165" s="10">
        <v>46174</v>
      </c>
      <c r="B165" t="s">
        <v>201</v>
      </c>
      <c r="C165" t="s">
        <v>96</v>
      </c>
      <c r="D165">
        <v>1</v>
      </c>
      <c r="I165">
        <v>1</v>
      </c>
      <c r="J165">
        <v>0</v>
      </c>
      <c r="M165" t="s">
        <v>263</v>
      </c>
    </row>
    <row r="166" spans="1:13" ht="15" customHeight="1">
      <c r="A166" s="10">
        <v>46174</v>
      </c>
      <c r="B166" t="s">
        <v>201</v>
      </c>
      <c r="C166" t="s">
        <v>98</v>
      </c>
      <c r="E166">
        <v>136</v>
      </c>
      <c r="I166">
        <v>0</v>
      </c>
      <c r="J166">
        <v>551</v>
      </c>
      <c r="M166" t="s">
        <v>264</v>
      </c>
    </row>
    <row r="167" spans="1:13" ht="15" customHeight="1">
      <c r="A167" s="10">
        <v>46174</v>
      </c>
      <c r="B167" t="s">
        <v>201</v>
      </c>
      <c r="C167" t="s">
        <v>100</v>
      </c>
      <c r="D167">
        <v>1</v>
      </c>
      <c r="I167">
        <v>0</v>
      </c>
      <c r="J167">
        <v>0</v>
      </c>
      <c r="M167" t="s">
        <v>265</v>
      </c>
    </row>
    <row r="168" spans="1:13" ht="15" customHeight="1">
      <c r="A168" s="10">
        <v>46174</v>
      </c>
      <c r="B168" t="s">
        <v>201</v>
      </c>
      <c r="C168" t="s">
        <v>101</v>
      </c>
      <c r="D168">
        <v>1</v>
      </c>
      <c r="E168">
        <v>476</v>
      </c>
      <c r="I168">
        <v>1</v>
      </c>
      <c r="J168">
        <v>412</v>
      </c>
      <c r="M168" t="s">
        <v>266</v>
      </c>
    </row>
    <row r="169" spans="1:13" ht="15" customHeight="1">
      <c r="A169" s="10">
        <v>46174</v>
      </c>
      <c r="B169" t="s">
        <v>201</v>
      </c>
      <c r="C169" t="s">
        <v>103</v>
      </c>
      <c r="D169">
        <v>9</v>
      </c>
      <c r="I169">
        <v>0</v>
      </c>
      <c r="M169" t="s">
        <v>267</v>
      </c>
    </row>
    <row r="170" spans="1:13" ht="15" customHeight="1">
      <c r="A170" s="10">
        <v>46174</v>
      </c>
      <c r="B170" t="s">
        <v>201</v>
      </c>
      <c r="C170" t="s">
        <v>106</v>
      </c>
      <c r="D170">
        <v>2</v>
      </c>
      <c r="E170">
        <v>291</v>
      </c>
      <c r="I170">
        <v>1</v>
      </c>
      <c r="J170">
        <v>1231</v>
      </c>
      <c r="M170" t="s">
        <v>268</v>
      </c>
    </row>
    <row r="171" spans="1:13" ht="15" customHeight="1">
      <c r="A171" s="10">
        <v>46174</v>
      </c>
      <c r="B171" t="s">
        <v>201</v>
      </c>
      <c r="C171" t="s">
        <v>108</v>
      </c>
      <c r="D171">
        <v>2</v>
      </c>
      <c r="E171">
        <v>169</v>
      </c>
      <c r="I171">
        <v>1</v>
      </c>
      <c r="J171">
        <v>1132</v>
      </c>
      <c r="M171" t="s">
        <v>269</v>
      </c>
    </row>
    <row r="172" spans="1:13" ht="15" customHeight="1">
      <c r="A172" s="10">
        <v>46174</v>
      </c>
      <c r="B172" t="s">
        <v>201</v>
      </c>
      <c r="C172" t="s">
        <v>109</v>
      </c>
      <c r="D172">
        <v>2</v>
      </c>
      <c r="E172">
        <v>420</v>
      </c>
      <c r="I172">
        <v>1</v>
      </c>
      <c r="J172">
        <v>1104</v>
      </c>
      <c r="M172" t="s">
        <v>270</v>
      </c>
    </row>
    <row r="173" spans="1:13" ht="15" customHeight="1">
      <c r="A173" s="10">
        <v>46174</v>
      </c>
      <c r="B173" t="s">
        <v>201</v>
      </c>
      <c r="C173" t="s">
        <v>112</v>
      </c>
      <c r="D173">
        <v>2</v>
      </c>
      <c r="E173">
        <v>36</v>
      </c>
      <c r="I173">
        <v>2</v>
      </c>
      <c r="J173">
        <v>34</v>
      </c>
      <c r="M173" t="s">
        <v>271</v>
      </c>
    </row>
    <row r="174" spans="1:13" ht="15" customHeight="1">
      <c r="A174" s="10">
        <v>46174</v>
      </c>
      <c r="B174" t="s">
        <v>201</v>
      </c>
      <c r="C174" t="s">
        <v>114</v>
      </c>
      <c r="D174">
        <v>2</v>
      </c>
      <c r="E174">
        <v>41</v>
      </c>
      <c r="I174">
        <v>2</v>
      </c>
      <c r="J174">
        <v>29</v>
      </c>
      <c r="M174" t="s">
        <v>272</v>
      </c>
    </row>
    <row r="175" spans="1:13" ht="15" customHeight="1">
      <c r="A175" s="10">
        <v>46174</v>
      </c>
      <c r="B175" t="s">
        <v>201</v>
      </c>
      <c r="C175" t="s">
        <v>115</v>
      </c>
      <c r="D175">
        <v>1</v>
      </c>
      <c r="E175">
        <v>12</v>
      </c>
      <c r="I175">
        <v>1</v>
      </c>
      <c r="J175">
        <v>9</v>
      </c>
      <c r="M175" t="s">
        <v>273</v>
      </c>
    </row>
    <row r="176" spans="1:13" ht="15" customHeight="1">
      <c r="A176" s="10">
        <v>46174</v>
      </c>
      <c r="B176" t="s">
        <v>201</v>
      </c>
      <c r="C176" t="s">
        <v>116</v>
      </c>
      <c r="D176">
        <v>2</v>
      </c>
      <c r="E176">
        <v>46</v>
      </c>
      <c r="I176">
        <v>2</v>
      </c>
      <c r="J176">
        <v>40</v>
      </c>
      <c r="M176" t="s">
        <v>274</v>
      </c>
    </row>
    <row r="177" spans="1:13" ht="15" customHeight="1">
      <c r="A177" s="10">
        <v>46174</v>
      </c>
      <c r="B177" t="s">
        <v>201</v>
      </c>
      <c r="C177" s="135" t="s">
        <v>117</v>
      </c>
      <c r="H177">
        <v>23</v>
      </c>
      <c r="M177" t="s">
        <v>275</v>
      </c>
    </row>
    <row r="178" spans="1:13" ht="15" customHeight="1">
      <c r="A178" s="10">
        <v>46174</v>
      </c>
      <c r="B178" t="s">
        <v>201</v>
      </c>
      <c r="C178" t="s">
        <v>119</v>
      </c>
      <c r="D178">
        <v>2</v>
      </c>
      <c r="I178">
        <v>2</v>
      </c>
      <c r="M178" t="s">
        <v>276</v>
      </c>
    </row>
    <row r="179" spans="1:13" ht="15" customHeight="1">
      <c r="A179" s="10">
        <v>46174</v>
      </c>
      <c r="B179" t="s">
        <v>201</v>
      </c>
      <c r="C179" t="s">
        <v>120</v>
      </c>
      <c r="D179">
        <v>2</v>
      </c>
      <c r="I179">
        <v>2</v>
      </c>
      <c r="M179" t="s">
        <v>277</v>
      </c>
    </row>
    <row r="180" spans="1:13" ht="15" customHeight="1">
      <c r="A180" s="10">
        <v>46174</v>
      </c>
      <c r="B180" t="s">
        <v>201</v>
      </c>
      <c r="C180" t="s">
        <v>121</v>
      </c>
      <c r="D180">
        <v>2</v>
      </c>
      <c r="I180">
        <v>2</v>
      </c>
      <c r="M180" t="s">
        <v>278</v>
      </c>
    </row>
    <row r="181" spans="1:13" ht="15" customHeight="1">
      <c r="A181" s="10">
        <v>46174</v>
      </c>
      <c r="B181" t="s">
        <v>201</v>
      </c>
      <c r="C181" t="s">
        <v>123</v>
      </c>
      <c r="D181">
        <v>2</v>
      </c>
      <c r="I181">
        <v>2</v>
      </c>
      <c r="M181" t="s">
        <v>279</v>
      </c>
    </row>
    <row r="182" spans="1:13" ht="15" customHeight="1">
      <c r="A182" s="10">
        <v>46174</v>
      </c>
      <c r="B182" t="s">
        <v>201</v>
      </c>
      <c r="C182" t="s">
        <v>124</v>
      </c>
      <c r="I182">
        <v>0</v>
      </c>
      <c r="M182" t="s">
        <v>280</v>
      </c>
    </row>
    <row r="183" spans="1:13" ht="15" customHeight="1">
      <c r="A183" s="10">
        <v>46174</v>
      </c>
      <c r="B183" t="s">
        <v>201</v>
      </c>
      <c r="C183" t="s">
        <v>125</v>
      </c>
      <c r="D183">
        <v>2</v>
      </c>
      <c r="I183">
        <v>2</v>
      </c>
      <c r="M183" t="s">
        <v>281</v>
      </c>
    </row>
    <row r="184" spans="1:13" ht="15" customHeight="1">
      <c r="A184" s="10">
        <v>46174</v>
      </c>
      <c r="B184" t="s">
        <v>201</v>
      </c>
      <c r="C184" t="s">
        <v>126</v>
      </c>
      <c r="D184">
        <v>1</v>
      </c>
      <c r="I184">
        <v>1</v>
      </c>
      <c r="M184" t="s">
        <v>282</v>
      </c>
    </row>
    <row r="185" spans="1:13" ht="15" customHeight="1">
      <c r="A185" s="10">
        <v>46174</v>
      </c>
      <c r="B185" t="s">
        <v>201</v>
      </c>
      <c r="C185" t="s">
        <v>128</v>
      </c>
      <c r="D185">
        <v>1</v>
      </c>
      <c r="I185">
        <v>1</v>
      </c>
      <c r="M185" t="s">
        <v>283</v>
      </c>
    </row>
    <row r="186" spans="1:13" ht="15" customHeight="1">
      <c r="A186" s="10">
        <v>46174</v>
      </c>
      <c r="B186" t="s">
        <v>201</v>
      </c>
      <c r="C186" t="s">
        <v>130</v>
      </c>
      <c r="D186">
        <v>4</v>
      </c>
      <c r="I186">
        <v>4</v>
      </c>
      <c r="M186" t="s">
        <v>284</v>
      </c>
    </row>
    <row r="187" spans="1:13" ht="15" customHeight="1">
      <c r="A187" s="10">
        <v>46174</v>
      </c>
      <c r="B187" t="s">
        <v>201</v>
      </c>
      <c r="C187" t="s">
        <v>285</v>
      </c>
      <c r="D187">
        <v>2</v>
      </c>
      <c r="I187">
        <v>2</v>
      </c>
      <c r="M187" t="s">
        <v>286</v>
      </c>
    </row>
    <row r="188" spans="1:13" ht="15" customHeight="1">
      <c r="A188" s="10">
        <v>46174</v>
      </c>
      <c r="B188" t="s">
        <v>201</v>
      </c>
      <c r="C188" t="s">
        <v>287</v>
      </c>
      <c r="D188">
        <v>2</v>
      </c>
      <c r="I188">
        <v>2</v>
      </c>
      <c r="M188" t="s">
        <v>288</v>
      </c>
    </row>
    <row r="189" spans="1:13" ht="15" customHeight="1">
      <c r="A189" s="10">
        <v>46174</v>
      </c>
      <c r="B189" t="s">
        <v>201</v>
      </c>
      <c r="C189" t="s">
        <v>289</v>
      </c>
      <c r="D189">
        <v>3</v>
      </c>
      <c r="I189">
        <v>3</v>
      </c>
      <c r="M189" t="s">
        <v>290</v>
      </c>
    </row>
    <row r="190" spans="1:13" ht="15" customHeight="1">
      <c r="A190" s="10">
        <v>46174</v>
      </c>
      <c r="B190" t="s">
        <v>201</v>
      </c>
      <c r="C190" t="s">
        <v>291</v>
      </c>
      <c r="D190">
        <v>2</v>
      </c>
      <c r="I190">
        <v>2</v>
      </c>
      <c r="M190" t="s">
        <v>292</v>
      </c>
    </row>
    <row r="191" spans="1:13" ht="15" customHeight="1">
      <c r="A191" s="10">
        <v>46174</v>
      </c>
      <c r="B191" t="s">
        <v>201</v>
      </c>
      <c r="C191" t="s">
        <v>293</v>
      </c>
      <c r="D191">
        <v>3</v>
      </c>
      <c r="I191">
        <v>3</v>
      </c>
      <c r="M191" t="s">
        <v>294</v>
      </c>
    </row>
    <row r="192" spans="1:13" ht="15" customHeight="1">
      <c r="A192" s="10">
        <v>46174</v>
      </c>
      <c r="B192" t="s">
        <v>201</v>
      </c>
      <c r="C192" s="135" t="s">
        <v>138</v>
      </c>
      <c r="D192">
        <v>29</v>
      </c>
      <c r="I192">
        <v>0</v>
      </c>
      <c r="J192">
        <v>25</v>
      </c>
      <c r="M192" t="s">
        <v>295</v>
      </c>
    </row>
    <row r="193" spans="1:13" ht="15" customHeight="1">
      <c r="A193" s="10">
        <v>46174</v>
      </c>
      <c r="B193" t="s">
        <v>201</v>
      </c>
      <c r="C193" s="135" t="s">
        <v>139</v>
      </c>
      <c r="D193">
        <v>12</v>
      </c>
      <c r="I193">
        <v>0</v>
      </c>
      <c r="J193">
        <v>11</v>
      </c>
      <c r="M193" t="s">
        <v>296</v>
      </c>
    </row>
    <row r="194" spans="1:13" ht="15" customHeight="1">
      <c r="A194" s="10">
        <v>46174</v>
      </c>
      <c r="B194" t="s">
        <v>201</v>
      </c>
      <c r="C194" s="135" t="s">
        <v>140</v>
      </c>
      <c r="D194">
        <v>36</v>
      </c>
      <c r="I194">
        <v>0</v>
      </c>
      <c r="J194">
        <v>36</v>
      </c>
      <c r="M194" t="s">
        <v>297</v>
      </c>
    </row>
    <row r="195" spans="1:13" ht="15" customHeight="1">
      <c r="A195" s="10">
        <v>46174</v>
      </c>
      <c r="B195" t="s">
        <v>201</v>
      </c>
      <c r="C195" s="135" t="s">
        <v>141</v>
      </c>
      <c r="D195">
        <v>1</v>
      </c>
      <c r="E195">
        <v>69</v>
      </c>
      <c r="I195">
        <v>0</v>
      </c>
      <c r="J195">
        <v>1</v>
      </c>
      <c r="M195" t="s">
        <v>298</v>
      </c>
    </row>
    <row r="196" spans="1:13" ht="15" customHeight="1">
      <c r="A196" s="10">
        <v>46174</v>
      </c>
      <c r="B196" t="s">
        <v>201</v>
      </c>
      <c r="C196" s="135" t="s">
        <v>143</v>
      </c>
      <c r="D196">
        <v>49</v>
      </c>
      <c r="I196">
        <v>0</v>
      </c>
      <c r="J196">
        <v>46</v>
      </c>
      <c r="M196" t="s">
        <v>299</v>
      </c>
    </row>
    <row r="197" spans="1:13" ht="15" customHeight="1">
      <c r="A197" s="10">
        <v>46174</v>
      </c>
      <c r="B197" t="s">
        <v>201</v>
      </c>
      <c r="C197" s="135" t="s">
        <v>145</v>
      </c>
      <c r="D197">
        <v>26</v>
      </c>
      <c r="I197">
        <v>0</v>
      </c>
      <c r="J197">
        <v>23</v>
      </c>
      <c r="M197" t="s">
        <v>300</v>
      </c>
    </row>
    <row r="198" spans="1:13" ht="15" customHeight="1">
      <c r="A198" s="10">
        <v>46174</v>
      </c>
      <c r="B198" t="s">
        <v>201</v>
      </c>
      <c r="C198" s="135" t="s">
        <v>147</v>
      </c>
      <c r="D198">
        <v>38</v>
      </c>
      <c r="I198">
        <v>0</v>
      </c>
      <c r="J198">
        <v>38</v>
      </c>
      <c r="M198" t="s">
        <v>301</v>
      </c>
    </row>
    <row r="199" spans="1:13" ht="15" customHeight="1">
      <c r="A199" s="10">
        <v>46174</v>
      </c>
      <c r="B199" t="s">
        <v>201</v>
      </c>
      <c r="C199" t="s">
        <v>302</v>
      </c>
      <c r="D199">
        <v>2</v>
      </c>
      <c r="I199">
        <v>2</v>
      </c>
      <c r="M199" t="s">
        <v>303</v>
      </c>
    </row>
    <row r="200" spans="1:13" ht="15" customHeight="1">
      <c r="A200" s="10">
        <v>46174</v>
      </c>
      <c r="B200" t="s">
        <v>201</v>
      </c>
      <c r="C200" t="s">
        <v>150</v>
      </c>
      <c r="I200">
        <v>1</v>
      </c>
      <c r="M200" t="s">
        <v>304</v>
      </c>
    </row>
    <row r="201" spans="1:13" ht="15" customHeight="1">
      <c r="A201" s="10">
        <v>46174</v>
      </c>
      <c r="B201" t="s">
        <v>201</v>
      </c>
      <c r="C201" t="s">
        <v>151</v>
      </c>
      <c r="I201">
        <v>2</v>
      </c>
      <c r="M201" t="s">
        <v>305</v>
      </c>
    </row>
    <row r="202" spans="1:13" ht="15" customHeight="1">
      <c r="A202" s="10">
        <v>46174</v>
      </c>
      <c r="B202" t="s">
        <v>201</v>
      </c>
      <c r="C202" t="s">
        <v>152</v>
      </c>
      <c r="I202">
        <v>2</v>
      </c>
      <c r="M202" t="s">
        <v>306</v>
      </c>
    </row>
    <row r="203" spans="1:13" ht="15" customHeight="1">
      <c r="A203" s="10">
        <v>46174</v>
      </c>
      <c r="B203" t="s">
        <v>201</v>
      </c>
      <c r="C203" t="s">
        <v>153</v>
      </c>
      <c r="I203">
        <v>9</v>
      </c>
      <c r="M203" t="s">
        <v>307</v>
      </c>
    </row>
    <row r="204" spans="1:13" ht="15" customHeight="1">
      <c r="A204" s="10">
        <v>46174</v>
      </c>
      <c r="B204" t="s">
        <v>201</v>
      </c>
      <c r="C204" t="s">
        <v>308</v>
      </c>
      <c r="D204">
        <v>4</v>
      </c>
      <c r="I204">
        <v>0</v>
      </c>
      <c r="J204">
        <v>3</v>
      </c>
      <c r="M204" t="s">
        <v>309</v>
      </c>
    </row>
    <row r="205" spans="1:13" ht="15" customHeight="1">
      <c r="A205" s="10">
        <v>46174</v>
      </c>
      <c r="B205" t="s">
        <v>201</v>
      </c>
      <c r="C205" t="s">
        <v>310</v>
      </c>
      <c r="D205">
        <v>2</v>
      </c>
      <c r="I205">
        <v>0</v>
      </c>
      <c r="J205">
        <v>2</v>
      </c>
      <c r="M205" t="s">
        <v>311</v>
      </c>
    </row>
    <row r="206" spans="1:13" ht="15" customHeight="1">
      <c r="A206" s="10">
        <v>46174</v>
      </c>
      <c r="B206" t="s">
        <v>201</v>
      </c>
      <c r="C206" t="s">
        <v>312</v>
      </c>
      <c r="D206">
        <v>3</v>
      </c>
      <c r="I206">
        <v>0</v>
      </c>
      <c r="J206">
        <v>3</v>
      </c>
      <c r="M206" t="s">
        <v>313</v>
      </c>
    </row>
    <row r="207" spans="1:13" ht="15" customHeight="1">
      <c r="A207" s="10">
        <v>46174</v>
      </c>
      <c r="B207" t="s">
        <v>201</v>
      </c>
      <c r="C207" t="s">
        <v>314</v>
      </c>
      <c r="D207">
        <v>1</v>
      </c>
      <c r="I207">
        <v>1</v>
      </c>
      <c r="M207" t="s">
        <v>315</v>
      </c>
    </row>
    <row r="208" spans="1:13" ht="15" customHeight="1">
      <c r="A208" s="10">
        <v>46174</v>
      </c>
      <c r="B208" t="s">
        <v>201</v>
      </c>
      <c r="C208" t="s">
        <v>316</v>
      </c>
      <c r="D208">
        <v>1</v>
      </c>
      <c r="I208">
        <v>1</v>
      </c>
      <c r="M208" t="s">
        <v>317</v>
      </c>
    </row>
    <row r="209" spans="1:13" ht="15" customHeight="1">
      <c r="A209" s="10">
        <v>46174</v>
      </c>
      <c r="B209" t="s">
        <v>201</v>
      </c>
      <c r="C209" t="s">
        <v>318</v>
      </c>
      <c r="D209">
        <v>3</v>
      </c>
      <c r="I209">
        <v>3</v>
      </c>
      <c r="M209" t="s">
        <v>319</v>
      </c>
    </row>
    <row r="210" spans="1:13" ht="15" customHeight="1">
      <c r="A210" s="10">
        <v>46174</v>
      </c>
      <c r="B210" t="s">
        <v>201</v>
      </c>
      <c r="C210" t="s">
        <v>320</v>
      </c>
      <c r="D210">
        <v>1</v>
      </c>
      <c r="I210">
        <v>1</v>
      </c>
      <c r="M210" t="s">
        <v>321</v>
      </c>
    </row>
    <row r="211" spans="1:13" ht="15" customHeight="1">
      <c r="A211" s="10">
        <v>46174</v>
      </c>
      <c r="B211" t="s">
        <v>201</v>
      </c>
      <c r="C211" t="s">
        <v>322</v>
      </c>
      <c r="D211">
        <v>2</v>
      </c>
      <c r="I211">
        <v>2</v>
      </c>
      <c r="M211" t="s">
        <v>323</v>
      </c>
    </row>
    <row r="212" spans="1:13" ht="15" customHeight="1">
      <c r="A212" s="10">
        <v>46174</v>
      </c>
      <c r="B212" t="s">
        <v>201</v>
      </c>
      <c r="C212" s="135" t="s">
        <v>168</v>
      </c>
      <c r="D212">
        <v>1</v>
      </c>
      <c r="I212">
        <v>1</v>
      </c>
      <c r="M212" t="s">
        <v>324</v>
      </c>
    </row>
    <row r="213" spans="1:13" ht="15" customHeight="1">
      <c r="A213" s="10">
        <v>46174</v>
      </c>
      <c r="B213" t="s">
        <v>201</v>
      </c>
      <c r="C213" s="135" t="s">
        <v>170</v>
      </c>
      <c r="D213">
        <v>1</v>
      </c>
      <c r="I213">
        <v>1</v>
      </c>
      <c r="M213" t="s">
        <v>325</v>
      </c>
    </row>
    <row r="214" spans="1:13" ht="15" customHeight="1">
      <c r="A214" s="10">
        <v>46174</v>
      </c>
      <c r="B214" t="s">
        <v>201</v>
      </c>
      <c r="C214" s="135" t="s">
        <v>171</v>
      </c>
      <c r="D214">
        <v>3</v>
      </c>
      <c r="I214">
        <v>3</v>
      </c>
      <c r="M214" t="s">
        <v>326</v>
      </c>
    </row>
    <row r="215" spans="1:13" ht="15" customHeight="1">
      <c r="A215" s="10">
        <v>46174</v>
      </c>
      <c r="B215" t="s">
        <v>201</v>
      </c>
      <c r="C215" s="135" t="s">
        <v>172</v>
      </c>
      <c r="D215">
        <v>1</v>
      </c>
      <c r="I215">
        <v>1</v>
      </c>
      <c r="M215" t="s">
        <v>327</v>
      </c>
    </row>
    <row r="216" spans="1:13" ht="15" customHeight="1">
      <c r="A216" s="10">
        <v>46174</v>
      </c>
      <c r="B216" t="s">
        <v>201</v>
      </c>
      <c r="C216" s="135" t="s">
        <v>173</v>
      </c>
      <c r="D216">
        <v>1</v>
      </c>
      <c r="I216">
        <v>1</v>
      </c>
      <c r="M216" t="s">
        <v>328</v>
      </c>
    </row>
    <row r="217" spans="1:13" ht="15" customHeight="1">
      <c r="A217" s="10">
        <v>46174</v>
      </c>
      <c r="B217" t="s">
        <v>201</v>
      </c>
      <c r="C217" t="s">
        <v>176</v>
      </c>
      <c r="D217">
        <v>22</v>
      </c>
      <c r="I217">
        <v>0</v>
      </c>
      <c r="J217">
        <v>22</v>
      </c>
      <c r="M217" t="s">
        <v>329</v>
      </c>
    </row>
    <row r="218" spans="1:13" ht="15" customHeight="1">
      <c r="A218" s="10">
        <v>46174</v>
      </c>
      <c r="B218" t="s">
        <v>201</v>
      </c>
      <c r="C218" t="s">
        <v>178</v>
      </c>
      <c r="D218">
        <v>20</v>
      </c>
      <c r="H218">
        <v>1</v>
      </c>
      <c r="I218">
        <v>0</v>
      </c>
      <c r="J218">
        <v>19</v>
      </c>
      <c r="M218" t="s">
        <v>330</v>
      </c>
    </row>
    <row r="219" spans="1:13" ht="15" customHeight="1">
      <c r="A219" s="10">
        <v>46174</v>
      </c>
      <c r="B219" t="s">
        <v>201</v>
      </c>
      <c r="C219" t="s">
        <v>179</v>
      </c>
      <c r="D219">
        <v>20</v>
      </c>
      <c r="I219">
        <v>0</v>
      </c>
      <c r="J219">
        <v>20</v>
      </c>
      <c r="M219" t="s">
        <v>331</v>
      </c>
    </row>
    <row r="220" spans="1:13" ht="15" customHeight="1">
      <c r="A220" s="10">
        <v>46174</v>
      </c>
      <c r="B220" t="s">
        <v>201</v>
      </c>
      <c r="C220" t="s">
        <v>180</v>
      </c>
      <c r="D220">
        <v>24</v>
      </c>
      <c r="I220">
        <v>0</v>
      </c>
      <c r="J220">
        <v>24</v>
      </c>
      <c r="M220" t="s">
        <v>332</v>
      </c>
    </row>
    <row r="221" spans="1:13" ht="15" customHeight="1">
      <c r="A221" s="10">
        <v>46174</v>
      </c>
      <c r="B221" t="s">
        <v>201</v>
      </c>
      <c r="C221" s="135" t="s">
        <v>182</v>
      </c>
      <c r="D221">
        <v>1</v>
      </c>
      <c r="E221">
        <v>160</v>
      </c>
      <c r="J221">
        <v>160</v>
      </c>
      <c r="M221" t="s">
        <v>333</v>
      </c>
    </row>
    <row r="222" spans="1:13" ht="15" customHeight="1">
      <c r="A222" s="10">
        <v>46174</v>
      </c>
      <c r="B222" t="s">
        <v>201</v>
      </c>
      <c r="C222" s="135" t="s">
        <v>184</v>
      </c>
      <c r="D222">
        <v>1</v>
      </c>
      <c r="I222">
        <v>1</v>
      </c>
      <c r="J222">
        <v>0</v>
      </c>
      <c r="M222" t="s">
        <v>334</v>
      </c>
    </row>
    <row r="223" spans="1:13" ht="15" customHeight="1">
      <c r="A223" s="10">
        <v>46174</v>
      </c>
      <c r="B223" t="s">
        <v>201</v>
      </c>
      <c r="C223" s="135" t="s">
        <v>185</v>
      </c>
      <c r="D223">
        <v>1</v>
      </c>
      <c r="I223">
        <v>1</v>
      </c>
      <c r="J223">
        <v>43</v>
      </c>
      <c r="M223" t="s">
        <v>335</v>
      </c>
    </row>
    <row r="224" spans="1:13" ht="15" customHeight="1">
      <c r="A224" s="10">
        <v>46174</v>
      </c>
      <c r="B224" t="s">
        <v>201</v>
      </c>
      <c r="C224" s="135" t="s">
        <v>186</v>
      </c>
      <c r="D224">
        <v>1</v>
      </c>
      <c r="E224">
        <v>690</v>
      </c>
      <c r="I224">
        <v>1</v>
      </c>
      <c r="J224">
        <v>690</v>
      </c>
      <c r="M224" t="s">
        <v>336</v>
      </c>
    </row>
    <row r="225" spans="1:13" ht="15" customHeight="1">
      <c r="A225" s="10">
        <v>46174</v>
      </c>
      <c r="B225" t="s">
        <v>201</v>
      </c>
      <c r="C225" t="s">
        <v>337</v>
      </c>
      <c r="D225">
        <v>2</v>
      </c>
      <c r="E225">
        <v>257</v>
      </c>
      <c r="I225">
        <v>2</v>
      </c>
      <c r="J225">
        <v>238</v>
      </c>
      <c r="M225" t="s">
        <v>338</v>
      </c>
    </row>
    <row r="226" spans="1:13" ht="15" customHeight="1">
      <c r="A226" s="10">
        <v>46174</v>
      </c>
      <c r="B226" t="s">
        <v>201</v>
      </c>
      <c r="C226" t="s">
        <v>339</v>
      </c>
      <c r="I226">
        <v>0</v>
      </c>
      <c r="J226">
        <v>0</v>
      </c>
      <c r="M226" t="s">
        <v>340</v>
      </c>
    </row>
    <row r="227" spans="1:13" ht="15" customHeight="1">
      <c r="A227" s="10">
        <v>46174</v>
      </c>
      <c r="B227" t="s">
        <v>201</v>
      </c>
      <c r="C227" s="135" t="s">
        <v>191</v>
      </c>
      <c r="D227">
        <v>1</v>
      </c>
      <c r="E227">
        <v>335</v>
      </c>
      <c r="I227">
        <v>1</v>
      </c>
      <c r="J227">
        <v>316</v>
      </c>
      <c r="M227" t="s">
        <v>341</v>
      </c>
    </row>
    <row r="228" spans="1:13" ht="15" customHeight="1">
      <c r="A228" s="10">
        <v>46174</v>
      </c>
      <c r="B228" t="s">
        <v>201</v>
      </c>
      <c r="C228" s="135" t="s">
        <v>193</v>
      </c>
      <c r="D228">
        <v>1</v>
      </c>
      <c r="E228">
        <v>302</v>
      </c>
      <c r="I228">
        <v>1</v>
      </c>
      <c r="J228">
        <v>302</v>
      </c>
      <c r="M228" t="s">
        <v>342</v>
      </c>
    </row>
    <row r="229" spans="1:13" ht="15" customHeight="1">
      <c r="A229" s="10">
        <v>46174</v>
      </c>
      <c r="B229" t="s">
        <v>201</v>
      </c>
      <c r="C229" s="135" t="s">
        <v>194</v>
      </c>
      <c r="D229">
        <v>1</v>
      </c>
      <c r="E229">
        <v>22</v>
      </c>
      <c r="I229">
        <v>1</v>
      </c>
      <c r="J229">
        <v>22</v>
      </c>
      <c r="M229" t="s">
        <v>343</v>
      </c>
    </row>
    <row r="230" spans="1:13" ht="15" customHeight="1">
      <c r="A230" s="10">
        <v>46174</v>
      </c>
      <c r="B230" t="s">
        <v>201</v>
      </c>
      <c r="C230" s="135" t="s">
        <v>196</v>
      </c>
      <c r="E230">
        <v>845</v>
      </c>
      <c r="J230">
        <v>845</v>
      </c>
      <c r="M230" t="s">
        <v>344</v>
      </c>
    </row>
    <row r="231" spans="1:13" ht="15" customHeight="1">
      <c r="A231" s="10">
        <v>46174</v>
      </c>
      <c r="B231" t="s">
        <v>201</v>
      </c>
      <c r="C231" s="135" t="s">
        <v>199</v>
      </c>
      <c r="E231">
        <v>357</v>
      </c>
      <c r="J231">
        <v>357</v>
      </c>
      <c r="M231" t="s">
        <v>345</v>
      </c>
    </row>
    <row r="232" spans="1:13" ht="15" customHeight="1">
      <c r="A232" s="10">
        <v>46174</v>
      </c>
      <c r="B232" t="s">
        <v>201</v>
      </c>
      <c r="C232" s="135" t="s">
        <v>200</v>
      </c>
      <c r="E232">
        <v>745</v>
      </c>
      <c r="J232">
        <v>745</v>
      </c>
      <c r="M232" t="s">
        <v>346</v>
      </c>
    </row>
    <row r="233" spans="1:13" ht="15" customHeight="1">
      <c r="A233" s="10">
        <v>46175</v>
      </c>
      <c r="B233" t="s">
        <v>201</v>
      </c>
      <c r="C233" t="s">
        <v>23</v>
      </c>
      <c r="D233">
        <v>6</v>
      </c>
      <c r="E233">
        <v>210</v>
      </c>
      <c r="F233">
        <v>0</v>
      </c>
      <c r="G233">
        <v>0</v>
      </c>
      <c r="H233">
        <v>0</v>
      </c>
      <c r="I233">
        <v>5</v>
      </c>
      <c r="J233">
        <v>284</v>
      </c>
      <c r="K233">
        <v>0</v>
      </c>
      <c r="L233">
        <v>0</v>
      </c>
      <c r="M233" t="s">
        <v>347</v>
      </c>
    </row>
    <row r="234" spans="1:13" ht="15" customHeight="1">
      <c r="A234" s="10">
        <v>46175</v>
      </c>
      <c r="B234" t="s">
        <v>201</v>
      </c>
      <c r="C234" t="s">
        <v>26</v>
      </c>
      <c r="D234">
        <v>0</v>
      </c>
      <c r="E234">
        <v>1263</v>
      </c>
      <c r="F234">
        <v>0</v>
      </c>
      <c r="G234">
        <v>0</v>
      </c>
      <c r="H234">
        <v>0</v>
      </c>
      <c r="I234">
        <v>0</v>
      </c>
      <c r="J234">
        <v>1605</v>
      </c>
      <c r="K234">
        <v>0</v>
      </c>
      <c r="L234">
        <v>0</v>
      </c>
      <c r="M234" t="s">
        <v>348</v>
      </c>
    </row>
    <row r="235" spans="1:13" ht="15" customHeight="1">
      <c r="A235" s="10">
        <v>46175</v>
      </c>
      <c r="B235" t="s">
        <v>201</v>
      </c>
      <c r="C235" t="s">
        <v>27</v>
      </c>
      <c r="D235">
        <v>2</v>
      </c>
      <c r="E235">
        <v>599</v>
      </c>
      <c r="F235">
        <v>0</v>
      </c>
      <c r="G235">
        <v>0</v>
      </c>
      <c r="H235">
        <v>0</v>
      </c>
      <c r="I235">
        <v>2</v>
      </c>
      <c r="J235">
        <v>425</v>
      </c>
      <c r="K235">
        <v>0</v>
      </c>
      <c r="L235">
        <v>0</v>
      </c>
      <c r="M235" t="s">
        <v>349</v>
      </c>
    </row>
    <row r="236" spans="1:13" ht="15" customHeight="1">
      <c r="A236" s="10">
        <v>46175</v>
      </c>
      <c r="B236" t="s">
        <v>201</v>
      </c>
      <c r="C236" t="s">
        <v>28</v>
      </c>
      <c r="D236">
        <v>0</v>
      </c>
      <c r="E236">
        <v>571</v>
      </c>
      <c r="F236">
        <v>0</v>
      </c>
      <c r="G236">
        <v>0</v>
      </c>
      <c r="H236">
        <v>0</v>
      </c>
      <c r="I236">
        <v>0</v>
      </c>
      <c r="J236">
        <v>560</v>
      </c>
      <c r="K236">
        <v>0</v>
      </c>
      <c r="L236">
        <v>0</v>
      </c>
      <c r="M236" t="s">
        <v>350</v>
      </c>
    </row>
    <row r="237" spans="1:13" ht="15" customHeight="1">
      <c r="A237" s="10">
        <v>46175</v>
      </c>
      <c r="B237" t="s">
        <v>201</v>
      </c>
      <c r="C237" t="s">
        <v>29</v>
      </c>
      <c r="D237">
        <v>0</v>
      </c>
      <c r="E237">
        <v>1457</v>
      </c>
      <c r="F237">
        <v>0</v>
      </c>
      <c r="G237">
        <v>0</v>
      </c>
      <c r="H237">
        <v>0</v>
      </c>
      <c r="I237">
        <v>0</v>
      </c>
      <c r="J237">
        <v>1442</v>
      </c>
      <c r="K237">
        <v>0</v>
      </c>
      <c r="L237">
        <v>0</v>
      </c>
      <c r="M237" t="s">
        <v>351</v>
      </c>
    </row>
    <row r="238" spans="1:13" ht="15" customHeight="1">
      <c r="A238" s="10">
        <v>46175</v>
      </c>
      <c r="B238" t="s">
        <v>201</v>
      </c>
      <c r="C238" t="s">
        <v>30</v>
      </c>
      <c r="D238">
        <v>0</v>
      </c>
      <c r="E238">
        <v>705</v>
      </c>
      <c r="F238">
        <v>0</v>
      </c>
      <c r="G238">
        <v>0</v>
      </c>
      <c r="H238">
        <v>0</v>
      </c>
      <c r="I238">
        <v>0</v>
      </c>
      <c r="J238">
        <v>686</v>
      </c>
      <c r="K238">
        <v>0</v>
      </c>
      <c r="L238">
        <v>0</v>
      </c>
      <c r="M238" t="s">
        <v>352</v>
      </c>
    </row>
    <row r="239" spans="1:13" ht="15" customHeight="1">
      <c r="A239" s="10">
        <v>46175</v>
      </c>
      <c r="B239" t="s">
        <v>201</v>
      </c>
      <c r="C239" t="s">
        <v>31</v>
      </c>
      <c r="D239">
        <v>0</v>
      </c>
      <c r="E239">
        <v>1417</v>
      </c>
      <c r="F239">
        <v>0</v>
      </c>
      <c r="G239">
        <v>0</v>
      </c>
      <c r="H239">
        <v>0</v>
      </c>
      <c r="I239">
        <v>0</v>
      </c>
      <c r="J239">
        <v>1235</v>
      </c>
      <c r="K239">
        <v>0</v>
      </c>
      <c r="L239">
        <v>0</v>
      </c>
      <c r="M239" t="s">
        <v>353</v>
      </c>
    </row>
    <row r="240" spans="1:13" ht="15" customHeight="1">
      <c r="A240" s="10">
        <v>46175</v>
      </c>
      <c r="B240" t="s">
        <v>201</v>
      </c>
      <c r="C240" t="s">
        <v>32</v>
      </c>
      <c r="D240">
        <v>1</v>
      </c>
      <c r="E240">
        <v>1025</v>
      </c>
      <c r="F240">
        <v>0</v>
      </c>
      <c r="G240">
        <v>0</v>
      </c>
      <c r="H240">
        <v>0</v>
      </c>
      <c r="I240">
        <v>1</v>
      </c>
      <c r="J240">
        <v>480</v>
      </c>
      <c r="K240">
        <v>0</v>
      </c>
      <c r="L240">
        <v>0</v>
      </c>
      <c r="M240" t="s">
        <v>354</v>
      </c>
    </row>
    <row r="241" spans="1:13" ht="15" customHeight="1">
      <c r="A241" s="10">
        <v>46175</v>
      </c>
      <c r="B241" t="s">
        <v>201</v>
      </c>
      <c r="C241" t="s">
        <v>223</v>
      </c>
      <c r="D241">
        <v>7</v>
      </c>
      <c r="E241">
        <v>208</v>
      </c>
      <c r="F241">
        <v>0</v>
      </c>
      <c r="G241">
        <v>0</v>
      </c>
      <c r="H241">
        <v>0</v>
      </c>
      <c r="I241">
        <v>6</v>
      </c>
      <c r="J241">
        <v>130</v>
      </c>
      <c r="K241">
        <v>0</v>
      </c>
      <c r="L241">
        <v>0</v>
      </c>
      <c r="M241" t="s">
        <v>355</v>
      </c>
    </row>
    <row r="242" spans="1:13" ht="15" customHeight="1">
      <c r="A242" s="10">
        <v>46175</v>
      </c>
      <c r="B242" t="s">
        <v>201</v>
      </c>
      <c r="C242" t="s">
        <v>35</v>
      </c>
      <c r="D242">
        <v>1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 t="s">
        <v>356</v>
      </c>
    </row>
    <row r="243" spans="1:13" ht="15" customHeight="1">
      <c r="A243" s="10">
        <v>46175</v>
      </c>
      <c r="B243" t="s">
        <v>201</v>
      </c>
      <c r="C243" t="s">
        <v>37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2</v>
      </c>
      <c r="J243">
        <v>0</v>
      </c>
      <c r="K243">
        <v>0</v>
      </c>
      <c r="L243">
        <v>0</v>
      </c>
      <c r="M243" t="s">
        <v>357</v>
      </c>
    </row>
    <row r="244" spans="1:13" ht="15" customHeight="1">
      <c r="A244" s="10">
        <v>46175</v>
      </c>
      <c r="B244" t="s">
        <v>201</v>
      </c>
      <c r="C244" t="s">
        <v>39</v>
      </c>
      <c r="D244">
        <v>0</v>
      </c>
      <c r="E244">
        <v>19</v>
      </c>
      <c r="F244">
        <v>0</v>
      </c>
      <c r="G244">
        <v>0</v>
      </c>
      <c r="H244">
        <v>0</v>
      </c>
      <c r="I244">
        <v>19</v>
      </c>
      <c r="J244">
        <v>0</v>
      </c>
      <c r="K244">
        <v>0</v>
      </c>
      <c r="L244">
        <v>0</v>
      </c>
      <c r="M244" t="s">
        <v>358</v>
      </c>
    </row>
    <row r="245" spans="1:13" ht="15" customHeight="1">
      <c r="A245" s="10">
        <v>46175</v>
      </c>
      <c r="B245" t="s">
        <v>201</v>
      </c>
      <c r="C245" t="s">
        <v>41</v>
      </c>
      <c r="D245">
        <v>0</v>
      </c>
      <c r="E245">
        <v>15</v>
      </c>
      <c r="F245">
        <v>0</v>
      </c>
      <c r="G245">
        <v>0</v>
      </c>
      <c r="H245">
        <v>0</v>
      </c>
      <c r="I245">
        <v>15</v>
      </c>
      <c r="J245">
        <v>0</v>
      </c>
      <c r="K245">
        <v>0</v>
      </c>
      <c r="L245">
        <v>0</v>
      </c>
      <c r="M245" t="s">
        <v>359</v>
      </c>
    </row>
    <row r="246" spans="1:13" ht="15" customHeight="1">
      <c r="A246" s="10">
        <v>46175</v>
      </c>
      <c r="B246" t="s">
        <v>201</v>
      </c>
      <c r="C246" s="135" t="s">
        <v>44</v>
      </c>
      <c r="D246">
        <v>4</v>
      </c>
      <c r="E246">
        <v>7163</v>
      </c>
      <c r="F246">
        <v>0</v>
      </c>
      <c r="G246">
        <v>0</v>
      </c>
      <c r="H246">
        <v>0</v>
      </c>
      <c r="I246">
        <v>3</v>
      </c>
      <c r="J246">
        <v>7698</v>
      </c>
      <c r="K246">
        <v>0</v>
      </c>
      <c r="L246">
        <v>0</v>
      </c>
      <c r="M246" t="s">
        <v>360</v>
      </c>
    </row>
    <row r="247" spans="1:13" ht="15" customHeight="1">
      <c r="A247" s="10">
        <v>46175</v>
      </c>
      <c r="B247" t="s">
        <v>201</v>
      </c>
      <c r="C247" t="s">
        <v>230</v>
      </c>
      <c r="D247">
        <v>1</v>
      </c>
      <c r="E247">
        <v>431</v>
      </c>
      <c r="F247">
        <v>0</v>
      </c>
      <c r="G247">
        <v>0</v>
      </c>
      <c r="H247">
        <v>0</v>
      </c>
      <c r="I247">
        <v>1</v>
      </c>
      <c r="J247">
        <v>423</v>
      </c>
      <c r="K247">
        <v>0</v>
      </c>
      <c r="L247">
        <v>0</v>
      </c>
      <c r="M247" t="s">
        <v>361</v>
      </c>
    </row>
    <row r="248" spans="1:13" ht="15" customHeight="1">
      <c r="A248" s="10">
        <v>46175</v>
      </c>
      <c r="B248" t="s">
        <v>201</v>
      </c>
      <c r="C248" t="s">
        <v>232</v>
      </c>
      <c r="D248">
        <v>0</v>
      </c>
      <c r="E248">
        <v>15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362</v>
      </c>
    </row>
    <row r="249" spans="1:13" ht="15" customHeight="1">
      <c r="A249" s="10">
        <v>46175</v>
      </c>
      <c r="B249" t="s">
        <v>201</v>
      </c>
      <c r="C249" t="s">
        <v>234</v>
      </c>
      <c r="D249">
        <v>0</v>
      </c>
      <c r="E249">
        <v>66</v>
      </c>
      <c r="F249">
        <v>0</v>
      </c>
      <c r="G249">
        <v>0</v>
      </c>
      <c r="H249">
        <v>9</v>
      </c>
      <c r="I249">
        <v>57</v>
      </c>
      <c r="J249">
        <v>0</v>
      </c>
      <c r="K249">
        <v>0</v>
      </c>
      <c r="L249">
        <v>0</v>
      </c>
      <c r="M249" t="s">
        <v>363</v>
      </c>
    </row>
    <row r="250" spans="1:13" ht="15" customHeight="1">
      <c r="A250" s="10">
        <v>46175</v>
      </c>
      <c r="B250" t="s">
        <v>201</v>
      </c>
      <c r="C250" t="s">
        <v>54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364</v>
      </c>
    </row>
    <row r="251" spans="1:13" ht="15" customHeight="1">
      <c r="A251" s="10">
        <v>46175</v>
      </c>
      <c r="B251" t="s">
        <v>201</v>
      </c>
      <c r="C251" t="s">
        <v>237</v>
      </c>
      <c r="D251">
        <v>0</v>
      </c>
      <c r="E251">
        <v>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365</v>
      </c>
    </row>
    <row r="252" spans="1:13" ht="15" customHeight="1">
      <c r="A252" s="10">
        <v>46175</v>
      </c>
      <c r="B252" t="s">
        <v>201</v>
      </c>
      <c r="C252" s="135" t="s">
        <v>58</v>
      </c>
      <c r="D252">
        <v>0</v>
      </c>
      <c r="E252">
        <v>3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 t="s">
        <v>366</v>
      </c>
    </row>
    <row r="253" spans="1:13" ht="15" customHeight="1">
      <c r="A253" s="10">
        <v>46175</v>
      </c>
      <c r="B253" t="s">
        <v>201</v>
      </c>
      <c r="C253" s="135" t="s">
        <v>60</v>
      </c>
      <c r="D253">
        <v>0</v>
      </c>
      <c r="E253">
        <v>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367</v>
      </c>
    </row>
    <row r="254" spans="1:13" ht="15" customHeight="1">
      <c r="A254" s="10">
        <v>46175</v>
      </c>
      <c r="B254" t="s">
        <v>201</v>
      </c>
      <c r="C254" s="135" t="s">
        <v>61</v>
      </c>
      <c r="D254">
        <v>0</v>
      </c>
      <c r="E254">
        <v>18</v>
      </c>
      <c r="F254">
        <v>0</v>
      </c>
      <c r="G254">
        <v>0</v>
      </c>
      <c r="H254">
        <v>0</v>
      </c>
      <c r="I254">
        <v>8</v>
      </c>
      <c r="J254">
        <v>0</v>
      </c>
      <c r="K254">
        <v>0</v>
      </c>
      <c r="L254">
        <v>0</v>
      </c>
      <c r="M254" t="s">
        <v>368</v>
      </c>
    </row>
    <row r="255" spans="1:13" ht="15" customHeight="1">
      <c r="A255" s="10">
        <v>46175</v>
      </c>
      <c r="B255" t="s">
        <v>201</v>
      </c>
      <c r="C255" s="135" t="s">
        <v>62</v>
      </c>
      <c r="D255">
        <v>0</v>
      </c>
      <c r="E255">
        <v>7</v>
      </c>
      <c r="F255">
        <v>0</v>
      </c>
      <c r="G255">
        <v>0</v>
      </c>
      <c r="H255">
        <v>0</v>
      </c>
      <c r="I255">
        <v>2</v>
      </c>
      <c r="J255">
        <v>0</v>
      </c>
      <c r="K255">
        <v>0</v>
      </c>
      <c r="L255">
        <v>0</v>
      </c>
      <c r="M255" t="s">
        <v>369</v>
      </c>
    </row>
    <row r="256" spans="1:13" ht="15" customHeight="1">
      <c r="A256" s="10">
        <v>46175</v>
      </c>
      <c r="B256" t="s">
        <v>201</v>
      </c>
      <c r="C256" s="135" t="s">
        <v>63</v>
      </c>
      <c r="D256">
        <v>0</v>
      </c>
      <c r="E256">
        <v>15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 t="s">
        <v>370</v>
      </c>
    </row>
    <row r="257" spans="1:13" ht="15" customHeight="1">
      <c r="A257" s="10">
        <v>46175</v>
      </c>
      <c r="B257" t="s">
        <v>201</v>
      </c>
      <c r="C257" s="135" t="s">
        <v>64</v>
      </c>
      <c r="D257">
        <v>0</v>
      </c>
      <c r="E257">
        <v>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371</v>
      </c>
    </row>
    <row r="258" spans="1:13" ht="15" customHeight="1">
      <c r="A258" s="10">
        <v>46175</v>
      </c>
      <c r="B258" t="s">
        <v>201</v>
      </c>
      <c r="C258" t="s">
        <v>66</v>
      </c>
      <c r="D258">
        <v>0</v>
      </c>
      <c r="E258">
        <v>3</v>
      </c>
      <c r="F258">
        <v>0</v>
      </c>
      <c r="G258">
        <v>0</v>
      </c>
      <c r="H258">
        <v>0</v>
      </c>
      <c r="I258">
        <v>3</v>
      </c>
      <c r="J258">
        <v>0</v>
      </c>
      <c r="K258">
        <v>0</v>
      </c>
      <c r="L258">
        <v>0</v>
      </c>
      <c r="M258" t="s">
        <v>372</v>
      </c>
    </row>
    <row r="259" spans="1:13" ht="15" customHeight="1">
      <c r="A259" s="10">
        <v>46175</v>
      </c>
      <c r="B259" t="s">
        <v>201</v>
      </c>
      <c r="C259" t="s">
        <v>67</v>
      </c>
      <c r="D259">
        <v>0</v>
      </c>
      <c r="E259">
        <v>5</v>
      </c>
      <c r="F259">
        <v>0</v>
      </c>
      <c r="G259">
        <v>0</v>
      </c>
      <c r="H259">
        <v>0</v>
      </c>
      <c r="I259">
        <v>5</v>
      </c>
      <c r="J259">
        <v>0</v>
      </c>
      <c r="K259">
        <v>0</v>
      </c>
      <c r="L259">
        <v>0</v>
      </c>
      <c r="M259" t="s">
        <v>373</v>
      </c>
    </row>
    <row r="260" spans="1:13" ht="15" customHeight="1">
      <c r="A260" s="10">
        <v>46175</v>
      </c>
      <c r="B260" t="s">
        <v>201</v>
      </c>
      <c r="C260" t="s">
        <v>68</v>
      </c>
      <c r="D260">
        <v>0</v>
      </c>
      <c r="E260">
        <v>2</v>
      </c>
      <c r="F260">
        <v>0</v>
      </c>
      <c r="G260">
        <v>0</v>
      </c>
      <c r="H260">
        <v>0</v>
      </c>
      <c r="I260">
        <v>2</v>
      </c>
      <c r="J260">
        <v>0</v>
      </c>
      <c r="K260">
        <v>0</v>
      </c>
      <c r="L260">
        <v>0</v>
      </c>
      <c r="M260" t="s">
        <v>374</v>
      </c>
    </row>
    <row r="261" spans="1:13" ht="15" customHeight="1">
      <c r="A261" s="10">
        <v>46175</v>
      </c>
      <c r="B261" t="s">
        <v>201</v>
      </c>
      <c r="C261" t="s">
        <v>71</v>
      </c>
      <c r="D261">
        <v>2</v>
      </c>
      <c r="E261">
        <v>201</v>
      </c>
      <c r="F261">
        <v>0</v>
      </c>
      <c r="G261">
        <v>0</v>
      </c>
      <c r="H261">
        <v>0</v>
      </c>
      <c r="I261">
        <v>2</v>
      </c>
      <c r="J261">
        <v>101</v>
      </c>
      <c r="K261">
        <v>0</v>
      </c>
      <c r="L261">
        <v>0</v>
      </c>
      <c r="M261" t="s">
        <v>375</v>
      </c>
    </row>
    <row r="262" spans="1:13" ht="15" customHeight="1">
      <c r="A262" s="10">
        <v>46175</v>
      </c>
      <c r="B262" t="s">
        <v>201</v>
      </c>
      <c r="C262" t="s">
        <v>73</v>
      </c>
      <c r="D262">
        <v>2</v>
      </c>
      <c r="E262">
        <v>311</v>
      </c>
      <c r="F262">
        <v>0</v>
      </c>
      <c r="G262">
        <v>0</v>
      </c>
      <c r="H262">
        <v>0</v>
      </c>
      <c r="I262">
        <v>2</v>
      </c>
      <c r="J262">
        <v>300</v>
      </c>
      <c r="K262">
        <v>0</v>
      </c>
      <c r="L262">
        <v>0</v>
      </c>
      <c r="M262" t="s">
        <v>376</v>
      </c>
    </row>
    <row r="263" spans="1:13" ht="15" customHeight="1">
      <c r="A263" s="10">
        <v>46175</v>
      </c>
      <c r="B263" t="s">
        <v>201</v>
      </c>
      <c r="C263" t="s">
        <v>75</v>
      </c>
      <c r="D263">
        <v>0</v>
      </c>
      <c r="E263">
        <v>302</v>
      </c>
      <c r="F263">
        <v>0</v>
      </c>
      <c r="G263">
        <v>0</v>
      </c>
      <c r="H263">
        <v>0</v>
      </c>
      <c r="I263">
        <v>0</v>
      </c>
      <c r="J263">
        <v>325</v>
      </c>
      <c r="K263">
        <v>0</v>
      </c>
      <c r="L263">
        <v>0</v>
      </c>
      <c r="M263" t="s">
        <v>377</v>
      </c>
    </row>
    <row r="264" spans="1:13" ht="15" customHeight="1">
      <c r="A264" s="10">
        <v>46175</v>
      </c>
      <c r="B264" t="s">
        <v>201</v>
      </c>
      <c r="C264" t="s">
        <v>77</v>
      </c>
      <c r="D264">
        <v>0</v>
      </c>
      <c r="E264">
        <v>661</v>
      </c>
      <c r="F264">
        <v>0</v>
      </c>
      <c r="G264">
        <v>0</v>
      </c>
      <c r="H264">
        <v>0</v>
      </c>
      <c r="I264">
        <v>0</v>
      </c>
      <c r="J264">
        <v>489</v>
      </c>
      <c r="K264">
        <v>0</v>
      </c>
      <c r="L264">
        <v>0</v>
      </c>
      <c r="M264" t="s">
        <v>378</v>
      </c>
    </row>
    <row r="265" spans="1:13" ht="15" customHeight="1">
      <c r="A265" s="10">
        <v>46175</v>
      </c>
      <c r="B265" t="s">
        <v>201</v>
      </c>
      <c r="C265" t="s">
        <v>79</v>
      </c>
      <c r="D265">
        <v>1</v>
      </c>
      <c r="E265">
        <v>436</v>
      </c>
      <c r="F265">
        <v>0</v>
      </c>
      <c r="G265">
        <v>0</v>
      </c>
      <c r="H265">
        <v>0</v>
      </c>
      <c r="I265">
        <v>1</v>
      </c>
      <c r="J265">
        <v>384</v>
      </c>
      <c r="K265">
        <v>0</v>
      </c>
      <c r="L265">
        <v>0</v>
      </c>
      <c r="M265" t="s">
        <v>379</v>
      </c>
    </row>
    <row r="266" spans="1:13" ht="15" customHeight="1">
      <c r="A266" s="10">
        <v>46175</v>
      </c>
      <c r="B266" t="s">
        <v>201</v>
      </c>
      <c r="C266" t="s">
        <v>81</v>
      </c>
      <c r="D266">
        <v>0</v>
      </c>
      <c r="E266">
        <v>581</v>
      </c>
      <c r="F266">
        <v>0</v>
      </c>
      <c r="G266">
        <v>0</v>
      </c>
      <c r="H266">
        <v>0</v>
      </c>
      <c r="I266">
        <v>0</v>
      </c>
      <c r="J266">
        <v>549</v>
      </c>
      <c r="K266">
        <v>0</v>
      </c>
      <c r="L266">
        <v>0</v>
      </c>
      <c r="M266" t="s">
        <v>380</v>
      </c>
    </row>
    <row r="267" spans="1:13" ht="15" customHeight="1">
      <c r="A267" s="10">
        <v>46175</v>
      </c>
      <c r="B267" t="s">
        <v>201</v>
      </c>
      <c r="C267" t="s">
        <v>83</v>
      </c>
      <c r="D267">
        <v>1</v>
      </c>
      <c r="E267">
        <v>155</v>
      </c>
      <c r="F267">
        <v>0</v>
      </c>
      <c r="G267">
        <v>0</v>
      </c>
      <c r="H267">
        <v>0</v>
      </c>
      <c r="I267">
        <v>1</v>
      </c>
      <c r="J267">
        <v>134</v>
      </c>
      <c r="K267">
        <v>0</v>
      </c>
      <c r="L267">
        <v>0</v>
      </c>
      <c r="M267" t="s">
        <v>381</v>
      </c>
    </row>
    <row r="268" spans="1:13" ht="15" customHeight="1">
      <c r="A268" s="10">
        <v>46175</v>
      </c>
      <c r="B268" t="s">
        <v>201</v>
      </c>
      <c r="C268" t="s">
        <v>84</v>
      </c>
      <c r="D268">
        <v>0</v>
      </c>
      <c r="E268">
        <v>409</v>
      </c>
      <c r="F268">
        <v>0</v>
      </c>
      <c r="G268">
        <v>0</v>
      </c>
      <c r="H268">
        <v>0</v>
      </c>
      <c r="I268">
        <v>0</v>
      </c>
      <c r="J268">
        <v>395</v>
      </c>
      <c r="K268">
        <v>0</v>
      </c>
      <c r="L268">
        <v>0</v>
      </c>
      <c r="M268" t="s">
        <v>382</v>
      </c>
    </row>
    <row r="269" spans="1:13" ht="15" customHeight="1">
      <c r="A269" s="10">
        <v>46175</v>
      </c>
      <c r="B269" t="s">
        <v>201</v>
      </c>
      <c r="C269" t="s">
        <v>85</v>
      </c>
      <c r="D269">
        <v>0</v>
      </c>
      <c r="E269">
        <v>226</v>
      </c>
      <c r="F269">
        <v>0</v>
      </c>
      <c r="G269">
        <v>0</v>
      </c>
      <c r="H269">
        <v>0</v>
      </c>
      <c r="I269">
        <v>0</v>
      </c>
      <c r="J269">
        <v>226</v>
      </c>
      <c r="K269">
        <v>0</v>
      </c>
      <c r="L269">
        <v>0</v>
      </c>
      <c r="M269" t="s">
        <v>383</v>
      </c>
    </row>
    <row r="270" spans="1:13" ht="15" customHeight="1">
      <c r="A270" s="10">
        <v>46175</v>
      </c>
      <c r="B270" t="s">
        <v>201</v>
      </c>
      <c r="C270" t="s">
        <v>87</v>
      </c>
      <c r="D270">
        <v>2</v>
      </c>
      <c r="E270">
        <v>49</v>
      </c>
      <c r="F270">
        <v>0</v>
      </c>
      <c r="G270">
        <v>0</v>
      </c>
      <c r="H270">
        <v>0</v>
      </c>
      <c r="I270">
        <v>1</v>
      </c>
      <c r="J270">
        <v>424</v>
      </c>
      <c r="K270">
        <v>0</v>
      </c>
      <c r="L270">
        <v>0</v>
      </c>
      <c r="M270" t="s">
        <v>384</v>
      </c>
    </row>
    <row r="271" spans="1:13" ht="15" customHeight="1">
      <c r="A271" s="10">
        <v>46175</v>
      </c>
      <c r="B271" t="s">
        <v>201</v>
      </c>
      <c r="C271" t="s">
        <v>88</v>
      </c>
      <c r="D271">
        <v>1</v>
      </c>
      <c r="E271">
        <v>338</v>
      </c>
      <c r="F271">
        <v>0</v>
      </c>
      <c r="G271">
        <v>0</v>
      </c>
      <c r="H271">
        <v>0</v>
      </c>
      <c r="I271">
        <v>1</v>
      </c>
      <c r="J271">
        <v>334</v>
      </c>
      <c r="K271">
        <v>0</v>
      </c>
      <c r="L271">
        <v>0</v>
      </c>
      <c r="M271" t="s">
        <v>385</v>
      </c>
    </row>
    <row r="272" spans="1:13" ht="15" customHeight="1">
      <c r="A272" s="10">
        <v>46175</v>
      </c>
      <c r="B272" t="s">
        <v>201</v>
      </c>
      <c r="C272" t="s">
        <v>89</v>
      </c>
      <c r="D272">
        <v>1</v>
      </c>
      <c r="E272">
        <v>339</v>
      </c>
      <c r="F272">
        <v>0</v>
      </c>
      <c r="G272">
        <v>0</v>
      </c>
      <c r="H272">
        <v>0</v>
      </c>
      <c r="I272">
        <v>1</v>
      </c>
      <c r="J272">
        <v>338</v>
      </c>
      <c r="K272">
        <v>0</v>
      </c>
      <c r="L272">
        <v>0</v>
      </c>
      <c r="M272" t="s">
        <v>386</v>
      </c>
    </row>
    <row r="273" spans="1:13" ht="15" customHeight="1">
      <c r="A273" s="10">
        <v>46175</v>
      </c>
      <c r="B273" t="s">
        <v>201</v>
      </c>
      <c r="C273" t="s">
        <v>90</v>
      </c>
      <c r="D273">
        <v>1</v>
      </c>
      <c r="E273">
        <v>618</v>
      </c>
      <c r="F273">
        <v>0</v>
      </c>
      <c r="G273">
        <v>0</v>
      </c>
      <c r="H273">
        <v>0</v>
      </c>
      <c r="I273">
        <v>1</v>
      </c>
      <c r="J273">
        <v>581</v>
      </c>
      <c r="K273">
        <v>0</v>
      </c>
      <c r="L273">
        <v>0</v>
      </c>
      <c r="M273" t="s">
        <v>387</v>
      </c>
    </row>
    <row r="274" spans="1:13" ht="15" customHeight="1">
      <c r="A274" s="10">
        <v>46175</v>
      </c>
      <c r="B274" t="s">
        <v>201</v>
      </c>
      <c r="C274" t="s">
        <v>92</v>
      </c>
      <c r="D274">
        <v>1</v>
      </c>
      <c r="E274">
        <v>172</v>
      </c>
      <c r="F274">
        <v>0</v>
      </c>
      <c r="G274">
        <v>0</v>
      </c>
      <c r="H274">
        <v>0</v>
      </c>
      <c r="I274">
        <v>0</v>
      </c>
      <c r="J274">
        <v>1003</v>
      </c>
      <c r="K274">
        <v>0</v>
      </c>
      <c r="L274">
        <v>0</v>
      </c>
      <c r="M274" t="s">
        <v>388</v>
      </c>
    </row>
    <row r="275" spans="1:13" ht="15" customHeight="1">
      <c r="A275" s="10">
        <v>46175</v>
      </c>
      <c r="B275" t="s">
        <v>201</v>
      </c>
      <c r="C275" t="s">
        <v>94</v>
      </c>
      <c r="D275">
        <v>0</v>
      </c>
      <c r="E275">
        <v>348</v>
      </c>
      <c r="F275">
        <v>0</v>
      </c>
      <c r="G275">
        <v>0</v>
      </c>
      <c r="H275">
        <v>0</v>
      </c>
      <c r="I275">
        <v>0</v>
      </c>
      <c r="J275">
        <v>473</v>
      </c>
      <c r="K275">
        <v>0</v>
      </c>
      <c r="L275">
        <v>0</v>
      </c>
      <c r="M275" t="s">
        <v>389</v>
      </c>
    </row>
    <row r="276" spans="1:13" ht="15" customHeight="1">
      <c r="A276" s="10">
        <v>46175</v>
      </c>
      <c r="B276" t="s">
        <v>201</v>
      </c>
      <c r="C276" t="s">
        <v>96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390</v>
      </c>
    </row>
    <row r="277" spans="1:13" ht="15" customHeight="1">
      <c r="A277" s="10">
        <v>46175</v>
      </c>
      <c r="B277" t="s">
        <v>201</v>
      </c>
      <c r="C277" t="s">
        <v>98</v>
      </c>
      <c r="D277">
        <v>0</v>
      </c>
      <c r="E277">
        <v>551</v>
      </c>
      <c r="F277">
        <v>0</v>
      </c>
      <c r="G277">
        <v>0</v>
      </c>
      <c r="H277">
        <v>0</v>
      </c>
      <c r="I277">
        <v>0</v>
      </c>
      <c r="J277">
        <v>380</v>
      </c>
      <c r="K277">
        <v>0</v>
      </c>
      <c r="L277">
        <v>0</v>
      </c>
      <c r="M277" t="s">
        <v>391</v>
      </c>
    </row>
    <row r="278" spans="1:13" ht="15" customHeight="1">
      <c r="A278" s="10">
        <v>46175</v>
      </c>
      <c r="B278" t="s">
        <v>201</v>
      </c>
      <c r="C278" t="s">
        <v>100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392</v>
      </c>
    </row>
    <row r="279" spans="1:13" ht="15" customHeight="1">
      <c r="A279" s="10">
        <v>46175</v>
      </c>
      <c r="B279" t="s">
        <v>201</v>
      </c>
      <c r="C279" t="s">
        <v>101</v>
      </c>
      <c r="D279">
        <v>1</v>
      </c>
      <c r="E279">
        <v>412</v>
      </c>
      <c r="F279">
        <v>0</v>
      </c>
      <c r="G279">
        <v>0</v>
      </c>
      <c r="H279">
        <v>0</v>
      </c>
      <c r="I279">
        <v>1</v>
      </c>
      <c r="J279">
        <v>404</v>
      </c>
      <c r="K279">
        <v>0</v>
      </c>
      <c r="L279">
        <v>0</v>
      </c>
      <c r="M279" t="s">
        <v>393</v>
      </c>
    </row>
    <row r="280" spans="1:13" ht="15" customHeight="1">
      <c r="A280" s="10">
        <v>46175</v>
      </c>
      <c r="B280" t="s">
        <v>201</v>
      </c>
      <c r="C280" t="s">
        <v>103</v>
      </c>
      <c r="D280">
        <v>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394</v>
      </c>
    </row>
    <row r="281" spans="1:13" ht="15" customHeight="1">
      <c r="A281" s="10">
        <v>46175</v>
      </c>
      <c r="B281" t="s">
        <v>201</v>
      </c>
      <c r="C281" t="s">
        <v>106</v>
      </c>
      <c r="D281">
        <v>1</v>
      </c>
      <c r="E281">
        <v>1231</v>
      </c>
      <c r="F281">
        <v>0</v>
      </c>
      <c r="G281">
        <v>0</v>
      </c>
      <c r="H281">
        <v>0</v>
      </c>
      <c r="I281">
        <v>1</v>
      </c>
      <c r="J281">
        <v>1139</v>
      </c>
      <c r="K281">
        <v>0</v>
      </c>
      <c r="L281">
        <v>0</v>
      </c>
      <c r="M281" t="s">
        <v>395</v>
      </c>
    </row>
    <row r="282" spans="1:13" ht="15" customHeight="1">
      <c r="A282" s="10">
        <v>46175</v>
      </c>
      <c r="B282" t="s">
        <v>201</v>
      </c>
      <c r="C282" t="s">
        <v>108</v>
      </c>
      <c r="D282">
        <v>1</v>
      </c>
      <c r="E282">
        <v>1132</v>
      </c>
      <c r="F282">
        <v>0</v>
      </c>
      <c r="G282">
        <v>0</v>
      </c>
      <c r="H282">
        <v>0</v>
      </c>
      <c r="I282">
        <v>1</v>
      </c>
      <c r="J282">
        <v>1079</v>
      </c>
      <c r="K282">
        <v>0</v>
      </c>
      <c r="L282">
        <v>0</v>
      </c>
      <c r="M282" t="s">
        <v>396</v>
      </c>
    </row>
    <row r="283" spans="1:13" ht="15" customHeight="1">
      <c r="A283" s="10">
        <v>46175</v>
      </c>
      <c r="B283" t="s">
        <v>201</v>
      </c>
      <c r="C283" t="s">
        <v>109</v>
      </c>
      <c r="D283">
        <v>1</v>
      </c>
      <c r="E283">
        <v>1104</v>
      </c>
      <c r="F283">
        <v>0</v>
      </c>
      <c r="G283">
        <v>0</v>
      </c>
      <c r="H283">
        <v>0</v>
      </c>
      <c r="I283">
        <v>1</v>
      </c>
      <c r="J283">
        <v>1257</v>
      </c>
      <c r="K283">
        <v>0</v>
      </c>
      <c r="L283">
        <v>0</v>
      </c>
      <c r="M283" t="s">
        <v>397</v>
      </c>
    </row>
    <row r="284" spans="1:13" ht="15" customHeight="1">
      <c r="A284" s="10">
        <v>46175</v>
      </c>
      <c r="B284" t="s">
        <v>201</v>
      </c>
      <c r="C284" t="s">
        <v>112</v>
      </c>
      <c r="D284">
        <v>2</v>
      </c>
      <c r="E284">
        <v>34</v>
      </c>
      <c r="F284">
        <v>0</v>
      </c>
      <c r="G284">
        <v>0</v>
      </c>
      <c r="H284">
        <v>0</v>
      </c>
      <c r="I284">
        <v>2</v>
      </c>
      <c r="J284">
        <v>34</v>
      </c>
      <c r="K284">
        <v>0</v>
      </c>
      <c r="L284">
        <v>0</v>
      </c>
      <c r="M284" t="s">
        <v>398</v>
      </c>
    </row>
    <row r="285" spans="1:13" ht="15" customHeight="1">
      <c r="A285" s="10">
        <v>46175</v>
      </c>
      <c r="B285" t="s">
        <v>201</v>
      </c>
      <c r="C285" t="s">
        <v>114</v>
      </c>
      <c r="D285">
        <v>2</v>
      </c>
      <c r="E285">
        <v>29</v>
      </c>
      <c r="F285">
        <v>0</v>
      </c>
      <c r="G285">
        <v>0</v>
      </c>
      <c r="H285">
        <v>0</v>
      </c>
      <c r="I285">
        <v>2</v>
      </c>
      <c r="J285">
        <v>14</v>
      </c>
      <c r="K285">
        <v>0</v>
      </c>
      <c r="L285">
        <v>0</v>
      </c>
      <c r="M285" t="s">
        <v>399</v>
      </c>
    </row>
    <row r="286" spans="1:13" ht="15" customHeight="1">
      <c r="A286" s="10">
        <v>46175</v>
      </c>
      <c r="B286" t="s">
        <v>201</v>
      </c>
      <c r="C286" t="s">
        <v>115</v>
      </c>
      <c r="D286">
        <v>1</v>
      </c>
      <c r="E286">
        <v>9</v>
      </c>
      <c r="F286">
        <v>0</v>
      </c>
      <c r="G286">
        <v>0</v>
      </c>
      <c r="H286">
        <v>0</v>
      </c>
      <c r="I286">
        <v>1</v>
      </c>
      <c r="J286">
        <v>3</v>
      </c>
      <c r="K286">
        <v>0</v>
      </c>
      <c r="L286">
        <v>0</v>
      </c>
      <c r="M286" t="s">
        <v>400</v>
      </c>
    </row>
    <row r="287" spans="1:13" ht="15" customHeight="1">
      <c r="A287" s="10">
        <v>46175</v>
      </c>
      <c r="B287" t="s">
        <v>201</v>
      </c>
      <c r="C287" t="s">
        <v>116</v>
      </c>
      <c r="D287">
        <v>2</v>
      </c>
      <c r="E287">
        <v>40</v>
      </c>
      <c r="F287">
        <v>0</v>
      </c>
      <c r="G287">
        <v>0</v>
      </c>
      <c r="H287">
        <v>0</v>
      </c>
      <c r="I287">
        <v>2</v>
      </c>
      <c r="J287">
        <v>29</v>
      </c>
      <c r="K287">
        <v>0</v>
      </c>
      <c r="L287">
        <v>0</v>
      </c>
      <c r="M287" t="s">
        <v>401</v>
      </c>
    </row>
    <row r="288" spans="1:13" ht="15" customHeight="1">
      <c r="A288" s="10">
        <v>46175</v>
      </c>
      <c r="B288" t="s">
        <v>201</v>
      </c>
      <c r="C288" t="s">
        <v>119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0</v>
      </c>
      <c r="K288">
        <v>0</v>
      </c>
      <c r="L288">
        <v>0</v>
      </c>
      <c r="M288" t="s">
        <v>402</v>
      </c>
    </row>
    <row r="289" spans="1:13" ht="15" customHeight="1">
      <c r="A289" s="10">
        <v>46175</v>
      </c>
      <c r="B289" t="s">
        <v>201</v>
      </c>
      <c r="C289" t="s">
        <v>120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0</v>
      </c>
      <c r="K289">
        <v>0</v>
      </c>
      <c r="L289">
        <v>0</v>
      </c>
      <c r="M289" t="s">
        <v>403</v>
      </c>
    </row>
    <row r="290" spans="1:13" ht="15" customHeight="1">
      <c r="A290" s="10">
        <v>46175</v>
      </c>
      <c r="B290" t="s">
        <v>201</v>
      </c>
      <c r="C290" t="s">
        <v>121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0</v>
      </c>
      <c r="K290">
        <v>0</v>
      </c>
      <c r="L290">
        <v>0</v>
      </c>
      <c r="M290" t="s">
        <v>404</v>
      </c>
    </row>
    <row r="291" spans="1:13" ht="15" customHeight="1">
      <c r="A291" s="10">
        <v>46175</v>
      </c>
      <c r="B291" t="s">
        <v>201</v>
      </c>
      <c r="C291" t="s">
        <v>123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0</v>
      </c>
      <c r="K291">
        <v>0</v>
      </c>
      <c r="L291">
        <v>0</v>
      </c>
      <c r="M291" t="s">
        <v>405</v>
      </c>
    </row>
    <row r="292" spans="1:13" ht="15" customHeight="1">
      <c r="A292" s="10">
        <v>46175</v>
      </c>
      <c r="B292" t="s">
        <v>201</v>
      </c>
      <c r="C292" t="s">
        <v>124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406</v>
      </c>
    </row>
    <row r="293" spans="1:13" ht="15" customHeight="1">
      <c r="A293" s="10">
        <v>46175</v>
      </c>
      <c r="B293" t="s">
        <v>201</v>
      </c>
      <c r="C293" t="s">
        <v>125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0</v>
      </c>
      <c r="K293">
        <v>0</v>
      </c>
      <c r="L293">
        <v>0</v>
      </c>
      <c r="M293" t="s">
        <v>407</v>
      </c>
    </row>
    <row r="294" spans="1:13" ht="15" customHeight="1">
      <c r="A294" s="10">
        <v>46175</v>
      </c>
      <c r="B294" t="s">
        <v>201</v>
      </c>
      <c r="C294" t="s">
        <v>126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 t="s">
        <v>408</v>
      </c>
    </row>
    <row r="295" spans="1:13" ht="15" customHeight="1">
      <c r="A295" s="10">
        <v>46175</v>
      </c>
      <c r="B295" t="s">
        <v>201</v>
      </c>
      <c r="C295" t="s">
        <v>128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 t="s">
        <v>409</v>
      </c>
    </row>
    <row r="296" spans="1:13" ht="15" customHeight="1">
      <c r="A296" s="10">
        <v>46175</v>
      </c>
      <c r="B296" t="s">
        <v>201</v>
      </c>
      <c r="C296" t="s">
        <v>130</v>
      </c>
      <c r="D296">
        <v>4</v>
      </c>
      <c r="E296">
        <v>0</v>
      </c>
      <c r="F296">
        <v>0</v>
      </c>
      <c r="G296">
        <v>0</v>
      </c>
      <c r="H296">
        <v>0</v>
      </c>
      <c r="I296">
        <v>4</v>
      </c>
      <c r="J296">
        <v>0</v>
      </c>
      <c r="K296">
        <v>0</v>
      </c>
      <c r="L296">
        <v>0</v>
      </c>
      <c r="M296" t="s">
        <v>410</v>
      </c>
    </row>
    <row r="297" spans="1:13" ht="15" customHeight="1">
      <c r="A297" s="10">
        <v>46175</v>
      </c>
      <c r="B297" t="s">
        <v>201</v>
      </c>
      <c r="C297" t="s">
        <v>285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0</v>
      </c>
      <c r="M297" t="s">
        <v>411</v>
      </c>
    </row>
    <row r="298" spans="1:13" ht="15" customHeight="1">
      <c r="A298" s="10">
        <v>46175</v>
      </c>
      <c r="B298" t="s">
        <v>201</v>
      </c>
      <c r="C298" t="s">
        <v>287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 t="s">
        <v>412</v>
      </c>
    </row>
    <row r="299" spans="1:13" ht="15" customHeight="1">
      <c r="A299" s="10">
        <v>46175</v>
      </c>
      <c r="B299" t="s">
        <v>201</v>
      </c>
      <c r="C299" t="s">
        <v>289</v>
      </c>
      <c r="D299">
        <v>3</v>
      </c>
      <c r="E299">
        <v>0</v>
      </c>
      <c r="F299">
        <v>0</v>
      </c>
      <c r="G299">
        <v>0</v>
      </c>
      <c r="H299">
        <v>0</v>
      </c>
      <c r="I299">
        <v>3</v>
      </c>
      <c r="J299">
        <v>0</v>
      </c>
      <c r="K299">
        <v>0</v>
      </c>
      <c r="L299">
        <v>0</v>
      </c>
      <c r="M299" t="s">
        <v>413</v>
      </c>
    </row>
    <row r="300" spans="1:13" ht="15" customHeight="1">
      <c r="A300" s="10">
        <v>46175</v>
      </c>
      <c r="B300" t="s">
        <v>201</v>
      </c>
      <c r="C300" t="s">
        <v>291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0</v>
      </c>
      <c r="K300">
        <v>0</v>
      </c>
      <c r="L300">
        <v>0</v>
      </c>
      <c r="M300" t="s">
        <v>414</v>
      </c>
    </row>
    <row r="301" spans="1:13" ht="15" customHeight="1">
      <c r="A301" s="10">
        <v>46175</v>
      </c>
      <c r="B301" t="s">
        <v>201</v>
      </c>
      <c r="C301" t="s">
        <v>293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0</v>
      </c>
      <c r="K301">
        <v>0</v>
      </c>
      <c r="L301">
        <v>0</v>
      </c>
      <c r="M301" t="s">
        <v>415</v>
      </c>
    </row>
    <row r="302" spans="1:13" ht="15" customHeight="1">
      <c r="A302" s="10">
        <v>46175</v>
      </c>
      <c r="B302" t="s">
        <v>201</v>
      </c>
      <c r="C302" s="135" t="s">
        <v>138</v>
      </c>
      <c r="E302">
        <v>25</v>
      </c>
      <c r="F302">
        <v>0</v>
      </c>
      <c r="G302">
        <v>0</v>
      </c>
      <c r="H302">
        <v>0</v>
      </c>
      <c r="I302">
        <v>0</v>
      </c>
      <c r="J302">
        <v>20</v>
      </c>
      <c r="K302">
        <v>0</v>
      </c>
      <c r="L302">
        <v>0</v>
      </c>
      <c r="M302" t="s">
        <v>416</v>
      </c>
    </row>
    <row r="303" spans="1:13" ht="15" customHeight="1">
      <c r="A303" s="10">
        <v>46175</v>
      </c>
      <c r="B303" t="s">
        <v>201</v>
      </c>
      <c r="C303" s="135" t="s">
        <v>139</v>
      </c>
      <c r="E303">
        <v>11</v>
      </c>
      <c r="F303">
        <v>0</v>
      </c>
      <c r="G303">
        <v>0</v>
      </c>
      <c r="H303">
        <v>0</v>
      </c>
      <c r="I303">
        <v>0</v>
      </c>
      <c r="J303">
        <v>9</v>
      </c>
      <c r="K303">
        <v>0</v>
      </c>
      <c r="L303">
        <v>0</v>
      </c>
      <c r="M303" t="s">
        <v>417</v>
      </c>
    </row>
    <row r="304" spans="1:13" ht="15" customHeight="1">
      <c r="A304" s="10">
        <v>46175</v>
      </c>
      <c r="B304" t="s">
        <v>201</v>
      </c>
      <c r="C304" s="135" t="s">
        <v>140</v>
      </c>
      <c r="E304">
        <v>36</v>
      </c>
      <c r="F304">
        <v>0</v>
      </c>
      <c r="G304">
        <v>0</v>
      </c>
      <c r="H304">
        <v>0</v>
      </c>
      <c r="I304">
        <v>0</v>
      </c>
      <c r="J304">
        <v>35</v>
      </c>
      <c r="K304">
        <v>0</v>
      </c>
      <c r="L304">
        <v>0</v>
      </c>
      <c r="M304" t="s">
        <v>418</v>
      </c>
    </row>
    <row r="305" spans="1:13" ht="15" customHeight="1">
      <c r="A305" s="10">
        <v>46175</v>
      </c>
      <c r="B305" t="s">
        <v>201</v>
      </c>
      <c r="C305" s="135" t="s">
        <v>141</v>
      </c>
      <c r="D305">
        <v>1</v>
      </c>
      <c r="E305">
        <v>68</v>
      </c>
      <c r="F305">
        <v>0</v>
      </c>
      <c r="G305">
        <v>0</v>
      </c>
      <c r="H305">
        <v>0</v>
      </c>
      <c r="I305">
        <v>0</v>
      </c>
      <c r="J305">
        <v>63</v>
      </c>
      <c r="K305">
        <v>0</v>
      </c>
      <c r="L305">
        <v>0</v>
      </c>
      <c r="M305" t="s">
        <v>419</v>
      </c>
    </row>
    <row r="306" spans="1:13" ht="15" customHeight="1">
      <c r="A306" s="10">
        <v>46175</v>
      </c>
      <c r="B306" t="s">
        <v>201</v>
      </c>
      <c r="C306" s="135" t="s">
        <v>143</v>
      </c>
      <c r="E306">
        <v>46</v>
      </c>
      <c r="F306">
        <v>0</v>
      </c>
      <c r="G306">
        <v>0</v>
      </c>
      <c r="H306">
        <v>0</v>
      </c>
      <c r="I306">
        <v>0</v>
      </c>
      <c r="J306">
        <v>39</v>
      </c>
      <c r="K306">
        <v>0</v>
      </c>
      <c r="L306">
        <v>0</v>
      </c>
      <c r="M306" t="s">
        <v>420</v>
      </c>
    </row>
    <row r="307" spans="1:13" ht="15" customHeight="1">
      <c r="A307" s="10">
        <v>46175</v>
      </c>
      <c r="B307" t="s">
        <v>201</v>
      </c>
      <c r="C307" s="135" t="s">
        <v>145</v>
      </c>
      <c r="E307">
        <v>23</v>
      </c>
      <c r="F307">
        <v>0</v>
      </c>
      <c r="G307">
        <v>0</v>
      </c>
      <c r="H307">
        <v>0</v>
      </c>
      <c r="I307">
        <v>0</v>
      </c>
      <c r="J307">
        <v>20</v>
      </c>
      <c r="K307">
        <v>0</v>
      </c>
      <c r="L307">
        <v>0</v>
      </c>
      <c r="M307" t="s">
        <v>421</v>
      </c>
    </row>
    <row r="308" spans="1:13" ht="15" customHeight="1">
      <c r="A308" s="10">
        <v>46175</v>
      </c>
      <c r="B308" t="s">
        <v>201</v>
      </c>
      <c r="C308" s="135" t="s">
        <v>147</v>
      </c>
      <c r="E308">
        <v>38</v>
      </c>
      <c r="F308">
        <v>0</v>
      </c>
      <c r="G308">
        <v>0</v>
      </c>
      <c r="H308">
        <v>0</v>
      </c>
      <c r="I308">
        <v>0</v>
      </c>
      <c r="J308">
        <v>37</v>
      </c>
      <c r="K308">
        <v>0</v>
      </c>
      <c r="L308">
        <v>0</v>
      </c>
      <c r="M308" t="s">
        <v>422</v>
      </c>
    </row>
    <row r="309" spans="1:13" ht="15" customHeight="1">
      <c r="A309" s="10">
        <v>46175</v>
      </c>
      <c r="B309" t="s">
        <v>201</v>
      </c>
      <c r="C309" t="s">
        <v>302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 t="s">
        <v>423</v>
      </c>
    </row>
    <row r="310" spans="1:13" ht="15" customHeight="1">
      <c r="A310" s="10">
        <v>46175</v>
      </c>
      <c r="B310" t="s">
        <v>201</v>
      </c>
      <c r="C310" t="s">
        <v>150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 t="s">
        <v>424</v>
      </c>
    </row>
    <row r="311" spans="1:13" ht="15" customHeight="1">
      <c r="A311" s="10">
        <v>46175</v>
      </c>
      <c r="B311" t="s">
        <v>201</v>
      </c>
      <c r="C311" t="s">
        <v>151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0</v>
      </c>
      <c r="K311">
        <v>0</v>
      </c>
      <c r="L311">
        <v>0</v>
      </c>
      <c r="M311" t="s">
        <v>425</v>
      </c>
    </row>
    <row r="312" spans="1:13" ht="15" customHeight="1">
      <c r="A312" s="10">
        <v>46175</v>
      </c>
      <c r="B312" t="s">
        <v>201</v>
      </c>
      <c r="C312" t="s">
        <v>152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0</v>
      </c>
      <c r="K312">
        <v>0</v>
      </c>
      <c r="L312">
        <v>0</v>
      </c>
      <c r="M312" t="s">
        <v>426</v>
      </c>
    </row>
    <row r="313" spans="1:13" ht="15" customHeight="1">
      <c r="A313" s="10">
        <v>46175</v>
      </c>
      <c r="B313" t="s">
        <v>201</v>
      </c>
      <c r="C313" t="s">
        <v>153</v>
      </c>
      <c r="D313">
        <v>9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0</v>
      </c>
      <c r="K313">
        <v>0</v>
      </c>
      <c r="L313">
        <v>0</v>
      </c>
      <c r="M313" t="s">
        <v>427</v>
      </c>
    </row>
    <row r="314" spans="1:13" ht="15" customHeight="1">
      <c r="A314" s="10">
        <v>46175</v>
      </c>
      <c r="B314" t="s">
        <v>201</v>
      </c>
      <c r="C314" t="s">
        <v>308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428</v>
      </c>
    </row>
    <row r="315" spans="1:13" ht="15" customHeight="1">
      <c r="A315" s="10">
        <v>46175</v>
      </c>
      <c r="B315" t="s">
        <v>201</v>
      </c>
      <c r="C315" t="s">
        <v>310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429</v>
      </c>
    </row>
    <row r="316" spans="1:13" ht="15" customHeight="1">
      <c r="A316" s="10">
        <v>46175</v>
      </c>
      <c r="B316" t="s">
        <v>201</v>
      </c>
      <c r="C316" t="s">
        <v>312</v>
      </c>
      <c r="D316">
        <v>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430</v>
      </c>
    </row>
    <row r="317" spans="1:13" ht="15" customHeight="1">
      <c r="A317" s="10">
        <v>46175</v>
      </c>
      <c r="B317" t="s">
        <v>201</v>
      </c>
      <c r="C317" t="s">
        <v>314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 t="s">
        <v>431</v>
      </c>
    </row>
    <row r="318" spans="1:13" ht="15" customHeight="1">
      <c r="A318" s="10">
        <v>46175</v>
      </c>
      <c r="B318" t="s">
        <v>201</v>
      </c>
      <c r="C318" t="s">
        <v>316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 t="s">
        <v>432</v>
      </c>
    </row>
    <row r="319" spans="1:13" ht="15" customHeight="1">
      <c r="A319" s="10">
        <v>46175</v>
      </c>
      <c r="B319" t="s">
        <v>201</v>
      </c>
      <c r="C319" t="s">
        <v>318</v>
      </c>
      <c r="D319">
        <v>3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 t="s">
        <v>433</v>
      </c>
    </row>
    <row r="320" spans="1:13" ht="15" customHeight="1">
      <c r="A320" s="10">
        <v>46175</v>
      </c>
      <c r="B320" t="s">
        <v>201</v>
      </c>
      <c r="C320" t="s">
        <v>320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 t="s">
        <v>434</v>
      </c>
    </row>
    <row r="321" spans="1:13" ht="15" customHeight="1">
      <c r="A321" s="10">
        <v>46175</v>
      </c>
      <c r="B321" t="s">
        <v>201</v>
      </c>
      <c r="C321" t="s">
        <v>322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0</v>
      </c>
      <c r="K321">
        <v>0</v>
      </c>
      <c r="L321">
        <v>0</v>
      </c>
      <c r="M321" t="s">
        <v>435</v>
      </c>
    </row>
    <row r="322" spans="1:13" ht="15" customHeight="1">
      <c r="A322" s="10">
        <v>46175</v>
      </c>
      <c r="B322" t="s">
        <v>201</v>
      </c>
      <c r="C322" s="135" t="s">
        <v>168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 t="s">
        <v>436</v>
      </c>
    </row>
    <row r="323" spans="1:13" ht="15" customHeight="1">
      <c r="A323" s="10">
        <v>46175</v>
      </c>
      <c r="B323" t="s">
        <v>201</v>
      </c>
      <c r="C323" s="135" t="s">
        <v>170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 t="s">
        <v>437</v>
      </c>
    </row>
    <row r="324" spans="1:13" ht="15" customHeight="1">
      <c r="A324" s="10">
        <v>46175</v>
      </c>
      <c r="B324" t="s">
        <v>201</v>
      </c>
      <c r="C324" s="135" t="s">
        <v>171</v>
      </c>
      <c r="D324">
        <v>3</v>
      </c>
      <c r="E324">
        <v>0</v>
      </c>
      <c r="F324">
        <v>0</v>
      </c>
      <c r="G324">
        <v>0</v>
      </c>
      <c r="H324">
        <v>0</v>
      </c>
      <c r="I324">
        <v>3</v>
      </c>
      <c r="J324">
        <v>0</v>
      </c>
      <c r="K324">
        <v>0</v>
      </c>
      <c r="L324">
        <v>0</v>
      </c>
      <c r="M324" t="s">
        <v>438</v>
      </c>
    </row>
    <row r="325" spans="1:13" ht="15" customHeight="1">
      <c r="A325" s="10">
        <v>46175</v>
      </c>
      <c r="B325" t="s">
        <v>201</v>
      </c>
      <c r="C325" s="135" t="s">
        <v>172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 t="s">
        <v>439</v>
      </c>
    </row>
    <row r="326" spans="1:13" ht="15" customHeight="1">
      <c r="A326" s="10">
        <v>46175</v>
      </c>
      <c r="B326" t="s">
        <v>201</v>
      </c>
      <c r="C326" s="135" t="s">
        <v>173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 t="s">
        <v>440</v>
      </c>
    </row>
    <row r="327" spans="1:13" ht="15" customHeight="1">
      <c r="A327" s="10">
        <v>46175</v>
      </c>
      <c r="B327" t="s">
        <v>201</v>
      </c>
      <c r="C327" t="s">
        <v>176</v>
      </c>
      <c r="D327">
        <v>0</v>
      </c>
      <c r="E327">
        <v>22</v>
      </c>
      <c r="F327">
        <v>0</v>
      </c>
      <c r="G327">
        <v>0</v>
      </c>
      <c r="H327">
        <v>0</v>
      </c>
      <c r="I327">
        <v>0</v>
      </c>
      <c r="J327">
        <v>22</v>
      </c>
      <c r="K327">
        <v>0</v>
      </c>
      <c r="L327">
        <v>0</v>
      </c>
      <c r="M327" t="s">
        <v>441</v>
      </c>
    </row>
    <row r="328" spans="1:13" ht="15" customHeight="1">
      <c r="A328" s="10">
        <v>46175</v>
      </c>
      <c r="B328" t="s">
        <v>201</v>
      </c>
      <c r="C328" t="s">
        <v>178</v>
      </c>
      <c r="D328">
        <v>0</v>
      </c>
      <c r="E328">
        <v>19</v>
      </c>
      <c r="F328">
        <v>0</v>
      </c>
      <c r="G328">
        <v>0</v>
      </c>
      <c r="H328">
        <v>0</v>
      </c>
      <c r="I328">
        <v>0</v>
      </c>
      <c r="J328">
        <v>19</v>
      </c>
      <c r="K328">
        <v>0</v>
      </c>
      <c r="L328">
        <v>0</v>
      </c>
      <c r="M328" t="s">
        <v>442</v>
      </c>
    </row>
    <row r="329" spans="1:13" ht="15" customHeight="1">
      <c r="A329" s="10">
        <v>46175</v>
      </c>
      <c r="B329" t="s">
        <v>201</v>
      </c>
      <c r="C329" t="s">
        <v>179</v>
      </c>
      <c r="D329">
        <v>0</v>
      </c>
      <c r="E329">
        <v>20</v>
      </c>
      <c r="F329">
        <v>0</v>
      </c>
      <c r="G329">
        <v>0</v>
      </c>
      <c r="H329">
        <v>0</v>
      </c>
      <c r="I329">
        <v>0</v>
      </c>
      <c r="J329">
        <v>20</v>
      </c>
      <c r="K329">
        <v>0</v>
      </c>
      <c r="L329">
        <v>0</v>
      </c>
      <c r="M329" t="s">
        <v>443</v>
      </c>
    </row>
    <row r="330" spans="1:13" ht="15" customHeight="1">
      <c r="A330" s="10">
        <v>46175</v>
      </c>
      <c r="B330" t="s">
        <v>201</v>
      </c>
      <c r="C330" t="s">
        <v>180</v>
      </c>
      <c r="D330">
        <v>0</v>
      </c>
      <c r="E330">
        <v>24</v>
      </c>
      <c r="F330">
        <v>0</v>
      </c>
      <c r="G330">
        <v>0</v>
      </c>
      <c r="H330">
        <v>0</v>
      </c>
      <c r="I330">
        <v>0</v>
      </c>
      <c r="J330">
        <v>22</v>
      </c>
      <c r="K330">
        <v>0</v>
      </c>
      <c r="L330">
        <v>0</v>
      </c>
      <c r="M330" t="s">
        <v>444</v>
      </c>
    </row>
    <row r="331" spans="1:13" ht="15" customHeight="1">
      <c r="A331" s="10">
        <v>46175</v>
      </c>
      <c r="B331" t="s">
        <v>201</v>
      </c>
      <c r="C331" s="135" t="s">
        <v>182</v>
      </c>
      <c r="D331">
        <v>0</v>
      </c>
      <c r="E331">
        <v>160</v>
      </c>
      <c r="F331">
        <v>0</v>
      </c>
      <c r="G331">
        <v>0</v>
      </c>
      <c r="H331">
        <v>0</v>
      </c>
      <c r="I331">
        <v>1</v>
      </c>
      <c r="J331">
        <v>160</v>
      </c>
      <c r="K331">
        <v>0</v>
      </c>
      <c r="L331">
        <v>0</v>
      </c>
      <c r="M331" t="s">
        <v>445</v>
      </c>
    </row>
    <row r="332" spans="1:13" ht="15" customHeight="1">
      <c r="A332" s="10">
        <v>46175</v>
      </c>
      <c r="B332" t="s">
        <v>201</v>
      </c>
      <c r="C332" s="135" t="s">
        <v>184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76</v>
      </c>
      <c r="K332">
        <v>0</v>
      </c>
      <c r="L332">
        <v>0</v>
      </c>
      <c r="M332" t="s">
        <v>446</v>
      </c>
    </row>
    <row r="333" spans="1:13" ht="15" customHeight="1">
      <c r="A333" s="10">
        <v>46175</v>
      </c>
      <c r="B333" t="s">
        <v>201</v>
      </c>
      <c r="C333" s="135" t="s">
        <v>185</v>
      </c>
      <c r="D333">
        <v>1</v>
      </c>
      <c r="E333">
        <v>43</v>
      </c>
      <c r="F333">
        <v>0</v>
      </c>
      <c r="G333">
        <v>0</v>
      </c>
      <c r="H333">
        <v>0</v>
      </c>
      <c r="I333">
        <v>1</v>
      </c>
      <c r="J333">
        <v>43</v>
      </c>
      <c r="K333">
        <v>0</v>
      </c>
      <c r="L333">
        <v>0</v>
      </c>
      <c r="M333" t="s">
        <v>447</v>
      </c>
    </row>
    <row r="334" spans="1:13" ht="15" customHeight="1">
      <c r="A334" s="10">
        <v>46175</v>
      </c>
      <c r="B334" t="s">
        <v>201</v>
      </c>
      <c r="C334" s="135" t="s">
        <v>186</v>
      </c>
      <c r="D334">
        <v>1</v>
      </c>
      <c r="E334">
        <v>690</v>
      </c>
      <c r="F334">
        <v>0</v>
      </c>
      <c r="G334">
        <v>0</v>
      </c>
      <c r="H334">
        <v>0</v>
      </c>
      <c r="I334">
        <v>1</v>
      </c>
      <c r="J334">
        <v>680</v>
      </c>
      <c r="K334">
        <v>0</v>
      </c>
      <c r="L334">
        <v>0</v>
      </c>
      <c r="M334" t="s">
        <v>448</v>
      </c>
    </row>
    <row r="335" spans="1:13" ht="15" customHeight="1">
      <c r="A335" s="10">
        <v>46175</v>
      </c>
      <c r="B335" t="s">
        <v>201</v>
      </c>
      <c r="C335" t="s">
        <v>337</v>
      </c>
      <c r="D335">
        <v>2</v>
      </c>
      <c r="E335">
        <v>238</v>
      </c>
      <c r="F335">
        <v>0</v>
      </c>
      <c r="G335">
        <v>0</v>
      </c>
      <c r="H335">
        <v>0</v>
      </c>
      <c r="I335">
        <v>2</v>
      </c>
      <c r="J335">
        <v>198</v>
      </c>
      <c r="K335">
        <v>0</v>
      </c>
      <c r="L335">
        <v>0</v>
      </c>
      <c r="M335" t="s">
        <v>449</v>
      </c>
    </row>
    <row r="336" spans="1:13" ht="15" customHeight="1">
      <c r="A336" s="10">
        <v>46175</v>
      </c>
      <c r="B336" t="s">
        <v>201</v>
      </c>
      <c r="C336" t="s">
        <v>339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450</v>
      </c>
    </row>
    <row r="337" spans="1:13" ht="15" customHeight="1">
      <c r="A337" s="10">
        <v>46175</v>
      </c>
      <c r="B337" t="s">
        <v>201</v>
      </c>
      <c r="C337" s="135" t="s">
        <v>191</v>
      </c>
      <c r="D337">
        <v>1</v>
      </c>
      <c r="E337">
        <v>316</v>
      </c>
      <c r="F337">
        <v>0</v>
      </c>
      <c r="G337">
        <v>0</v>
      </c>
      <c r="H337">
        <v>0</v>
      </c>
      <c r="I337">
        <v>1</v>
      </c>
      <c r="J337">
        <v>316</v>
      </c>
      <c r="K337">
        <v>0</v>
      </c>
      <c r="L337">
        <v>0</v>
      </c>
      <c r="M337" t="s">
        <v>451</v>
      </c>
    </row>
    <row r="338" spans="1:13" ht="15" customHeight="1">
      <c r="A338" s="10">
        <v>46175</v>
      </c>
      <c r="B338" t="s">
        <v>201</v>
      </c>
      <c r="C338" s="135" t="s">
        <v>193</v>
      </c>
      <c r="D338">
        <v>1</v>
      </c>
      <c r="E338">
        <v>302</v>
      </c>
      <c r="F338">
        <v>0</v>
      </c>
      <c r="G338">
        <v>0</v>
      </c>
      <c r="H338">
        <v>0</v>
      </c>
      <c r="I338">
        <v>1</v>
      </c>
      <c r="J338">
        <v>234</v>
      </c>
      <c r="K338">
        <v>0</v>
      </c>
      <c r="L338">
        <v>0</v>
      </c>
      <c r="M338" t="s">
        <v>452</v>
      </c>
    </row>
    <row r="339" spans="1:13" ht="15" customHeight="1">
      <c r="A339" s="10">
        <v>46175</v>
      </c>
      <c r="B339" t="s">
        <v>201</v>
      </c>
      <c r="C339" s="135" t="s">
        <v>194</v>
      </c>
      <c r="D339">
        <v>1</v>
      </c>
      <c r="E339">
        <v>22</v>
      </c>
      <c r="F339">
        <v>0</v>
      </c>
      <c r="G339">
        <v>0</v>
      </c>
      <c r="H339">
        <v>0</v>
      </c>
      <c r="I339">
        <v>1</v>
      </c>
      <c r="J339">
        <v>22</v>
      </c>
      <c r="K339">
        <v>0</v>
      </c>
      <c r="L339">
        <v>0</v>
      </c>
      <c r="M339" t="s">
        <v>453</v>
      </c>
    </row>
    <row r="340" spans="1:13" ht="15" customHeight="1">
      <c r="A340" s="10">
        <v>46175</v>
      </c>
      <c r="B340" t="s">
        <v>201</v>
      </c>
      <c r="C340" s="135" t="s">
        <v>196</v>
      </c>
      <c r="D340">
        <v>0</v>
      </c>
      <c r="E340">
        <v>845</v>
      </c>
      <c r="F340">
        <v>0</v>
      </c>
      <c r="G340">
        <v>0</v>
      </c>
      <c r="H340">
        <v>0</v>
      </c>
      <c r="I340">
        <v>0</v>
      </c>
      <c r="J340">
        <v>845</v>
      </c>
      <c r="K340">
        <v>0</v>
      </c>
      <c r="L340">
        <v>0</v>
      </c>
      <c r="M340" t="s">
        <v>454</v>
      </c>
    </row>
    <row r="341" spans="1:13" ht="15" customHeight="1">
      <c r="A341" s="10">
        <v>46175</v>
      </c>
      <c r="B341" t="s">
        <v>201</v>
      </c>
      <c r="C341" s="135" t="s">
        <v>199</v>
      </c>
      <c r="D341">
        <v>0</v>
      </c>
      <c r="E341">
        <v>357</v>
      </c>
      <c r="F341">
        <v>0</v>
      </c>
      <c r="G341">
        <v>0</v>
      </c>
      <c r="H341">
        <v>0</v>
      </c>
      <c r="I341">
        <v>0</v>
      </c>
      <c r="J341">
        <v>357</v>
      </c>
      <c r="K341">
        <v>0</v>
      </c>
      <c r="L341">
        <v>0</v>
      </c>
      <c r="M341" t="s">
        <v>455</v>
      </c>
    </row>
    <row r="342" spans="1:13" ht="15" customHeight="1">
      <c r="A342" s="10">
        <v>46175</v>
      </c>
      <c r="B342" t="s">
        <v>201</v>
      </c>
      <c r="C342" s="135" t="s">
        <v>200</v>
      </c>
      <c r="D342">
        <v>0</v>
      </c>
      <c r="E342">
        <v>745</v>
      </c>
      <c r="F342">
        <v>0</v>
      </c>
      <c r="G342">
        <v>0</v>
      </c>
      <c r="H342">
        <v>0</v>
      </c>
      <c r="I342">
        <v>0</v>
      </c>
      <c r="J342">
        <v>745</v>
      </c>
      <c r="K342">
        <v>0</v>
      </c>
      <c r="L342">
        <v>0</v>
      </c>
      <c r="M342" t="s">
        <v>456</v>
      </c>
    </row>
    <row r="343" spans="1:13" ht="15" customHeight="1">
      <c r="A343" s="10">
        <v>46175</v>
      </c>
      <c r="B343" t="s">
        <v>201</v>
      </c>
      <c r="C343" s="135" t="s">
        <v>202</v>
      </c>
      <c r="E343">
        <v>540</v>
      </c>
      <c r="F343">
        <v>0</v>
      </c>
      <c r="G343">
        <v>0</v>
      </c>
      <c r="H343">
        <v>0</v>
      </c>
      <c r="I343">
        <v>0</v>
      </c>
      <c r="J343">
        <v>540</v>
      </c>
      <c r="K343">
        <v>0</v>
      </c>
      <c r="L343">
        <v>0</v>
      </c>
      <c r="M343" t="s">
        <v>457</v>
      </c>
    </row>
    <row r="344" spans="1:13" ht="15" customHeight="1">
      <c r="A344" s="10">
        <v>46176</v>
      </c>
      <c r="B344" t="s">
        <v>201</v>
      </c>
      <c r="C344" t="s">
        <v>23</v>
      </c>
      <c r="D344">
        <v>5</v>
      </c>
      <c r="E344">
        <v>284</v>
      </c>
      <c r="F344">
        <v>3</v>
      </c>
      <c r="G344">
        <v>0</v>
      </c>
      <c r="H344">
        <v>0</v>
      </c>
      <c r="I344">
        <v>6</v>
      </c>
      <c r="J344">
        <v>1367</v>
      </c>
      <c r="K344">
        <v>0</v>
      </c>
      <c r="L344">
        <v>0</v>
      </c>
      <c r="M344" t="s">
        <v>458</v>
      </c>
    </row>
    <row r="345" spans="1:13" ht="15" customHeight="1">
      <c r="A345" s="10">
        <v>46176</v>
      </c>
      <c r="B345" t="s">
        <v>201</v>
      </c>
      <c r="C345" t="s">
        <v>26</v>
      </c>
      <c r="D345">
        <v>0</v>
      </c>
      <c r="E345">
        <v>1605</v>
      </c>
      <c r="F345">
        <v>0</v>
      </c>
      <c r="G345">
        <v>0</v>
      </c>
      <c r="H345">
        <v>0</v>
      </c>
      <c r="I345">
        <v>0</v>
      </c>
      <c r="J345">
        <v>1125</v>
      </c>
      <c r="K345">
        <v>0</v>
      </c>
      <c r="L345">
        <v>0</v>
      </c>
      <c r="M345" t="s">
        <v>459</v>
      </c>
    </row>
    <row r="346" spans="1:13" ht="15" customHeight="1">
      <c r="A346" s="10">
        <v>46176</v>
      </c>
      <c r="B346" t="s">
        <v>201</v>
      </c>
      <c r="C346" t="s">
        <v>27</v>
      </c>
      <c r="D346">
        <v>2</v>
      </c>
      <c r="E346">
        <v>425</v>
      </c>
      <c r="F346">
        <v>0</v>
      </c>
      <c r="G346">
        <v>0</v>
      </c>
      <c r="H346">
        <v>0</v>
      </c>
      <c r="I346">
        <v>2</v>
      </c>
      <c r="J346">
        <v>171</v>
      </c>
      <c r="K346">
        <v>0</v>
      </c>
      <c r="L346">
        <v>0</v>
      </c>
      <c r="M346" t="s">
        <v>460</v>
      </c>
    </row>
    <row r="347" spans="1:13" ht="15" customHeight="1">
      <c r="A347" s="10">
        <v>46176</v>
      </c>
      <c r="B347" t="s">
        <v>201</v>
      </c>
      <c r="C347" t="s">
        <v>28</v>
      </c>
      <c r="D347">
        <v>0</v>
      </c>
      <c r="E347">
        <v>560</v>
      </c>
      <c r="F347">
        <v>0</v>
      </c>
      <c r="G347">
        <v>0</v>
      </c>
      <c r="H347">
        <v>0</v>
      </c>
      <c r="I347">
        <v>0</v>
      </c>
      <c r="J347">
        <v>546</v>
      </c>
      <c r="K347">
        <v>0</v>
      </c>
      <c r="L347">
        <v>0</v>
      </c>
      <c r="M347" t="s">
        <v>461</v>
      </c>
    </row>
    <row r="348" spans="1:13" ht="15" customHeight="1">
      <c r="A348" s="10">
        <v>46176</v>
      </c>
      <c r="B348" t="s">
        <v>201</v>
      </c>
      <c r="C348" t="s">
        <v>29</v>
      </c>
      <c r="D348">
        <v>0</v>
      </c>
      <c r="E348">
        <v>1442</v>
      </c>
      <c r="F348">
        <v>0</v>
      </c>
      <c r="G348">
        <v>0</v>
      </c>
      <c r="H348">
        <v>0</v>
      </c>
      <c r="I348">
        <v>0</v>
      </c>
      <c r="J348">
        <v>1314</v>
      </c>
      <c r="K348">
        <v>0</v>
      </c>
      <c r="L348">
        <v>0</v>
      </c>
      <c r="M348" t="s">
        <v>462</v>
      </c>
    </row>
    <row r="349" spans="1:13" ht="15" customHeight="1">
      <c r="A349" s="10">
        <v>46176</v>
      </c>
      <c r="B349" t="s">
        <v>201</v>
      </c>
      <c r="C349" t="s">
        <v>30</v>
      </c>
      <c r="D349">
        <v>0</v>
      </c>
      <c r="E349">
        <v>686</v>
      </c>
      <c r="F349">
        <v>1</v>
      </c>
      <c r="G349">
        <v>0</v>
      </c>
      <c r="H349">
        <v>0</v>
      </c>
      <c r="I349">
        <v>1</v>
      </c>
      <c r="J349">
        <v>666</v>
      </c>
      <c r="K349">
        <v>0</v>
      </c>
      <c r="L349">
        <v>0</v>
      </c>
      <c r="M349" t="s">
        <v>463</v>
      </c>
    </row>
    <row r="350" spans="1:13" ht="15" customHeight="1">
      <c r="A350" s="10">
        <v>46176</v>
      </c>
      <c r="B350" t="s">
        <v>201</v>
      </c>
      <c r="C350" t="s">
        <v>31</v>
      </c>
      <c r="D350">
        <v>0</v>
      </c>
      <c r="E350">
        <v>1235</v>
      </c>
      <c r="F350">
        <v>2</v>
      </c>
      <c r="G350">
        <v>0</v>
      </c>
      <c r="H350">
        <v>0</v>
      </c>
      <c r="I350">
        <v>2</v>
      </c>
      <c r="J350">
        <v>951</v>
      </c>
      <c r="K350">
        <v>0</v>
      </c>
      <c r="L350">
        <v>0</v>
      </c>
      <c r="M350" t="s">
        <v>464</v>
      </c>
    </row>
    <row r="351" spans="1:13" ht="15" customHeight="1">
      <c r="A351" s="10">
        <v>46176</v>
      </c>
      <c r="B351" t="s">
        <v>201</v>
      </c>
      <c r="C351" t="s">
        <v>32</v>
      </c>
      <c r="D351">
        <v>1</v>
      </c>
      <c r="E351">
        <v>480</v>
      </c>
      <c r="F351">
        <v>0</v>
      </c>
      <c r="G351">
        <v>0</v>
      </c>
      <c r="H351">
        <v>0</v>
      </c>
      <c r="I351">
        <v>1</v>
      </c>
      <c r="J351">
        <v>113</v>
      </c>
      <c r="K351">
        <v>0</v>
      </c>
      <c r="L351">
        <v>0</v>
      </c>
      <c r="M351" t="s">
        <v>465</v>
      </c>
    </row>
    <row r="352" spans="1:13" ht="15" customHeight="1">
      <c r="A352" s="10">
        <v>46176</v>
      </c>
      <c r="B352" t="s">
        <v>201</v>
      </c>
      <c r="C352" t="s">
        <v>223</v>
      </c>
      <c r="D352">
        <v>6</v>
      </c>
      <c r="E352">
        <v>130</v>
      </c>
      <c r="F352">
        <v>3</v>
      </c>
      <c r="G352">
        <v>0</v>
      </c>
      <c r="H352">
        <v>0</v>
      </c>
      <c r="I352">
        <v>7</v>
      </c>
      <c r="J352">
        <v>850</v>
      </c>
      <c r="K352">
        <v>0</v>
      </c>
      <c r="L352" t="s">
        <v>466</v>
      </c>
      <c r="M352" t="s">
        <v>467</v>
      </c>
    </row>
    <row r="353" spans="1:13" ht="15" customHeight="1">
      <c r="A353" s="10">
        <v>46176</v>
      </c>
      <c r="B353" t="s">
        <v>201</v>
      </c>
      <c r="C353" t="s">
        <v>35</v>
      </c>
      <c r="D353">
        <v>0</v>
      </c>
      <c r="E353">
        <v>0</v>
      </c>
      <c r="F353">
        <v>10</v>
      </c>
      <c r="G353">
        <v>0</v>
      </c>
      <c r="H353">
        <v>3</v>
      </c>
      <c r="I353">
        <v>7</v>
      </c>
      <c r="J353">
        <v>0</v>
      </c>
      <c r="K353">
        <v>0</v>
      </c>
      <c r="L353">
        <v>0</v>
      </c>
      <c r="M353" t="s">
        <v>468</v>
      </c>
    </row>
    <row r="354" spans="1:13" ht="15" customHeight="1">
      <c r="A354" s="10">
        <v>46176</v>
      </c>
      <c r="B354" t="s">
        <v>201</v>
      </c>
      <c r="C354" t="s">
        <v>37</v>
      </c>
      <c r="D354">
        <v>2</v>
      </c>
      <c r="E354">
        <v>0</v>
      </c>
      <c r="F354">
        <v>2</v>
      </c>
      <c r="G354">
        <v>0</v>
      </c>
      <c r="H354">
        <v>2</v>
      </c>
      <c r="I354">
        <v>0</v>
      </c>
      <c r="J354">
        <v>0</v>
      </c>
      <c r="K354">
        <v>0</v>
      </c>
      <c r="L354" t="s">
        <v>469</v>
      </c>
      <c r="M354" t="s">
        <v>470</v>
      </c>
    </row>
    <row r="355" spans="1:13" ht="15" customHeight="1">
      <c r="A355" s="10">
        <v>46176</v>
      </c>
      <c r="B355" t="s">
        <v>201</v>
      </c>
      <c r="C355" t="s">
        <v>39</v>
      </c>
      <c r="D355">
        <v>19</v>
      </c>
      <c r="E355">
        <v>0</v>
      </c>
      <c r="F355">
        <v>0</v>
      </c>
      <c r="G355">
        <v>0</v>
      </c>
      <c r="H355">
        <v>2</v>
      </c>
      <c r="I355">
        <v>17</v>
      </c>
      <c r="J355">
        <v>0</v>
      </c>
      <c r="K355">
        <v>0</v>
      </c>
      <c r="L355">
        <v>0</v>
      </c>
      <c r="M355" t="s">
        <v>471</v>
      </c>
    </row>
    <row r="356" spans="1:13" ht="15" customHeight="1">
      <c r="A356" s="10">
        <v>46176</v>
      </c>
      <c r="B356" t="s">
        <v>201</v>
      </c>
      <c r="C356" t="s">
        <v>41</v>
      </c>
      <c r="D356">
        <v>15</v>
      </c>
      <c r="E356">
        <v>0</v>
      </c>
      <c r="F356">
        <v>10</v>
      </c>
      <c r="G356">
        <v>0</v>
      </c>
      <c r="H356">
        <v>0</v>
      </c>
      <c r="I356">
        <v>25</v>
      </c>
      <c r="J356">
        <v>0</v>
      </c>
      <c r="K356">
        <v>0</v>
      </c>
      <c r="L356">
        <v>0</v>
      </c>
      <c r="M356" t="s">
        <v>472</v>
      </c>
    </row>
    <row r="357" spans="1:13" ht="15" customHeight="1">
      <c r="A357" s="10">
        <v>46176</v>
      </c>
      <c r="B357" t="s">
        <v>201</v>
      </c>
      <c r="C357" s="135" t="s">
        <v>44</v>
      </c>
      <c r="D357">
        <v>3</v>
      </c>
      <c r="E357">
        <v>7698</v>
      </c>
      <c r="F357">
        <v>3</v>
      </c>
      <c r="G357">
        <v>2400</v>
      </c>
      <c r="H357">
        <v>0</v>
      </c>
      <c r="I357">
        <v>4</v>
      </c>
      <c r="J357">
        <v>6650</v>
      </c>
      <c r="K357">
        <v>0</v>
      </c>
      <c r="L357">
        <v>0</v>
      </c>
      <c r="M357" t="s">
        <v>473</v>
      </c>
    </row>
    <row r="358" spans="1:13" ht="15" customHeight="1">
      <c r="A358" s="10">
        <v>46176</v>
      </c>
      <c r="B358" t="s">
        <v>201</v>
      </c>
      <c r="C358" t="s">
        <v>230</v>
      </c>
      <c r="D358">
        <v>1</v>
      </c>
      <c r="E358">
        <v>423</v>
      </c>
      <c r="F358">
        <v>0</v>
      </c>
      <c r="G358">
        <v>0</v>
      </c>
      <c r="H358">
        <v>0</v>
      </c>
      <c r="I358">
        <v>1</v>
      </c>
      <c r="J358">
        <v>220</v>
      </c>
      <c r="K358">
        <v>0</v>
      </c>
      <c r="L358">
        <v>0</v>
      </c>
      <c r="M358" t="s">
        <v>474</v>
      </c>
    </row>
    <row r="359" spans="1:13" ht="15" customHeight="1">
      <c r="A359" s="10">
        <v>46176</v>
      </c>
      <c r="B359" t="s">
        <v>201</v>
      </c>
      <c r="C359" t="s">
        <v>232</v>
      </c>
      <c r="D359">
        <v>0</v>
      </c>
      <c r="E359">
        <v>15</v>
      </c>
      <c r="F359">
        <v>0</v>
      </c>
      <c r="G359">
        <v>0</v>
      </c>
      <c r="H359">
        <v>0</v>
      </c>
      <c r="I359">
        <v>15</v>
      </c>
      <c r="J359">
        <v>0</v>
      </c>
      <c r="K359">
        <v>0</v>
      </c>
      <c r="L359">
        <v>0</v>
      </c>
      <c r="M359" t="s">
        <v>475</v>
      </c>
    </row>
    <row r="360" spans="1:13" ht="15" customHeight="1">
      <c r="A360" s="10">
        <v>46176</v>
      </c>
      <c r="B360" t="s">
        <v>201</v>
      </c>
      <c r="C360" t="s">
        <v>234</v>
      </c>
      <c r="D360">
        <v>57</v>
      </c>
      <c r="E360">
        <v>0</v>
      </c>
      <c r="F360">
        <v>25</v>
      </c>
      <c r="G360">
        <v>0</v>
      </c>
      <c r="H360">
        <v>14</v>
      </c>
      <c r="I360">
        <v>68</v>
      </c>
      <c r="J360">
        <v>0</v>
      </c>
      <c r="K360">
        <v>0</v>
      </c>
      <c r="L360">
        <v>0</v>
      </c>
      <c r="M360" t="s">
        <v>476</v>
      </c>
    </row>
    <row r="361" spans="1:13" ht="15" customHeight="1">
      <c r="A361" s="10">
        <v>46176</v>
      </c>
      <c r="B361" t="s">
        <v>201</v>
      </c>
      <c r="C361" t="s">
        <v>54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477</v>
      </c>
    </row>
    <row r="362" spans="1:13" ht="15" customHeight="1">
      <c r="A362" s="10">
        <v>46176</v>
      </c>
      <c r="B362" t="s">
        <v>201</v>
      </c>
      <c r="C362" t="s">
        <v>237</v>
      </c>
      <c r="D362">
        <v>0</v>
      </c>
      <c r="E362">
        <v>12</v>
      </c>
      <c r="F362">
        <v>0</v>
      </c>
      <c r="G362">
        <v>0</v>
      </c>
      <c r="H362">
        <v>0</v>
      </c>
      <c r="I362">
        <v>12</v>
      </c>
      <c r="J362">
        <v>0</v>
      </c>
      <c r="K362">
        <v>0</v>
      </c>
      <c r="L362">
        <v>0</v>
      </c>
      <c r="M362" t="s">
        <v>478</v>
      </c>
    </row>
    <row r="363" spans="1:13" ht="15" customHeight="1">
      <c r="A363" s="10">
        <v>46176</v>
      </c>
      <c r="B363" t="s">
        <v>201</v>
      </c>
      <c r="C363" s="135" t="s">
        <v>58</v>
      </c>
      <c r="D363">
        <v>1</v>
      </c>
      <c r="E363">
        <v>2</v>
      </c>
      <c r="F363">
        <v>6</v>
      </c>
      <c r="G363">
        <v>0</v>
      </c>
      <c r="H363">
        <v>7</v>
      </c>
      <c r="I363">
        <v>1</v>
      </c>
      <c r="J363">
        <v>0</v>
      </c>
      <c r="K363">
        <v>0</v>
      </c>
      <c r="L363">
        <v>0</v>
      </c>
      <c r="M363" t="s">
        <v>479</v>
      </c>
    </row>
    <row r="364" spans="1:13" ht="15" customHeight="1">
      <c r="A364" s="10">
        <v>46176</v>
      </c>
      <c r="B364" t="s">
        <v>201</v>
      </c>
      <c r="C364" s="135" t="s">
        <v>60</v>
      </c>
      <c r="D364">
        <v>0</v>
      </c>
      <c r="E364">
        <v>9</v>
      </c>
      <c r="F364">
        <v>6</v>
      </c>
      <c r="G364">
        <v>0</v>
      </c>
      <c r="H364">
        <v>12</v>
      </c>
      <c r="I364">
        <v>3</v>
      </c>
      <c r="J364">
        <v>0</v>
      </c>
      <c r="K364">
        <v>0</v>
      </c>
      <c r="L364">
        <v>0</v>
      </c>
      <c r="M364" t="s">
        <v>480</v>
      </c>
    </row>
    <row r="365" spans="1:13" ht="15" customHeight="1">
      <c r="A365" s="10">
        <v>46176</v>
      </c>
      <c r="B365" t="s">
        <v>201</v>
      </c>
      <c r="C365" s="135" t="s">
        <v>61</v>
      </c>
      <c r="D365">
        <v>8</v>
      </c>
      <c r="E365">
        <v>10</v>
      </c>
      <c r="F365">
        <v>0</v>
      </c>
      <c r="G365">
        <v>0</v>
      </c>
      <c r="H365">
        <v>9</v>
      </c>
      <c r="I365">
        <v>1</v>
      </c>
      <c r="J365">
        <v>0</v>
      </c>
      <c r="K365">
        <v>0</v>
      </c>
      <c r="L365">
        <v>0</v>
      </c>
      <c r="M365" t="s">
        <v>481</v>
      </c>
    </row>
    <row r="366" spans="1:13" ht="15" customHeight="1">
      <c r="A366" s="10">
        <v>46176</v>
      </c>
      <c r="B366" t="s">
        <v>201</v>
      </c>
      <c r="C366" s="135" t="s">
        <v>62</v>
      </c>
      <c r="D366">
        <v>2</v>
      </c>
      <c r="E366">
        <v>5</v>
      </c>
      <c r="F366">
        <v>3</v>
      </c>
      <c r="G366">
        <v>0</v>
      </c>
      <c r="H366">
        <v>5</v>
      </c>
      <c r="I366">
        <v>3</v>
      </c>
      <c r="J366">
        <v>0</v>
      </c>
      <c r="K366">
        <v>0</v>
      </c>
      <c r="L366">
        <v>0</v>
      </c>
      <c r="M366" t="s">
        <v>482</v>
      </c>
    </row>
    <row r="367" spans="1:13" ht="15" customHeight="1">
      <c r="A367" s="10">
        <v>46176</v>
      </c>
      <c r="B367" t="s">
        <v>201</v>
      </c>
      <c r="C367" s="135" t="s">
        <v>63</v>
      </c>
      <c r="D367">
        <v>1</v>
      </c>
      <c r="E367">
        <v>13</v>
      </c>
      <c r="F367">
        <v>0</v>
      </c>
      <c r="G367">
        <v>0</v>
      </c>
      <c r="H367">
        <v>7</v>
      </c>
      <c r="I367">
        <v>6</v>
      </c>
      <c r="J367">
        <v>0</v>
      </c>
      <c r="K367">
        <v>0</v>
      </c>
      <c r="L367">
        <v>0</v>
      </c>
      <c r="M367" t="s">
        <v>483</v>
      </c>
    </row>
    <row r="368" spans="1:13" ht="15" customHeight="1">
      <c r="A368" s="10">
        <v>46176</v>
      </c>
      <c r="B368" t="s">
        <v>201</v>
      </c>
      <c r="C368" s="135" t="s">
        <v>64</v>
      </c>
      <c r="D368">
        <v>0</v>
      </c>
      <c r="E368">
        <v>15</v>
      </c>
      <c r="F368">
        <v>0</v>
      </c>
      <c r="G368">
        <v>0</v>
      </c>
      <c r="H368">
        <v>5</v>
      </c>
      <c r="I368">
        <v>10</v>
      </c>
      <c r="J368">
        <v>0</v>
      </c>
      <c r="K368">
        <v>0</v>
      </c>
      <c r="L368">
        <v>0</v>
      </c>
      <c r="M368" t="s">
        <v>484</v>
      </c>
    </row>
    <row r="369" spans="1:13" ht="15" customHeight="1">
      <c r="A369" s="10">
        <v>46176</v>
      </c>
      <c r="B369" t="s">
        <v>201</v>
      </c>
      <c r="C369" t="s">
        <v>66</v>
      </c>
      <c r="D369">
        <v>3</v>
      </c>
      <c r="E369">
        <v>0</v>
      </c>
      <c r="F369">
        <v>2</v>
      </c>
      <c r="G369">
        <v>0</v>
      </c>
      <c r="H369">
        <v>0</v>
      </c>
      <c r="I369">
        <v>5</v>
      </c>
      <c r="J369">
        <v>0</v>
      </c>
      <c r="K369">
        <v>0</v>
      </c>
      <c r="L369">
        <v>0</v>
      </c>
      <c r="M369" t="s">
        <v>485</v>
      </c>
    </row>
    <row r="370" spans="1:13" ht="15" customHeight="1">
      <c r="A370" s="10">
        <v>46176</v>
      </c>
      <c r="B370" t="s">
        <v>201</v>
      </c>
      <c r="C370" t="s">
        <v>67</v>
      </c>
      <c r="D370">
        <v>5</v>
      </c>
      <c r="E370">
        <v>0</v>
      </c>
      <c r="F370">
        <v>2</v>
      </c>
      <c r="G370">
        <v>0</v>
      </c>
      <c r="H370">
        <v>0</v>
      </c>
      <c r="I370">
        <v>7</v>
      </c>
      <c r="J370">
        <v>0</v>
      </c>
      <c r="K370">
        <v>0</v>
      </c>
      <c r="L370">
        <v>0</v>
      </c>
      <c r="M370" t="s">
        <v>486</v>
      </c>
    </row>
    <row r="371" spans="1:13" ht="15" customHeight="1">
      <c r="A371" s="10">
        <v>46176</v>
      </c>
      <c r="B371" t="s">
        <v>201</v>
      </c>
      <c r="C371" t="s">
        <v>68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0</v>
      </c>
      <c r="K371">
        <v>0</v>
      </c>
      <c r="L371">
        <v>0</v>
      </c>
      <c r="M371" t="s">
        <v>487</v>
      </c>
    </row>
    <row r="372" spans="1:13" ht="15" customHeight="1">
      <c r="A372" s="10">
        <v>46176</v>
      </c>
      <c r="B372" t="s">
        <v>201</v>
      </c>
      <c r="C372" t="s">
        <v>71</v>
      </c>
      <c r="D372">
        <v>2</v>
      </c>
      <c r="E372">
        <v>101</v>
      </c>
      <c r="F372">
        <v>0</v>
      </c>
      <c r="G372">
        <v>0</v>
      </c>
      <c r="H372">
        <v>0</v>
      </c>
      <c r="I372">
        <v>1</v>
      </c>
      <c r="J372">
        <v>717</v>
      </c>
      <c r="K372">
        <v>0</v>
      </c>
      <c r="L372">
        <v>0</v>
      </c>
      <c r="M372" t="s">
        <v>488</v>
      </c>
    </row>
    <row r="373" spans="1:13" ht="15" customHeight="1">
      <c r="A373" s="10">
        <v>46176</v>
      </c>
      <c r="B373" t="s">
        <v>201</v>
      </c>
      <c r="C373" t="s">
        <v>73</v>
      </c>
      <c r="D373">
        <v>2</v>
      </c>
      <c r="E373">
        <v>300</v>
      </c>
      <c r="F373">
        <v>0</v>
      </c>
      <c r="G373">
        <v>0</v>
      </c>
      <c r="H373">
        <v>0</v>
      </c>
      <c r="I373">
        <v>1</v>
      </c>
      <c r="J373">
        <v>681</v>
      </c>
      <c r="K373">
        <v>0</v>
      </c>
      <c r="L373">
        <v>0</v>
      </c>
      <c r="M373" t="s">
        <v>489</v>
      </c>
    </row>
    <row r="374" spans="1:13" ht="15" customHeight="1">
      <c r="A374" s="10">
        <v>46176</v>
      </c>
      <c r="B374" t="s">
        <v>201</v>
      </c>
      <c r="C374" t="s">
        <v>75</v>
      </c>
      <c r="D374">
        <v>0</v>
      </c>
      <c r="E374">
        <v>325</v>
      </c>
      <c r="F374">
        <v>0</v>
      </c>
      <c r="G374">
        <v>0</v>
      </c>
      <c r="H374">
        <v>0</v>
      </c>
      <c r="I374">
        <v>0</v>
      </c>
      <c r="J374">
        <v>325</v>
      </c>
      <c r="K374">
        <v>0</v>
      </c>
      <c r="L374">
        <v>0</v>
      </c>
      <c r="M374" t="s">
        <v>490</v>
      </c>
    </row>
    <row r="375" spans="1:13" ht="15" customHeight="1">
      <c r="A375" s="10">
        <v>46176</v>
      </c>
      <c r="B375" t="s">
        <v>201</v>
      </c>
      <c r="C375" t="s">
        <v>77</v>
      </c>
      <c r="D375">
        <v>0</v>
      </c>
      <c r="E375">
        <v>489</v>
      </c>
      <c r="F375">
        <v>0</v>
      </c>
      <c r="G375">
        <v>0</v>
      </c>
      <c r="H375">
        <v>0</v>
      </c>
      <c r="I375">
        <v>0</v>
      </c>
      <c r="J375">
        <v>546</v>
      </c>
      <c r="K375">
        <v>0</v>
      </c>
      <c r="L375">
        <v>0</v>
      </c>
      <c r="M375" t="s">
        <v>491</v>
      </c>
    </row>
    <row r="376" spans="1:13" ht="15" customHeight="1">
      <c r="A376" s="10">
        <v>46176</v>
      </c>
      <c r="B376" t="s">
        <v>201</v>
      </c>
      <c r="C376" t="s">
        <v>79</v>
      </c>
      <c r="D376">
        <v>1</v>
      </c>
      <c r="E376">
        <v>384</v>
      </c>
      <c r="F376">
        <v>0</v>
      </c>
      <c r="G376">
        <v>0</v>
      </c>
      <c r="H376">
        <v>0</v>
      </c>
      <c r="I376">
        <v>1</v>
      </c>
      <c r="J376">
        <v>301</v>
      </c>
      <c r="K376">
        <v>0</v>
      </c>
      <c r="L376">
        <v>0</v>
      </c>
      <c r="M376" t="s">
        <v>492</v>
      </c>
    </row>
    <row r="377" spans="1:13" ht="15" customHeight="1">
      <c r="A377" s="10">
        <v>46176</v>
      </c>
      <c r="B377" t="s">
        <v>201</v>
      </c>
      <c r="C377" t="s">
        <v>81</v>
      </c>
      <c r="D377">
        <v>0</v>
      </c>
      <c r="E377">
        <v>549</v>
      </c>
      <c r="F377">
        <v>1</v>
      </c>
      <c r="G377">
        <v>0</v>
      </c>
      <c r="H377">
        <v>0</v>
      </c>
      <c r="I377">
        <v>1</v>
      </c>
      <c r="J377">
        <v>549</v>
      </c>
      <c r="K377">
        <v>0</v>
      </c>
      <c r="L377">
        <v>0</v>
      </c>
      <c r="M377" t="s">
        <v>493</v>
      </c>
    </row>
    <row r="378" spans="1:13" ht="15" customHeight="1">
      <c r="A378" s="10">
        <v>46176</v>
      </c>
      <c r="B378" t="s">
        <v>201</v>
      </c>
      <c r="C378" t="s">
        <v>83</v>
      </c>
      <c r="D378">
        <v>1</v>
      </c>
      <c r="E378">
        <v>134</v>
      </c>
      <c r="F378">
        <v>0</v>
      </c>
      <c r="G378">
        <v>0</v>
      </c>
      <c r="H378">
        <v>0</v>
      </c>
      <c r="I378">
        <v>1</v>
      </c>
      <c r="J378">
        <v>134</v>
      </c>
      <c r="K378">
        <v>0</v>
      </c>
      <c r="L378">
        <v>0</v>
      </c>
      <c r="M378" t="s">
        <v>494</v>
      </c>
    </row>
    <row r="379" spans="1:13" ht="15" customHeight="1">
      <c r="A379" s="10">
        <v>46176</v>
      </c>
      <c r="B379" t="s">
        <v>201</v>
      </c>
      <c r="C379" t="s">
        <v>84</v>
      </c>
      <c r="D379">
        <v>0</v>
      </c>
      <c r="E379">
        <v>395</v>
      </c>
      <c r="F379">
        <v>1</v>
      </c>
      <c r="G379">
        <v>0</v>
      </c>
      <c r="H379">
        <v>0</v>
      </c>
      <c r="I379">
        <v>1</v>
      </c>
      <c r="J379">
        <v>395</v>
      </c>
      <c r="K379">
        <v>0</v>
      </c>
      <c r="L379">
        <v>0</v>
      </c>
      <c r="M379" t="s">
        <v>495</v>
      </c>
    </row>
    <row r="380" spans="1:13" ht="15" customHeight="1">
      <c r="A380" s="10">
        <v>46176</v>
      </c>
      <c r="B380" t="s">
        <v>201</v>
      </c>
      <c r="C380" t="s">
        <v>85</v>
      </c>
      <c r="D380">
        <v>0</v>
      </c>
      <c r="E380">
        <v>226</v>
      </c>
      <c r="F380">
        <v>0</v>
      </c>
      <c r="G380">
        <v>0</v>
      </c>
      <c r="H380">
        <v>0</v>
      </c>
      <c r="I380">
        <v>0</v>
      </c>
      <c r="J380">
        <v>226</v>
      </c>
      <c r="K380">
        <v>0</v>
      </c>
      <c r="L380">
        <v>0</v>
      </c>
      <c r="M380" t="s">
        <v>496</v>
      </c>
    </row>
    <row r="381" spans="1:13" ht="15" customHeight="1">
      <c r="A381" s="10">
        <v>46176</v>
      </c>
      <c r="B381" t="s">
        <v>201</v>
      </c>
      <c r="C381" t="s">
        <v>87</v>
      </c>
      <c r="D381">
        <v>1</v>
      </c>
      <c r="E381">
        <v>424</v>
      </c>
      <c r="F381">
        <v>0</v>
      </c>
      <c r="G381">
        <v>0</v>
      </c>
      <c r="H381">
        <v>0</v>
      </c>
      <c r="I381">
        <v>1</v>
      </c>
      <c r="J381">
        <v>415</v>
      </c>
      <c r="K381">
        <v>0</v>
      </c>
      <c r="L381">
        <v>0</v>
      </c>
      <c r="M381" t="s">
        <v>497</v>
      </c>
    </row>
    <row r="382" spans="1:13" ht="15" customHeight="1">
      <c r="A382" s="10">
        <v>46176</v>
      </c>
      <c r="B382" t="s">
        <v>201</v>
      </c>
      <c r="C382" t="s">
        <v>88</v>
      </c>
      <c r="D382">
        <v>1</v>
      </c>
      <c r="E382">
        <v>334</v>
      </c>
      <c r="F382">
        <v>0</v>
      </c>
      <c r="G382">
        <v>0</v>
      </c>
      <c r="H382">
        <v>0</v>
      </c>
      <c r="I382">
        <v>1</v>
      </c>
      <c r="J382">
        <v>330</v>
      </c>
      <c r="K382">
        <v>0</v>
      </c>
      <c r="L382">
        <v>0</v>
      </c>
      <c r="M382" t="s">
        <v>498</v>
      </c>
    </row>
    <row r="383" spans="1:13" ht="15" customHeight="1">
      <c r="A383" s="10">
        <v>46176</v>
      </c>
      <c r="B383" t="s">
        <v>201</v>
      </c>
      <c r="C383" t="s">
        <v>89</v>
      </c>
      <c r="D383">
        <v>1</v>
      </c>
      <c r="E383">
        <v>338</v>
      </c>
      <c r="F383">
        <v>0</v>
      </c>
      <c r="G383">
        <v>0</v>
      </c>
      <c r="H383">
        <v>0</v>
      </c>
      <c r="I383">
        <v>1</v>
      </c>
      <c r="J383">
        <v>665</v>
      </c>
      <c r="K383">
        <v>0</v>
      </c>
      <c r="L383">
        <v>0</v>
      </c>
      <c r="M383" t="s">
        <v>499</v>
      </c>
    </row>
    <row r="384" spans="1:13" ht="15" customHeight="1">
      <c r="A384" s="10">
        <v>46176</v>
      </c>
      <c r="B384" t="s">
        <v>201</v>
      </c>
      <c r="C384" t="s">
        <v>90</v>
      </c>
      <c r="D384">
        <v>1</v>
      </c>
      <c r="E384">
        <v>581</v>
      </c>
      <c r="F384">
        <v>0</v>
      </c>
      <c r="G384">
        <v>0</v>
      </c>
      <c r="H384">
        <v>0</v>
      </c>
      <c r="I384">
        <v>1</v>
      </c>
      <c r="J384">
        <v>513</v>
      </c>
      <c r="K384">
        <v>0</v>
      </c>
      <c r="L384">
        <v>0</v>
      </c>
      <c r="M384" t="s">
        <v>500</v>
      </c>
    </row>
    <row r="385" spans="1:13" ht="15" customHeight="1">
      <c r="A385" s="10">
        <v>46176</v>
      </c>
      <c r="B385" t="s">
        <v>201</v>
      </c>
      <c r="C385" t="s">
        <v>92</v>
      </c>
      <c r="D385">
        <v>0</v>
      </c>
      <c r="E385">
        <v>1003</v>
      </c>
      <c r="F385">
        <v>1</v>
      </c>
      <c r="G385">
        <v>0</v>
      </c>
      <c r="H385">
        <v>0</v>
      </c>
      <c r="I385">
        <v>1</v>
      </c>
      <c r="J385">
        <v>864</v>
      </c>
      <c r="K385">
        <v>0</v>
      </c>
      <c r="L385">
        <v>0</v>
      </c>
      <c r="M385" t="s">
        <v>501</v>
      </c>
    </row>
    <row r="386" spans="1:13" ht="15" customHeight="1">
      <c r="A386" s="10">
        <v>46176</v>
      </c>
      <c r="B386" t="s">
        <v>201</v>
      </c>
      <c r="C386" t="s">
        <v>94</v>
      </c>
      <c r="D386">
        <v>0</v>
      </c>
      <c r="E386">
        <v>473</v>
      </c>
      <c r="F386">
        <v>3</v>
      </c>
      <c r="G386">
        <v>0</v>
      </c>
      <c r="H386">
        <v>0</v>
      </c>
      <c r="I386">
        <v>3</v>
      </c>
      <c r="J386">
        <v>259</v>
      </c>
      <c r="K386">
        <v>0</v>
      </c>
      <c r="L386">
        <v>0</v>
      </c>
      <c r="M386" t="s">
        <v>502</v>
      </c>
    </row>
    <row r="387" spans="1:13" ht="15" customHeight="1">
      <c r="A387" s="10">
        <v>46176</v>
      </c>
      <c r="B387" t="s">
        <v>201</v>
      </c>
      <c r="C387" t="s">
        <v>96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503</v>
      </c>
    </row>
    <row r="388" spans="1:13" ht="15" customHeight="1">
      <c r="A388" s="10">
        <v>46176</v>
      </c>
      <c r="B388" t="s">
        <v>201</v>
      </c>
      <c r="C388" t="s">
        <v>98</v>
      </c>
      <c r="D388">
        <v>0</v>
      </c>
      <c r="E388">
        <v>380</v>
      </c>
      <c r="F388">
        <v>6</v>
      </c>
      <c r="G388">
        <v>0</v>
      </c>
      <c r="H388">
        <v>0</v>
      </c>
      <c r="I388">
        <v>6</v>
      </c>
      <c r="J388">
        <v>160</v>
      </c>
      <c r="K388">
        <v>0</v>
      </c>
      <c r="L388">
        <v>0</v>
      </c>
      <c r="M388" t="s">
        <v>504</v>
      </c>
    </row>
    <row r="389" spans="1:13" ht="15" customHeight="1">
      <c r="A389" s="10">
        <v>46176</v>
      </c>
      <c r="B389" t="s">
        <v>201</v>
      </c>
      <c r="C389" t="s">
        <v>100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505</v>
      </c>
    </row>
    <row r="390" spans="1:13" ht="15" customHeight="1">
      <c r="A390" s="10">
        <v>46176</v>
      </c>
      <c r="B390" t="s">
        <v>201</v>
      </c>
      <c r="C390" t="s">
        <v>101</v>
      </c>
      <c r="D390">
        <v>1</v>
      </c>
      <c r="E390">
        <v>404</v>
      </c>
      <c r="F390">
        <v>0</v>
      </c>
      <c r="G390">
        <v>0</v>
      </c>
      <c r="H390">
        <v>0</v>
      </c>
      <c r="I390">
        <v>1</v>
      </c>
      <c r="J390">
        <v>348</v>
      </c>
      <c r="K390">
        <v>0</v>
      </c>
      <c r="L390">
        <v>0</v>
      </c>
      <c r="M390" t="s">
        <v>506</v>
      </c>
    </row>
    <row r="391" spans="1:13" ht="15" customHeight="1">
      <c r="A391" s="10">
        <v>46176</v>
      </c>
      <c r="B391" t="s">
        <v>201</v>
      </c>
      <c r="C391" t="s">
        <v>103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507</v>
      </c>
    </row>
    <row r="392" spans="1:13" ht="15" customHeight="1">
      <c r="A392" s="10">
        <v>46176</v>
      </c>
      <c r="B392" t="s">
        <v>201</v>
      </c>
      <c r="C392" t="s">
        <v>106</v>
      </c>
      <c r="D392">
        <v>1</v>
      </c>
      <c r="E392">
        <v>1139</v>
      </c>
      <c r="F392">
        <v>0</v>
      </c>
      <c r="G392">
        <v>0</v>
      </c>
      <c r="H392">
        <v>0</v>
      </c>
      <c r="I392">
        <v>1</v>
      </c>
      <c r="J392">
        <v>909</v>
      </c>
      <c r="K392">
        <v>0</v>
      </c>
      <c r="L392">
        <v>0</v>
      </c>
      <c r="M392" t="s">
        <v>508</v>
      </c>
    </row>
    <row r="393" spans="1:13" ht="15" customHeight="1">
      <c r="A393" s="10">
        <v>46176</v>
      </c>
      <c r="B393" t="s">
        <v>201</v>
      </c>
      <c r="C393" t="s">
        <v>108</v>
      </c>
      <c r="D393">
        <v>1</v>
      </c>
      <c r="E393">
        <v>1079</v>
      </c>
      <c r="F393">
        <v>0</v>
      </c>
      <c r="G393">
        <v>0</v>
      </c>
      <c r="H393">
        <v>0</v>
      </c>
      <c r="I393">
        <v>1</v>
      </c>
      <c r="J393">
        <v>979</v>
      </c>
      <c r="K393">
        <v>0</v>
      </c>
      <c r="L393">
        <v>0</v>
      </c>
      <c r="M393" t="s">
        <v>509</v>
      </c>
    </row>
    <row r="394" spans="1:13" ht="15" customHeight="1">
      <c r="A394" s="10">
        <v>46176</v>
      </c>
      <c r="B394" t="s">
        <v>201</v>
      </c>
      <c r="C394" t="s">
        <v>109</v>
      </c>
      <c r="D394">
        <v>1</v>
      </c>
      <c r="E394">
        <v>1257</v>
      </c>
      <c r="F394">
        <v>0</v>
      </c>
      <c r="G394">
        <v>0</v>
      </c>
      <c r="H394">
        <v>0</v>
      </c>
      <c r="I394">
        <v>1</v>
      </c>
      <c r="J394">
        <v>1099</v>
      </c>
      <c r="K394">
        <v>0</v>
      </c>
      <c r="L394">
        <v>0</v>
      </c>
      <c r="M394" t="s">
        <v>510</v>
      </c>
    </row>
    <row r="395" spans="1:13" ht="15" customHeight="1">
      <c r="A395" s="10">
        <v>46176</v>
      </c>
      <c r="B395" t="s">
        <v>201</v>
      </c>
      <c r="C395" t="s">
        <v>112</v>
      </c>
      <c r="D395">
        <v>2</v>
      </c>
      <c r="E395">
        <v>34</v>
      </c>
      <c r="F395">
        <v>0</v>
      </c>
      <c r="G395">
        <v>0</v>
      </c>
      <c r="H395">
        <v>0</v>
      </c>
      <c r="I395">
        <v>2</v>
      </c>
      <c r="J395">
        <v>27</v>
      </c>
      <c r="K395">
        <v>0</v>
      </c>
      <c r="L395">
        <v>0</v>
      </c>
      <c r="M395" t="s">
        <v>511</v>
      </c>
    </row>
    <row r="396" spans="1:13" ht="15" customHeight="1">
      <c r="A396" s="10">
        <v>46176</v>
      </c>
      <c r="B396" t="s">
        <v>201</v>
      </c>
      <c r="C396" t="s">
        <v>114</v>
      </c>
      <c r="D396">
        <v>2</v>
      </c>
      <c r="E396">
        <v>14</v>
      </c>
      <c r="F396">
        <v>1</v>
      </c>
      <c r="G396">
        <v>0</v>
      </c>
      <c r="H396">
        <v>0</v>
      </c>
      <c r="I396">
        <v>2</v>
      </c>
      <c r="J396">
        <v>39</v>
      </c>
      <c r="K396">
        <v>0</v>
      </c>
      <c r="L396">
        <v>0</v>
      </c>
      <c r="M396" t="s">
        <v>512</v>
      </c>
    </row>
    <row r="397" spans="1:13" ht="15" customHeight="1">
      <c r="A397" s="10">
        <v>46176</v>
      </c>
      <c r="B397" t="s">
        <v>201</v>
      </c>
      <c r="C397" t="s">
        <v>115</v>
      </c>
      <c r="D397">
        <v>1</v>
      </c>
      <c r="E397">
        <v>3</v>
      </c>
      <c r="F397">
        <v>0</v>
      </c>
      <c r="G397">
        <v>0</v>
      </c>
      <c r="H397">
        <v>0</v>
      </c>
      <c r="I397">
        <v>0</v>
      </c>
      <c r="J397">
        <v>50</v>
      </c>
      <c r="K397">
        <v>0</v>
      </c>
      <c r="L397">
        <v>0</v>
      </c>
      <c r="M397" t="s">
        <v>513</v>
      </c>
    </row>
    <row r="398" spans="1:13" ht="15" customHeight="1">
      <c r="A398" s="10">
        <v>46176</v>
      </c>
      <c r="B398" t="s">
        <v>201</v>
      </c>
      <c r="C398" t="s">
        <v>116</v>
      </c>
      <c r="D398">
        <v>2</v>
      </c>
      <c r="E398">
        <v>29</v>
      </c>
      <c r="F398">
        <v>1</v>
      </c>
      <c r="G398">
        <v>0</v>
      </c>
      <c r="H398">
        <v>0</v>
      </c>
      <c r="I398">
        <v>3</v>
      </c>
      <c r="J398">
        <v>12</v>
      </c>
      <c r="K398">
        <v>0</v>
      </c>
      <c r="L398">
        <v>0</v>
      </c>
      <c r="M398" t="s">
        <v>514</v>
      </c>
    </row>
    <row r="399" spans="1:13" ht="15" customHeight="1">
      <c r="A399" s="10">
        <v>46176</v>
      </c>
      <c r="B399" t="s">
        <v>201</v>
      </c>
      <c r="C399" t="s">
        <v>119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0</v>
      </c>
      <c r="M399" t="s">
        <v>515</v>
      </c>
    </row>
    <row r="400" spans="1:13" ht="15" customHeight="1">
      <c r="A400" s="10">
        <v>46176</v>
      </c>
      <c r="B400" t="s">
        <v>201</v>
      </c>
      <c r="C400" t="s">
        <v>120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2</v>
      </c>
      <c r="J400">
        <v>0</v>
      </c>
      <c r="K400">
        <v>0</v>
      </c>
      <c r="L400">
        <v>0</v>
      </c>
      <c r="M400" t="s">
        <v>516</v>
      </c>
    </row>
    <row r="401" spans="1:13" ht="15" customHeight="1">
      <c r="A401" s="10">
        <v>46176</v>
      </c>
      <c r="B401" t="s">
        <v>201</v>
      </c>
      <c r="C401" t="s">
        <v>121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2</v>
      </c>
      <c r="J401">
        <v>0</v>
      </c>
      <c r="K401">
        <v>0</v>
      </c>
      <c r="L401">
        <v>0</v>
      </c>
      <c r="M401" t="s">
        <v>517</v>
      </c>
    </row>
    <row r="402" spans="1:13" ht="15" customHeight="1">
      <c r="A402" s="10">
        <v>46176</v>
      </c>
      <c r="B402" t="s">
        <v>201</v>
      </c>
      <c r="C402" t="s">
        <v>123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2</v>
      </c>
      <c r="J402">
        <v>0</v>
      </c>
      <c r="K402">
        <v>0</v>
      </c>
      <c r="L402">
        <v>0</v>
      </c>
      <c r="M402" t="s">
        <v>518</v>
      </c>
    </row>
    <row r="403" spans="1:13" ht="15" customHeight="1">
      <c r="A403" s="10">
        <v>46176</v>
      </c>
      <c r="B403" t="s">
        <v>201</v>
      </c>
      <c r="C403" t="s">
        <v>124</v>
      </c>
      <c r="D403">
        <v>0</v>
      </c>
      <c r="E403">
        <v>0</v>
      </c>
      <c r="F403">
        <v>3</v>
      </c>
      <c r="G403">
        <v>0</v>
      </c>
      <c r="H403">
        <v>0</v>
      </c>
      <c r="I403">
        <v>3</v>
      </c>
      <c r="J403">
        <v>0</v>
      </c>
      <c r="K403">
        <v>0</v>
      </c>
      <c r="L403">
        <v>0</v>
      </c>
      <c r="M403" t="s">
        <v>519</v>
      </c>
    </row>
    <row r="404" spans="1:13" ht="15" customHeight="1">
      <c r="A404" s="10">
        <v>46176</v>
      </c>
      <c r="B404" t="s">
        <v>201</v>
      </c>
      <c r="C404" t="s">
        <v>125</v>
      </c>
      <c r="D404">
        <v>2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0</v>
      </c>
      <c r="K404">
        <v>0</v>
      </c>
      <c r="L404">
        <v>0</v>
      </c>
      <c r="M404" t="s">
        <v>520</v>
      </c>
    </row>
    <row r="405" spans="1:13" ht="15" customHeight="1">
      <c r="A405" s="10">
        <v>46176</v>
      </c>
      <c r="B405" t="s">
        <v>201</v>
      </c>
      <c r="C405" t="s">
        <v>126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 t="s">
        <v>521</v>
      </c>
    </row>
    <row r="406" spans="1:13" ht="15" customHeight="1">
      <c r="A406" s="10">
        <v>46176</v>
      </c>
      <c r="B406" t="s">
        <v>201</v>
      </c>
      <c r="C406" t="s">
        <v>128</v>
      </c>
      <c r="D406">
        <v>1</v>
      </c>
      <c r="E406">
        <v>0</v>
      </c>
      <c r="F406">
        <v>2</v>
      </c>
      <c r="G406">
        <v>0</v>
      </c>
      <c r="H406">
        <v>0</v>
      </c>
      <c r="I406">
        <v>3</v>
      </c>
      <c r="J406">
        <v>0</v>
      </c>
      <c r="K406">
        <v>0</v>
      </c>
      <c r="L406">
        <v>0</v>
      </c>
      <c r="M406" t="s">
        <v>522</v>
      </c>
    </row>
    <row r="407" spans="1:13" ht="15" customHeight="1">
      <c r="A407" s="10">
        <v>46176</v>
      </c>
      <c r="B407" t="s">
        <v>201</v>
      </c>
      <c r="C407" t="s">
        <v>130</v>
      </c>
      <c r="D407">
        <v>4</v>
      </c>
      <c r="E407">
        <v>0</v>
      </c>
      <c r="F407">
        <v>2</v>
      </c>
      <c r="G407">
        <v>0</v>
      </c>
      <c r="H407">
        <v>0</v>
      </c>
      <c r="I407">
        <v>6</v>
      </c>
      <c r="J407">
        <v>0</v>
      </c>
      <c r="K407">
        <v>0</v>
      </c>
      <c r="L407">
        <v>0</v>
      </c>
      <c r="M407" t="s">
        <v>523</v>
      </c>
    </row>
    <row r="408" spans="1:13" ht="15" customHeight="1">
      <c r="A408" s="10">
        <v>46176</v>
      </c>
      <c r="B408" t="s">
        <v>201</v>
      </c>
      <c r="C408" t="s">
        <v>285</v>
      </c>
      <c r="D408">
        <v>2</v>
      </c>
      <c r="E408">
        <v>0</v>
      </c>
      <c r="F408">
        <v>0</v>
      </c>
      <c r="G408">
        <v>0</v>
      </c>
      <c r="H408">
        <v>0</v>
      </c>
      <c r="I408">
        <v>2</v>
      </c>
      <c r="J408">
        <v>0</v>
      </c>
      <c r="K408">
        <v>0</v>
      </c>
      <c r="L408">
        <v>0</v>
      </c>
      <c r="M408" t="s">
        <v>524</v>
      </c>
    </row>
    <row r="409" spans="1:13" ht="15" customHeight="1">
      <c r="A409" s="10">
        <v>46176</v>
      </c>
      <c r="B409" t="s">
        <v>201</v>
      </c>
      <c r="C409" t="s">
        <v>287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0</v>
      </c>
      <c r="M409" t="s">
        <v>525</v>
      </c>
    </row>
    <row r="410" spans="1:13" ht="15" customHeight="1">
      <c r="A410" s="10">
        <v>46176</v>
      </c>
      <c r="B410" t="s">
        <v>201</v>
      </c>
      <c r="C410" t="s">
        <v>289</v>
      </c>
      <c r="D410">
        <v>3</v>
      </c>
      <c r="E410">
        <v>0</v>
      </c>
      <c r="F410">
        <v>0</v>
      </c>
      <c r="G410">
        <v>0</v>
      </c>
      <c r="H410">
        <v>0</v>
      </c>
      <c r="I410">
        <v>3</v>
      </c>
      <c r="J410">
        <v>0</v>
      </c>
      <c r="K410">
        <v>0</v>
      </c>
      <c r="L410">
        <v>0</v>
      </c>
      <c r="M410" t="s">
        <v>526</v>
      </c>
    </row>
    <row r="411" spans="1:13" ht="15" customHeight="1">
      <c r="A411" s="10">
        <v>46176</v>
      </c>
      <c r="B411" t="s">
        <v>201</v>
      </c>
      <c r="C411" t="s">
        <v>291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0</v>
      </c>
      <c r="K411">
        <v>0</v>
      </c>
      <c r="L411">
        <v>0</v>
      </c>
      <c r="M411" t="s">
        <v>527</v>
      </c>
    </row>
    <row r="412" spans="1:13" ht="15" customHeight="1">
      <c r="A412" s="10">
        <v>46176</v>
      </c>
      <c r="B412" t="s">
        <v>201</v>
      </c>
      <c r="C412" t="s">
        <v>293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0</v>
      </c>
      <c r="K412">
        <v>0</v>
      </c>
      <c r="L412">
        <v>0</v>
      </c>
      <c r="M412" t="s">
        <v>528</v>
      </c>
    </row>
    <row r="413" spans="1:13" ht="15" customHeight="1">
      <c r="A413" s="10">
        <v>46176</v>
      </c>
      <c r="B413" t="s">
        <v>201</v>
      </c>
      <c r="C413" s="135" t="s">
        <v>138</v>
      </c>
      <c r="D413">
        <v>0</v>
      </c>
      <c r="E413">
        <v>25</v>
      </c>
      <c r="F413">
        <v>0</v>
      </c>
      <c r="G413">
        <v>0</v>
      </c>
      <c r="H413">
        <v>0</v>
      </c>
      <c r="I413">
        <v>0</v>
      </c>
      <c r="J413">
        <v>16</v>
      </c>
      <c r="K413">
        <v>0</v>
      </c>
      <c r="L413">
        <v>0</v>
      </c>
      <c r="M413" t="s">
        <v>529</v>
      </c>
    </row>
    <row r="414" spans="1:13" ht="15" customHeight="1">
      <c r="A414" s="10">
        <v>46176</v>
      </c>
      <c r="B414" t="s">
        <v>201</v>
      </c>
      <c r="C414" s="135" t="s">
        <v>139</v>
      </c>
      <c r="D414">
        <v>0</v>
      </c>
      <c r="E414">
        <v>11</v>
      </c>
      <c r="F414">
        <v>0</v>
      </c>
      <c r="G414">
        <v>25</v>
      </c>
      <c r="H414">
        <v>0</v>
      </c>
      <c r="I414">
        <v>0</v>
      </c>
      <c r="J414">
        <v>31</v>
      </c>
      <c r="K414">
        <v>0</v>
      </c>
      <c r="L414">
        <v>0</v>
      </c>
      <c r="M414" t="s">
        <v>530</v>
      </c>
    </row>
    <row r="415" spans="1:13" ht="15" customHeight="1">
      <c r="A415" s="10">
        <v>46176</v>
      </c>
      <c r="B415" t="s">
        <v>201</v>
      </c>
      <c r="C415" s="135" t="s">
        <v>140</v>
      </c>
      <c r="D415">
        <v>0</v>
      </c>
      <c r="E415">
        <v>36</v>
      </c>
      <c r="F415">
        <v>0</v>
      </c>
      <c r="G415">
        <v>0</v>
      </c>
      <c r="H415">
        <v>0</v>
      </c>
      <c r="I415">
        <v>0</v>
      </c>
      <c r="J415">
        <v>37</v>
      </c>
      <c r="K415">
        <v>0</v>
      </c>
      <c r="L415">
        <v>0</v>
      </c>
      <c r="M415" t="s">
        <v>531</v>
      </c>
    </row>
    <row r="416" spans="1:13" ht="15" customHeight="1">
      <c r="A416" s="10">
        <v>46176</v>
      </c>
      <c r="B416" t="s">
        <v>201</v>
      </c>
      <c r="C416" s="135" t="s">
        <v>141</v>
      </c>
      <c r="D416">
        <v>1</v>
      </c>
      <c r="E416">
        <v>63</v>
      </c>
      <c r="F416">
        <v>0</v>
      </c>
      <c r="G416">
        <v>0</v>
      </c>
      <c r="H416">
        <v>0</v>
      </c>
      <c r="I416">
        <v>0</v>
      </c>
      <c r="J416">
        <v>60</v>
      </c>
      <c r="K416">
        <v>0</v>
      </c>
      <c r="L416">
        <v>0</v>
      </c>
      <c r="M416" t="s">
        <v>532</v>
      </c>
    </row>
    <row r="417" spans="1:13" ht="15" customHeight="1">
      <c r="A417" s="10">
        <v>46176</v>
      </c>
      <c r="B417" t="s">
        <v>201</v>
      </c>
      <c r="C417" s="135" t="s">
        <v>143</v>
      </c>
      <c r="D417">
        <v>0</v>
      </c>
      <c r="E417">
        <v>46</v>
      </c>
      <c r="F417">
        <v>0</v>
      </c>
      <c r="G417">
        <v>0</v>
      </c>
      <c r="H417">
        <v>0</v>
      </c>
      <c r="I417">
        <v>0</v>
      </c>
      <c r="J417">
        <v>30</v>
      </c>
      <c r="K417">
        <v>0</v>
      </c>
      <c r="L417">
        <v>0</v>
      </c>
      <c r="M417" t="s">
        <v>533</v>
      </c>
    </row>
    <row r="418" spans="1:13" ht="15" customHeight="1">
      <c r="A418" s="10">
        <v>46176</v>
      </c>
      <c r="B418" t="s">
        <v>201</v>
      </c>
      <c r="C418" s="135" t="s">
        <v>145</v>
      </c>
      <c r="D418">
        <v>0</v>
      </c>
      <c r="E418">
        <v>23</v>
      </c>
      <c r="F418">
        <v>0</v>
      </c>
      <c r="G418">
        <v>20</v>
      </c>
      <c r="H418">
        <v>0</v>
      </c>
      <c r="I418">
        <v>0</v>
      </c>
      <c r="J418">
        <v>36</v>
      </c>
      <c r="K418">
        <v>0</v>
      </c>
      <c r="L418">
        <v>0</v>
      </c>
      <c r="M418" t="s">
        <v>534</v>
      </c>
    </row>
    <row r="419" spans="1:13" ht="15" customHeight="1">
      <c r="A419" s="10">
        <v>46176</v>
      </c>
      <c r="B419" t="s">
        <v>201</v>
      </c>
      <c r="C419" s="135" t="s">
        <v>147</v>
      </c>
      <c r="D419">
        <v>0</v>
      </c>
      <c r="E419">
        <v>38</v>
      </c>
      <c r="F419">
        <v>0</v>
      </c>
      <c r="G419">
        <v>0</v>
      </c>
      <c r="H419">
        <v>0</v>
      </c>
      <c r="I419">
        <v>0</v>
      </c>
      <c r="J419">
        <v>36</v>
      </c>
      <c r="K419">
        <v>0</v>
      </c>
      <c r="L419">
        <v>0</v>
      </c>
      <c r="M419" t="s">
        <v>535</v>
      </c>
    </row>
    <row r="420" spans="1:13" ht="15" customHeight="1">
      <c r="A420" s="10">
        <v>46176</v>
      </c>
      <c r="B420" t="s">
        <v>201</v>
      </c>
      <c r="C420" t="s">
        <v>302</v>
      </c>
      <c r="D420">
        <v>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</v>
      </c>
      <c r="K420">
        <v>0</v>
      </c>
      <c r="L420">
        <v>0</v>
      </c>
      <c r="M420" t="s">
        <v>536</v>
      </c>
    </row>
    <row r="421" spans="1:13" ht="15" customHeight="1">
      <c r="A421" s="10">
        <v>46176</v>
      </c>
      <c r="B421" t="s">
        <v>201</v>
      </c>
      <c r="C421" t="s">
        <v>150</v>
      </c>
      <c r="D421">
        <v>1</v>
      </c>
      <c r="E421">
        <v>0</v>
      </c>
      <c r="F421">
        <v>1</v>
      </c>
      <c r="G421">
        <v>0</v>
      </c>
      <c r="H421">
        <v>0</v>
      </c>
      <c r="I421">
        <v>2</v>
      </c>
      <c r="J421">
        <v>0</v>
      </c>
      <c r="K421">
        <v>0</v>
      </c>
      <c r="L421">
        <v>0</v>
      </c>
      <c r="M421" t="s">
        <v>537</v>
      </c>
    </row>
    <row r="422" spans="1:13" ht="15" customHeight="1">
      <c r="A422" s="10">
        <v>46176</v>
      </c>
      <c r="B422" t="s">
        <v>201</v>
      </c>
      <c r="C422" t="s">
        <v>151</v>
      </c>
      <c r="D422">
        <v>2</v>
      </c>
      <c r="E422">
        <v>0</v>
      </c>
      <c r="F422">
        <v>0</v>
      </c>
      <c r="G422">
        <v>0</v>
      </c>
      <c r="H422">
        <v>0</v>
      </c>
      <c r="I422">
        <v>2</v>
      </c>
      <c r="J422">
        <v>0</v>
      </c>
      <c r="K422">
        <v>0</v>
      </c>
      <c r="L422">
        <v>0</v>
      </c>
      <c r="M422" t="s">
        <v>538</v>
      </c>
    </row>
    <row r="423" spans="1:13" ht="15" customHeight="1">
      <c r="A423" s="10">
        <v>46176</v>
      </c>
      <c r="B423" t="s">
        <v>201</v>
      </c>
      <c r="C423" t="s">
        <v>152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2</v>
      </c>
      <c r="J423">
        <v>0</v>
      </c>
      <c r="K423">
        <v>0</v>
      </c>
      <c r="L423">
        <v>0</v>
      </c>
      <c r="M423" t="s">
        <v>539</v>
      </c>
    </row>
    <row r="424" spans="1:13" ht="15" customHeight="1">
      <c r="A424" s="10">
        <v>46176</v>
      </c>
      <c r="B424" t="s">
        <v>201</v>
      </c>
      <c r="C424" t="s">
        <v>153</v>
      </c>
      <c r="D424">
        <v>2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0</v>
      </c>
      <c r="K424">
        <v>0</v>
      </c>
      <c r="L424">
        <v>0</v>
      </c>
      <c r="M424" t="s">
        <v>540</v>
      </c>
    </row>
    <row r="425" spans="1:13" ht="15" customHeight="1">
      <c r="A425" s="10">
        <v>46176</v>
      </c>
      <c r="B425" t="s">
        <v>201</v>
      </c>
      <c r="C425" t="s">
        <v>308</v>
      </c>
      <c r="D425">
        <v>3</v>
      </c>
      <c r="E425">
        <v>0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541</v>
      </c>
    </row>
    <row r="426" spans="1:13" ht="15" customHeight="1">
      <c r="A426" s="10">
        <v>46176</v>
      </c>
      <c r="B426" t="s">
        <v>201</v>
      </c>
      <c r="C426" t="s">
        <v>310</v>
      </c>
      <c r="D426">
        <v>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542</v>
      </c>
    </row>
    <row r="427" spans="1:13" ht="15" customHeight="1">
      <c r="A427" s="10">
        <v>46176</v>
      </c>
      <c r="B427" t="s">
        <v>201</v>
      </c>
      <c r="C427" t="s">
        <v>312</v>
      </c>
      <c r="D427">
        <v>3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543</v>
      </c>
    </row>
    <row r="428" spans="1:13" ht="15" customHeight="1">
      <c r="A428" s="10">
        <v>46176</v>
      </c>
      <c r="B428" t="s">
        <v>201</v>
      </c>
      <c r="C428" t="s">
        <v>314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 t="s">
        <v>544</v>
      </c>
    </row>
    <row r="429" spans="1:13" ht="15" customHeight="1">
      <c r="A429" s="10">
        <v>46176</v>
      </c>
      <c r="B429" t="s">
        <v>201</v>
      </c>
      <c r="C429" t="s">
        <v>316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 t="s">
        <v>545</v>
      </c>
    </row>
    <row r="430" spans="1:13" ht="15" customHeight="1">
      <c r="A430" s="10">
        <v>46176</v>
      </c>
      <c r="B430" t="s">
        <v>201</v>
      </c>
      <c r="C430" t="s">
        <v>318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2</v>
      </c>
      <c r="J430">
        <v>0</v>
      </c>
      <c r="K430">
        <v>0</v>
      </c>
      <c r="L430">
        <v>0</v>
      </c>
      <c r="M430" t="s">
        <v>546</v>
      </c>
    </row>
    <row r="431" spans="1:13" ht="15" customHeight="1">
      <c r="A431" s="10">
        <v>46176</v>
      </c>
      <c r="B431" t="s">
        <v>201</v>
      </c>
      <c r="C431" t="s">
        <v>320</v>
      </c>
      <c r="D431">
        <v>1</v>
      </c>
      <c r="E431">
        <v>0</v>
      </c>
      <c r="F431">
        <v>2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</v>
      </c>
      <c r="M431" t="s">
        <v>547</v>
      </c>
    </row>
    <row r="432" spans="1:13" ht="15" customHeight="1">
      <c r="A432" s="10">
        <v>46176</v>
      </c>
      <c r="B432" t="s">
        <v>201</v>
      </c>
      <c r="C432" t="s">
        <v>322</v>
      </c>
      <c r="D432">
        <v>2</v>
      </c>
      <c r="E432">
        <v>0</v>
      </c>
      <c r="F432">
        <v>1</v>
      </c>
      <c r="G432">
        <v>0</v>
      </c>
      <c r="H432">
        <v>0</v>
      </c>
      <c r="I432">
        <v>2</v>
      </c>
      <c r="J432">
        <v>0</v>
      </c>
      <c r="K432">
        <v>0</v>
      </c>
      <c r="L432">
        <v>0</v>
      </c>
      <c r="M432" t="s">
        <v>548</v>
      </c>
    </row>
    <row r="433" spans="1:13" ht="15" customHeight="1">
      <c r="A433" s="10">
        <v>46176</v>
      </c>
      <c r="B433" t="s">
        <v>201</v>
      </c>
      <c r="C433" s="135" t="s">
        <v>168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 t="s">
        <v>549</v>
      </c>
    </row>
    <row r="434" spans="1:13" ht="15" customHeight="1">
      <c r="A434" s="10">
        <v>46176</v>
      </c>
      <c r="B434" t="s">
        <v>201</v>
      </c>
      <c r="C434" s="135" t="s">
        <v>170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 t="s">
        <v>550</v>
      </c>
    </row>
    <row r="435" spans="1:13" ht="15" customHeight="1">
      <c r="A435" s="10">
        <v>46176</v>
      </c>
      <c r="B435" t="s">
        <v>201</v>
      </c>
      <c r="C435" s="135" t="s">
        <v>171</v>
      </c>
      <c r="D435">
        <v>3</v>
      </c>
      <c r="E435">
        <v>0</v>
      </c>
      <c r="F435">
        <v>0</v>
      </c>
      <c r="G435">
        <v>0</v>
      </c>
      <c r="H435">
        <v>0</v>
      </c>
      <c r="I435">
        <v>3</v>
      </c>
      <c r="J435">
        <v>0</v>
      </c>
      <c r="K435">
        <v>0</v>
      </c>
      <c r="L435">
        <v>0</v>
      </c>
      <c r="M435" t="s">
        <v>551</v>
      </c>
    </row>
    <row r="436" spans="1:13" ht="15" customHeight="1">
      <c r="A436" s="10">
        <v>46176</v>
      </c>
      <c r="B436" t="s">
        <v>201</v>
      </c>
      <c r="C436" s="135" t="s">
        <v>172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 t="s">
        <v>552</v>
      </c>
    </row>
    <row r="437" spans="1:13" ht="15" customHeight="1">
      <c r="A437" s="10">
        <v>46176</v>
      </c>
      <c r="B437" t="s">
        <v>201</v>
      </c>
      <c r="C437" s="135" t="s">
        <v>173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 t="s">
        <v>553</v>
      </c>
    </row>
    <row r="438" spans="1:13" ht="15" customHeight="1">
      <c r="A438" s="10">
        <v>46176</v>
      </c>
      <c r="B438" t="s">
        <v>201</v>
      </c>
      <c r="C438" t="s">
        <v>176</v>
      </c>
      <c r="D438">
        <v>0</v>
      </c>
      <c r="E438">
        <v>22</v>
      </c>
      <c r="F438">
        <v>0</v>
      </c>
      <c r="G438">
        <v>0</v>
      </c>
      <c r="I438">
        <v>0</v>
      </c>
      <c r="J438">
        <v>22</v>
      </c>
      <c r="K438">
        <v>0</v>
      </c>
      <c r="L438">
        <v>0</v>
      </c>
      <c r="M438" t="s">
        <v>554</v>
      </c>
    </row>
    <row r="439" spans="1:13" ht="15" customHeight="1">
      <c r="A439" s="10">
        <v>46176</v>
      </c>
      <c r="B439" t="s">
        <v>201</v>
      </c>
      <c r="C439" t="s">
        <v>178</v>
      </c>
      <c r="D439">
        <v>0</v>
      </c>
      <c r="E439">
        <v>19</v>
      </c>
      <c r="F439">
        <v>0</v>
      </c>
      <c r="G439">
        <v>0</v>
      </c>
      <c r="I439">
        <v>0</v>
      </c>
      <c r="J439">
        <v>18</v>
      </c>
      <c r="K439">
        <v>0</v>
      </c>
      <c r="L439">
        <v>0</v>
      </c>
      <c r="M439" t="s">
        <v>555</v>
      </c>
    </row>
    <row r="440" spans="1:13" ht="15" customHeight="1">
      <c r="A440" s="10">
        <v>46176</v>
      </c>
      <c r="B440" t="s">
        <v>201</v>
      </c>
      <c r="C440" t="s">
        <v>179</v>
      </c>
      <c r="D440">
        <v>0</v>
      </c>
      <c r="E440">
        <v>20</v>
      </c>
      <c r="F440">
        <v>0</v>
      </c>
      <c r="G440">
        <v>0</v>
      </c>
      <c r="I440">
        <v>0</v>
      </c>
      <c r="J440">
        <v>20</v>
      </c>
      <c r="K440">
        <v>0</v>
      </c>
      <c r="L440">
        <v>0</v>
      </c>
      <c r="M440" t="s">
        <v>556</v>
      </c>
    </row>
    <row r="441" spans="1:13" ht="15" customHeight="1">
      <c r="A441" s="10">
        <v>46176</v>
      </c>
      <c r="B441" t="s">
        <v>201</v>
      </c>
      <c r="C441" t="s">
        <v>180</v>
      </c>
      <c r="D441">
        <v>2</v>
      </c>
      <c r="E441">
        <v>22</v>
      </c>
      <c r="F441">
        <v>0</v>
      </c>
      <c r="G441">
        <v>0</v>
      </c>
      <c r="I441">
        <v>0</v>
      </c>
      <c r="J441">
        <v>20</v>
      </c>
      <c r="K441">
        <v>0</v>
      </c>
      <c r="L441">
        <v>0</v>
      </c>
      <c r="M441" t="s">
        <v>557</v>
      </c>
    </row>
    <row r="442" spans="1:13" ht="15" customHeight="1">
      <c r="A442" s="10">
        <v>46176</v>
      </c>
      <c r="B442" t="s">
        <v>201</v>
      </c>
      <c r="C442" s="135" t="s">
        <v>182</v>
      </c>
      <c r="D442">
        <v>1</v>
      </c>
      <c r="E442">
        <v>160</v>
      </c>
      <c r="F442">
        <v>0</v>
      </c>
      <c r="G442">
        <v>0</v>
      </c>
      <c r="I442">
        <v>1</v>
      </c>
      <c r="K442">
        <v>0</v>
      </c>
      <c r="L442">
        <v>0</v>
      </c>
      <c r="M442" t="s">
        <v>558</v>
      </c>
    </row>
    <row r="443" spans="1:13" ht="15" customHeight="1">
      <c r="A443" s="10">
        <v>46176</v>
      </c>
      <c r="B443" t="s">
        <v>201</v>
      </c>
      <c r="C443" s="135" t="s">
        <v>184</v>
      </c>
      <c r="D443">
        <v>0</v>
      </c>
      <c r="E443">
        <v>76</v>
      </c>
      <c r="F443">
        <v>0</v>
      </c>
      <c r="G443">
        <v>0</v>
      </c>
      <c r="I443">
        <v>0</v>
      </c>
      <c r="J443">
        <v>67</v>
      </c>
      <c r="K443">
        <v>0</v>
      </c>
      <c r="L443">
        <v>0</v>
      </c>
      <c r="M443" t="s">
        <v>559</v>
      </c>
    </row>
    <row r="444" spans="1:13" ht="15" customHeight="1">
      <c r="A444" s="10">
        <v>46176</v>
      </c>
      <c r="B444" t="s">
        <v>201</v>
      </c>
      <c r="C444" s="135" t="s">
        <v>185</v>
      </c>
      <c r="D444">
        <v>1</v>
      </c>
      <c r="E444">
        <v>43</v>
      </c>
      <c r="F444">
        <v>0</v>
      </c>
      <c r="G444">
        <v>0</v>
      </c>
      <c r="I444">
        <v>1</v>
      </c>
      <c r="J444">
        <v>44</v>
      </c>
      <c r="K444">
        <v>0</v>
      </c>
      <c r="L444">
        <v>0</v>
      </c>
      <c r="M444" t="s">
        <v>560</v>
      </c>
    </row>
    <row r="445" spans="1:13" ht="15" customHeight="1">
      <c r="A445" s="10">
        <v>46176</v>
      </c>
      <c r="B445" t="s">
        <v>201</v>
      </c>
      <c r="C445" s="135" t="s">
        <v>186</v>
      </c>
      <c r="D445">
        <v>1</v>
      </c>
      <c r="E445">
        <v>680</v>
      </c>
      <c r="F445">
        <v>0</v>
      </c>
      <c r="G445">
        <v>0</v>
      </c>
      <c r="I445">
        <v>1</v>
      </c>
      <c r="J445">
        <v>650</v>
      </c>
      <c r="K445">
        <v>0</v>
      </c>
      <c r="L445">
        <v>0</v>
      </c>
      <c r="M445" t="s">
        <v>561</v>
      </c>
    </row>
    <row r="446" spans="1:13" ht="15" customHeight="1">
      <c r="A446" s="10">
        <v>46176</v>
      </c>
      <c r="B446" t="s">
        <v>201</v>
      </c>
      <c r="C446" t="s">
        <v>337</v>
      </c>
      <c r="D446">
        <v>2</v>
      </c>
      <c r="E446">
        <v>198</v>
      </c>
      <c r="F446">
        <v>0</v>
      </c>
      <c r="G446">
        <v>0</v>
      </c>
      <c r="I446">
        <v>2</v>
      </c>
      <c r="J446">
        <v>144</v>
      </c>
      <c r="K446">
        <v>0</v>
      </c>
      <c r="L446">
        <v>0</v>
      </c>
      <c r="M446" t="s">
        <v>562</v>
      </c>
    </row>
    <row r="447" spans="1:13" ht="15" customHeight="1">
      <c r="A447" s="10">
        <v>46176</v>
      </c>
      <c r="B447" t="s">
        <v>201</v>
      </c>
      <c r="C447" t="s">
        <v>339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563</v>
      </c>
    </row>
    <row r="448" spans="1:13" ht="15" customHeight="1">
      <c r="A448" s="10">
        <v>46176</v>
      </c>
      <c r="B448" t="s">
        <v>201</v>
      </c>
      <c r="C448" s="135" t="s">
        <v>191</v>
      </c>
      <c r="D448">
        <v>1</v>
      </c>
      <c r="E448">
        <v>316</v>
      </c>
      <c r="F448">
        <v>0</v>
      </c>
      <c r="G448">
        <v>0</v>
      </c>
      <c r="I448">
        <v>1</v>
      </c>
      <c r="J448">
        <v>316</v>
      </c>
      <c r="K448">
        <v>0</v>
      </c>
      <c r="L448">
        <v>0</v>
      </c>
      <c r="M448" t="s">
        <v>564</v>
      </c>
    </row>
    <row r="449" spans="1:13" ht="15" customHeight="1">
      <c r="A449" s="10">
        <v>46176</v>
      </c>
      <c r="B449" t="s">
        <v>201</v>
      </c>
      <c r="C449" s="135" t="s">
        <v>193</v>
      </c>
      <c r="D449">
        <v>1</v>
      </c>
      <c r="E449">
        <v>234</v>
      </c>
      <c r="F449">
        <v>0</v>
      </c>
      <c r="G449">
        <v>0</v>
      </c>
      <c r="I449">
        <v>1</v>
      </c>
      <c r="J449">
        <v>168</v>
      </c>
      <c r="K449">
        <v>0</v>
      </c>
      <c r="L449">
        <v>0</v>
      </c>
      <c r="M449" t="s">
        <v>565</v>
      </c>
    </row>
    <row r="450" spans="1:13" ht="15" customHeight="1">
      <c r="A450" s="10">
        <v>46176</v>
      </c>
      <c r="B450" t="s">
        <v>201</v>
      </c>
      <c r="C450" s="135" t="s">
        <v>194</v>
      </c>
      <c r="D450">
        <v>1</v>
      </c>
      <c r="E450">
        <v>22</v>
      </c>
      <c r="F450">
        <v>0</v>
      </c>
      <c r="G450">
        <v>0</v>
      </c>
      <c r="I450">
        <v>1</v>
      </c>
      <c r="J450">
        <v>19</v>
      </c>
      <c r="K450">
        <v>0</v>
      </c>
      <c r="L450">
        <v>0</v>
      </c>
      <c r="M450" t="s">
        <v>566</v>
      </c>
    </row>
    <row r="451" spans="1:13" ht="15" customHeight="1">
      <c r="A451" s="10">
        <v>46176</v>
      </c>
      <c r="B451" t="s">
        <v>201</v>
      </c>
      <c r="C451" s="135" t="s">
        <v>196</v>
      </c>
      <c r="D451">
        <v>0</v>
      </c>
      <c r="E451">
        <v>845</v>
      </c>
      <c r="F451">
        <v>0</v>
      </c>
      <c r="G451">
        <v>0</v>
      </c>
      <c r="H451">
        <v>0</v>
      </c>
      <c r="J451">
        <v>815</v>
      </c>
      <c r="K451">
        <v>0</v>
      </c>
      <c r="L451">
        <v>0</v>
      </c>
      <c r="M451" t="s">
        <v>567</v>
      </c>
    </row>
    <row r="452" spans="1:13" ht="15" customHeight="1">
      <c r="A452" s="10">
        <v>46176</v>
      </c>
      <c r="B452" t="s">
        <v>201</v>
      </c>
      <c r="C452" s="135" t="s">
        <v>199</v>
      </c>
      <c r="D452">
        <v>0</v>
      </c>
      <c r="E452">
        <v>357</v>
      </c>
      <c r="F452">
        <v>0</v>
      </c>
      <c r="G452">
        <v>0</v>
      </c>
      <c r="H452">
        <v>0</v>
      </c>
      <c r="J452">
        <v>226</v>
      </c>
      <c r="K452">
        <v>0</v>
      </c>
      <c r="L452">
        <v>0</v>
      </c>
      <c r="M452" t="s">
        <v>568</v>
      </c>
    </row>
    <row r="453" spans="1:13" ht="15" customHeight="1">
      <c r="A453" s="10">
        <v>46176</v>
      </c>
      <c r="B453" t="s">
        <v>201</v>
      </c>
      <c r="C453" s="135" t="s">
        <v>200</v>
      </c>
      <c r="D453">
        <v>0</v>
      </c>
      <c r="E453">
        <v>745</v>
      </c>
      <c r="F453">
        <v>0</v>
      </c>
      <c r="G453">
        <v>0</v>
      </c>
      <c r="H453">
        <v>0</v>
      </c>
      <c r="J453">
        <v>646</v>
      </c>
      <c r="K453">
        <v>0</v>
      </c>
      <c r="L453">
        <v>0</v>
      </c>
      <c r="M453" t="s">
        <v>569</v>
      </c>
    </row>
    <row r="454" spans="1:13" ht="15" customHeight="1">
      <c r="A454" s="10">
        <v>46176</v>
      </c>
      <c r="B454" t="s">
        <v>201</v>
      </c>
      <c r="C454" s="135" t="s">
        <v>202</v>
      </c>
      <c r="D454">
        <v>0</v>
      </c>
      <c r="E454">
        <v>540</v>
      </c>
      <c r="F454">
        <v>0</v>
      </c>
      <c r="G454">
        <v>0</v>
      </c>
      <c r="H454">
        <v>0</v>
      </c>
      <c r="J454">
        <v>489</v>
      </c>
      <c r="K454">
        <v>0</v>
      </c>
      <c r="L454">
        <v>0</v>
      </c>
      <c r="M454" t="s">
        <v>570</v>
      </c>
    </row>
    <row r="455" spans="1:13" ht="15" customHeight="1">
      <c r="A455" s="10">
        <v>46177</v>
      </c>
      <c r="B455" t="s">
        <v>201</v>
      </c>
      <c r="C455" t="s">
        <v>23</v>
      </c>
      <c r="D455">
        <v>6</v>
      </c>
      <c r="E455">
        <v>1367</v>
      </c>
      <c r="I455">
        <v>6</v>
      </c>
      <c r="J455">
        <v>1260</v>
      </c>
      <c r="M455" t="s">
        <v>571</v>
      </c>
    </row>
    <row r="456" spans="1:13" ht="15" customHeight="1">
      <c r="A456" s="10">
        <v>46177</v>
      </c>
      <c r="B456" t="s">
        <v>201</v>
      </c>
      <c r="C456" t="s">
        <v>26</v>
      </c>
      <c r="D456">
        <v>0</v>
      </c>
      <c r="E456">
        <v>1125</v>
      </c>
      <c r="J456">
        <v>858</v>
      </c>
      <c r="M456" t="s">
        <v>572</v>
      </c>
    </row>
    <row r="457" spans="1:13" ht="15" customHeight="1">
      <c r="A457" s="10">
        <v>46177</v>
      </c>
      <c r="B457" t="s">
        <v>201</v>
      </c>
      <c r="C457" t="s">
        <v>27</v>
      </c>
      <c r="D457">
        <v>2</v>
      </c>
      <c r="E457">
        <v>171</v>
      </c>
      <c r="I457">
        <v>1</v>
      </c>
      <c r="J457">
        <v>1158</v>
      </c>
      <c r="M457" t="s">
        <v>573</v>
      </c>
    </row>
    <row r="458" spans="1:13" ht="15" customHeight="1">
      <c r="A458" s="10">
        <v>46177</v>
      </c>
      <c r="B458" t="s">
        <v>201</v>
      </c>
      <c r="C458" t="s">
        <v>28</v>
      </c>
      <c r="D458">
        <v>0</v>
      </c>
      <c r="E458">
        <v>546</v>
      </c>
      <c r="J458">
        <v>538</v>
      </c>
      <c r="M458" t="s">
        <v>574</v>
      </c>
    </row>
    <row r="459" spans="1:13" ht="15" customHeight="1">
      <c r="A459" s="10">
        <v>46177</v>
      </c>
      <c r="B459" t="s">
        <v>201</v>
      </c>
      <c r="C459" t="s">
        <v>29</v>
      </c>
      <c r="D459">
        <v>0</v>
      </c>
      <c r="E459">
        <v>1314</v>
      </c>
      <c r="J459">
        <v>1106</v>
      </c>
      <c r="M459" t="s">
        <v>575</v>
      </c>
    </row>
    <row r="460" spans="1:13" ht="15" customHeight="1">
      <c r="A460" s="10">
        <v>46177</v>
      </c>
      <c r="B460" t="s">
        <v>201</v>
      </c>
      <c r="C460" t="s">
        <v>30</v>
      </c>
      <c r="D460">
        <v>1</v>
      </c>
      <c r="E460">
        <v>666</v>
      </c>
      <c r="I460">
        <v>1</v>
      </c>
      <c r="J460">
        <v>653</v>
      </c>
      <c r="M460" t="s">
        <v>576</v>
      </c>
    </row>
    <row r="461" spans="1:13" ht="15" customHeight="1">
      <c r="A461" s="10">
        <v>46177</v>
      </c>
      <c r="B461" t="s">
        <v>201</v>
      </c>
      <c r="C461" t="s">
        <v>31</v>
      </c>
      <c r="D461">
        <v>2</v>
      </c>
      <c r="E461">
        <v>951</v>
      </c>
      <c r="I461">
        <v>2</v>
      </c>
      <c r="J461">
        <v>619</v>
      </c>
      <c r="M461" t="s">
        <v>577</v>
      </c>
    </row>
    <row r="462" spans="1:13" ht="15" customHeight="1">
      <c r="A462" s="10">
        <v>46177</v>
      </c>
      <c r="B462" t="s">
        <v>201</v>
      </c>
      <c r="C462" t="s">
        <v>32</v>
      </c>
      <c r="D462">
        <v>1</v>
      </c>
      <c r="E462">
        <v>113</v>
      </c>
      <c r="J462">
        <v>967</v>
      </c>
      <c r="M462" t="s">
        <v>578</v>
      </c>
    </row>
    <row r="463" spans="1:13" ht="15" customHeight="1">
      <c r="A463" s="10">
        <v>46177</v>
      </c>
      <c r="B463" t="s">
        <v>201</v>
      </c>
      <c r="C463" t="s">
        <v>223</v>
      </c>
      <c r="D463">
        <v>7</v>
      </c>
      <c r="E463">
        <v>850</v>
      </c>
      <c r="I463">
        <v>7</v>
      </c>
      <c r="J463">
        <v>635</v>
      </c>
      <c r="M463" t="s">
        <v>579</v>
      </c>
    </row>
    <row r="464" spans="1:13" ht="15" customHeight="1">
      <c r="A464" s="10">
        <v>46177</v>
      </c>
      <c r="B464" t="s">
        <v>201</v>
      </c>
      <c r="C464" t="s">
        <v>35</v>
      </c>
      <c r="D464">
        <v>7</v>
      </c>
      <c r="E464">
        <v>0</v>
      </c>
      <c r="H464">
        <v>4</v>
      </c>
      <c r="I464">
        <v>3</v>
      </c>
      <c r="M464" t="s">
        <v>580</v>
      </c>
    </row>
    <row r="465" spans="1:13" ht="15" customHeight="1">
      <c r="A465" s="10">
        <v>46177</v>
      </c>
      <c r="B465" t="s">
        <v>201</v>
      </c>
      <c r="C465" t="s">
        <v>37</v>
      </c>
      <c r="D465">
        <v>0</v>
      </c>
      <c r="E465">
        <v>0</v>
      </c>
      <c r="M465" t="s">
        <v>581</v>
      </c>
    </row>
    <row r="466" spans="1:13" ht="15" customHeight="1">
      <c r="A466" s="10">
        <v>46177</v>
      </c>
      <c r="B466" t="s">
        <v>201</v>
      </c>
      <c r="C466" t="s">
        <v>39</v>
      </c>
      <c r="D466">
        <v>17</v>
      </c>
      <c r="E466">
        <v>0</v>
      </c>
      <c r="I466">
        <v>17</v>
      </c>
      <c r="J466">
        <v>0</v>
      </c>
      <c r="M466" t="s">
        <v>582</v>
      </c>
    </row>
    <row r="467" spans="1:13" ht="15" customHeight="1">
      <c r="A467" s="10">
        <v>46177</v>
      </c>
      <c r="B467" t="s">
        <v>201</v>
      </c>
      <c r="C467" t="s">
        <v>41</v>
      </c>
      <c r="D467">
        <v>25</v>
      </c>
      <c r="E467">
        <v>0</v>
      </c>
      <c r="I467">
        <v>25</v>
      </c>
      <c r="J467">
        <v>0</v>
      </c>
      <c r="M467" t="s">
        <v>583</v>
      </c>
    </row>
    <row r="468" spans="1:13" ht="15" customHeight="1">
      <c r="A468" s="10">
        <v>46177</v>
      </c>
      <c r="B468" t="s">
        <v>201</v>
      </c>
      <c r="C468" s="135" t="s">
        <v>44</v>
      </c>
      <c r="D468">
        <v>4</v>
      </c>
      <c r="E468">
        <v>6650</v>
      </c>
      <c r="I468">
        <v>4</v>
      </c>
      <c r="J468">
        <v>10572</v>
      </c>
      <c r="M468" t="s">
        <v>584</v>
      </c>
    </row>
    <row r="469" spans="1:13" ht="15" customHeight="1">
      <c r="A469" s="10">
        <v>46177</v>
      </c>
      <c r="B469" t="s">
        <v>201</v>
      </c>
      <c r="C469" t="s">
        <v>230</v>
      </c>
      <c r="D469">
        <v>1</v>
      </c>
      <c r="E469">
        <v>220</v>
      </c>
      <c r="I469">
        <v>1</v>
      </c>
      <c r="J469">
        <v>318</v>
      </c>
      <c r="M469" t="s">
        <v>585</v>
      </c>
    </row>
    <row r="470" spans="1:13" ht="15" customHeight="1">
      <c r="A470" s="10">
        <v>46177</v>
      </c>
      <c r="B470" t="s">
        <v>201</v>
      </c>
      <c r="C470" t="s">
        <v>232</v>
      </c>
      <c r="D470">
        <v>15</v>
      </c>
      <c r="E470">
        <v>0</v>
      </c>
      <c r="I470">
        <v>15</v>
      </c>
      <c r="J470">
        <v>0</v>
      </c>
      <c r="M470" t="s">
        <v>586</v>
      </c>
    </row>
    <row r="471" spans="1:13" ht="15" customHeight="1">
      <c r="A471" s="10">
        <v>46177</v>
      </c>
      <c r="B471" t="s">
        <v>201</v>
      </c>
      <c r="C471" t="s">
        <v>234</v>
      </c>
      <c r="D471">
        <v>68</v>
      </c>
      <c r="E471">
        <v>0</v>
      </c>
      <c r="H471">
        <v>4</v>
      </c>
      <c r="I471">
        <v>64</v>
      </c>
      <c r="J471">
        <v>0</v>
      </c>
      <c r="M471" t="s">
        <v>587</v>
      </c>
    </row>
    <row r="472" spans="1:13" ht="15" customHeight="1">
      <c r="A472" s="10">
        <v>46177</v>
      </c>
      <c r="B472" t="s">
        <v>201</v>
      </c>
      <c r="C472" t="s">
        <v>54</v>
      </c>
      <c r="D472">
        <v>0</v>
      </c>
      <c r="E472">
        <v>0</v>
      </c>
      <c r="J472">
        <v>0</v>
      </c>
      <c r="M472" t="s">
        <v>588</v>
      </c>
    </row>
    <row r="473" spans="1:13" ht="15" customHeight="1">
      <c r="A473" s="10">
        <v>46177</v>
      </c>
      <c r="B473" t="s">
        <v>201</v>
      </c>
      <c r="C473" t="s">
        <v>237</v>
      </c>
      <c r="D473">
        <v>12</v>
      </c>
      <c r="E473">
        <v>0</v>
      </c>
      <c r="I473">
        <v>12</v>
      </c>
      <c r="J473">
        <v>0</v>
      </c>
      <c r="M473" t="s">
        <v>589</v>
      </c>
    </row>
    <row r="474" spans="1:13" ht="15" customHeight="1">
      <c r="A474" s="10">
        <v>46177</v>
      </c>
      <c r="B474" t="s">
        <v>201</v>
      </c>
      <c r="C474" s="135" t="s">
        <v>58</v>
      </c>
      <c r="D474">
        <v>1</v>
      </c>
      <c r="E474">
        <v>0</v>
      </c>
      <c r="H474">
        <v>1</v>
      </c>
      <c r="J474">
        <v>0</v>
      </c>
      <c r="M474" t="s">
        <v>590</v>
      </c>
    </row>
    <row r="475" spans="1:13" ht="15" customHeight="1">
      <c r="A475" s="10">
        <v>46177</v>
      </c>
      <c r="B475" t="s">
        <v>201</v>
      </c>
      <c r="C475" s="135" t="s">
        <v>60</v>
      </c>
      <c r="D475">
        <v>3</v>
      </c>
      <c r="E475">
        <v>0</v>
      </c>
      <c r="H475">
        <v>3</v>
      </c>
      <c r="J475">
        <v>0</v>
      </c>
      <c r="M475" t="s">
        <v>591</v>
      </c>
    </row>
    <row r="476" spans="1:13" ht="15" customHeight="1">
      <c r="A476" s="10">
        <v>46177</v>
      </c>
      <c r="B476" t="s">
        <v>201</v>
      </c>
      <c r="C476" s="135" t="s">
        <v>61</v>
      </c>
      <c r="D476">
        <v>1</v>
      </c>
      <c r="E476">
        <v>0</v>
      </c>
      <c r="I476">
        <v>1</v>
      </c>
      <c r="J476">
        <v>0</v>
      </c>
      <c r="M476" t="s">
        <v>592</v>
      </c>
    </row>
    <row r="477" spans="1:13" ht="15" customHeight="1">
      <c r="A477" s="10">
        <v>46177</v>
      </c>
      <c r="B477" t="s">
        <v>201</v>
      </c>
      <c r="C477" s="135" t="s">
        <v>62</v>
      </c>
      <c r="D477">
        <v>3</v>
      </c>
      <c r="E477">
        <v>0</v>
      </c>
      <c r="H477">
        <v>2</v>
      </c>
      <c r="I477">
        <v>1</v>
      </c>
      <c r="J477">
        <v>0</v>
      </c>
      <c r="M477" t="s">
        <v>593</v>
      </c>
    </row>
    <row r="478" spans="1:13" ht="15" customHeight="1">
      <c r="A478" s="10">
        <v>46177</v>
      </c>
      <c r="B478" t="s">
        <v>201</v>
      </c>
      <c r="C478" s="135" t="s">
        <v>63</v>
      </c>
      <c r="D478">
        <v>6</v>
      </c>
      <c r="E478">
        <v>0</v>
      </c>
      <c r="H478">
        <v>1</v>
      </c>
      <c r="I478">
        <v>5</v>
      </c>
      <c r="J478">
        <v>0</v>
      </c>
      <c r="M478" t="s">
        <v>594</v>
      </c>
    </row>
    <row r="479" spans="1:13" ht="15" customHeight="1">
      <c r="A479" s="10">
        <v>46177</v>
      </c>
      <c r="B479" t="s">
        <v>201</v>
      </c>
      <c r="C479" s="135" t="s">
        <v>64</v>
      </c>
      <c r="D479">
        <v>10</v>
      </c>
      <c r="E479">
        <v>0</v>
      </c>
      <c r="H479">
        <v>2</v>
      </c>
      <c r="I479">
        <v>8</v>
      </c>
      <c r="J479">
        <v>0</v>
      </c>
      <c r="M479" t="s">
        <v>595</v>
      </c>
    </row>
    <row r="480" spans="1:13" ht="15" customHeight="1">
      <c r="A480" s="10">
        <v>46177</v>
      </c>
      <c r="B480" t="s">
        <v>201</v>
      </c>
      <c r="C480" t="s">
        <v>66</v>
      </c>
      <c r="D480">
        <v>5</v>
      </c>
      <c r="E480">
        <v>0</v>
      </c>
      <c r="H480">
        <v>1</v>
      </c>
      <c r="I480">
        <v>4</v>
      </c>
      <c r="J480">
        <v>0</v>
      </c>
      <c r="M480" t="s">
        <v>596</v>
      </c>
    </row>
    <row r="481" spans="1:13" ht="15" customHeight="1">
      <c r="A481" s="10">
        <v>46177</v>
      </c>
      <c r="B481" t="s">
        <v>201</v>
      </c>
      <c r="C481" t="s">
        <v>67</v>
      </c>
      <c r="D481">
        <v>7</v>
      </c>
      <c r="E481">
        <v>0</v>
      </c>
      <c r="I481">
        <v>7</v>
      </c>
      <c r="J481">
        <v>0</v>
      </c>
      <c r="M481" t="s">
        <v>597</v>
      </c>
    </row>
    <row r="482" spans="1:13" ht="15" customHeight="1">
      <c r="A482" s="10">
        <v>46177</v>
      </c>
      <c r="B482" t="s">
        <v>201</v>
      </c>
      <c r="C482" t="s">
        <v>68</v>
      </c>
      <c r="D482">
        <v>2</v>
      </c>
      <c r="E482">
        <v>0</v>
      </c>
      <c r="I482">
        <v>2</v>
      </c>
      <c r="J482">
        <v>0</v>
      </c>
      <c r="M482" t="s">
        <v>598</v>
      </c>
    </row>
    <row r="483" spans="1:13" ht="15" customHeight="1">
      <c r="A483" s="10">
        <v>46177</v>
      </c>
      <c r="B483" t="s">
        <v>201</v>
      </c>
      <c r="C483" t="s">
        <v>71</v>
      </c>
      <c r="D483">
        <v>1</v>
      </c>
      <c r="E483">
        <v>717</v>
      </c>
      <c r="I483">
        <v>1</v>
      </c>
      <c r="J483">
        <v>675</v>
      </c>
      <c r="M483" t="s">
        <v>599</v>
      </c>
    </row>
    <row r="484" spans="1:13" ht="15" customHeight="1">
      <c r="A484" s="10">
        <v>46177</v>
      </c>
      <c r="B484" t="s">
        <v>201</v>
      </c>
      <c r="C484" t="s">
        <v>73</v>
      </c>
      <c r="D484">
        <v>1</v>
      </c>
      <c r="E484">
        <v>681</v>
      </c>
      <c r="I484">
        <v>1</v>
      </c>
      <c r="J484">
        <v>681</v>
      </c>
      <c r="M484" t="s">
        <v>600</v>
      </c>
    </row>
    <row r="485" spans="1:13" ht="15" customHeight="1">
      <c r="A485" s="10">
        <v>46177</v>
      </c>
      <c r="B485" t="s">
        <v>201</v>
      </c>
      <c r="C485" t="s">
        <v>75</v>
      </c>
      <c r="D485">
        <v>0</v>
      </c>
      <c r="E485">
        <v>325</v>
      </c>
      <c r="J485">
        <v>320</v>
      </c>
      <c r="M485" t="s">
        <v>601</v>
      </c>
    </row>
    <row r="486" spans="1:13" ht="15" customHeight="1">
      <c r="A486" s="10">
        <v>46177</v>
      </c>
      <c r="B486" t="s">
        <v>201</v>
      </c>
      <c r="C486" t="s">
        <v>77</v>
      </c>
      <c r="D486">
        <v>0</v>
      </c>
      <c r="E486">
        <v>546</v>
      </c>
      <c r="J486">
        <v>546</v>
      </c>
      <c r="M486" t="s">
        <v>602</v>
      </c>
    </row>
    <row r="487" spans="1:13" ht="15" customHeight="1">
      <c r="A487" s="10">
        <v>46177</v>
      </c>
      <c r="B487" t="s">
        <v>201</v>
      </c>
      <c r="C487" t="s">
        <v>79</v>
      </c>
      <c r="D487">
        <v>1</v>
      </c>
      <c r="E487">
        <v>301</v>
      </c>
      <c r="I487">
        <v>1</v>
      </c>
      <c r="J487">
        <v>142</v>
      </c>
      <c r="M487" t="s">
        <v>603</v>
      </c>
    </row>
    <row r="488" spans="1:13" ht="15" customHeight="1">
      <c r="A488" s="10">
        <v>46177</v>
      </c>
      <c r="B488" t="s">
        <v>201</v>
      </c>
      <c r="C488" t="s">
        <v>81</v>
      </c>
      <c r="D488">
        <v>1</v>
      </c>
      <c r="E488">
        <v>549</v>
      </c>
      <c r="I488">
        <v>1</v>
      </c>
      <c r="J488">
        <v>549</v>
      </c>
      <c r="M488" t="s">
        <v>604</v>
      </c>
    </row>
    <row r="489" spans="1:13" ht="15" customHeight="1">
      <c r="A489" s="10">
        <v>46177</v>
      </c>
      <c r="B489" t="s">
        <v>201</v>
      </c>
      <c r="C489" t="s">
        <v>83</v>
      </c>
      <c r="D489">
        <v>1</v>
      </c>
      <c r="E489">
        <v>134</v>
      </c>
      <c r="I489">
        <v>1</v>
      </c>
      <c r="J489">
        <v>134</v>
      </c>
      <c r="M489" t="s">
        <v>605</v>
      </c>
    </row>
    <row r="490" spans="1:13" ht="15" customHeight="1">
      <c r="A490" s="10">
        <v>46177</v>
      </c>
      <c r="B490" t="s">
        <v>201</v>
      </c>
      <c r="C490" t="s">
        <v>84</v>
      </c>
      <c r="D490">
        <v>1</v>
      </c>
      <c r="E490">
        <v>395</v>
      </c>
      <c r="I490">
        <v>1</v>
      </c>
      <c r="J490">
        <v>395</v>
      </c>
      <c r="M490" t="s">
        <v>606</v>
      </c>
    </row>
    <row r="491" spans="1:13" ht="15" customHeight="1">
      <c r="A491" s="10">
        <v>46177</v>
      </c>
      <c r="B491" t="s">
        <v>201</v>
      </c>
      <c r="C491" t="s">
        <v>85</v>
      </c>
      <c r="D491">
        <v>0</v>
      </c>
      <c r="E491">
        <v>226</v>
      </c>
      <c r="J491">
        <v>214</v>
      </c>
      <c r="M491" t="s">
        <v>607</v>
      </c>
    </row>
    <row r="492" spans="1:13" ht="15" customHeight="1">
      <c r="A492" s="10">
        <v>46177</v>
      </c>
      <c r="B492" t="s">
        <v>201</v>
      </c>
      <c r="C492" t="s">
        <v>87</v>
      </c>
      <c r="D492">
        <v>1</v>
      </c>
      <c r="E492">
        <v>415</v>
      </c>
      <c r="I492">
        <v>1</v>
      </c>
      <c r="J492">
        <v>224</v>
      </c>
      <c r="M492" t="s">
        <v>608</v>
      </c>
    </row>
    <row r="493" spans="1:13" ht="15" customHeight="1">
      <c r="A493" s="10">
        <v>46177</v>
      </c>
      <c r="B493" t="s">
        <v>201</v>
      </c>
      <c r="C493" t="s">
        <v>88</v>
      </c>
      <c r="D493">
        <v>1</v>
      </c>
      <c r="E493">
        <v>330</v>
      </c>
      <c r="I493">
        <v>1</v>
      </c>
      <c r="J493">
        <v>548</v>
      </c>
      <c r="M493" t="s">
        <v>609</v>
      </c>
    </row>
    <row r="494" spans="1:13" ht="15" customHeight="1">
      <c r="A494" s="10">
        <v>46177</v>
      </c>
      <c r="B494" t="s">
        <v>201</v>
      </c>
      <c r="C494" t="s">
        <v>89</v>
      </c>
      <c r="D494">
        <v>1</v>
      </c>
      <c r="E494">
        <v>665</v>
      </c>
      <c r="I494">
        <v>1</v>
      </c>
      <c r="J494">
        <v>149</v>
      </c>
      <c r="M494" t="s">
        <v>610</v>
      </c>
    </row>
    <row r="495" spans="1:13" ht="15" customHeight="1">
      <c r="A495" s="10">
        <v>46177</v>
      </c>
      <c r="B495" t="s">
        <v>201</v>
      </c>
      <c r="C495" t="s">
        <v>90</v>
      </c>
      <c r="D495">
        <v>1</v>
      </c>
      <c r="E495">
        <v>513</v>
      </c>
      <c r="I495">
        <v>1</v>
      </c>
      <c r="J495">
        <v>433</v>
      </c>
      <c r="M495" t="s">
        <v>611</v>
      </c>
    </row>
    <row r="496" spans="1:13" ht="15" customHeight="1">
      <c r="A496" s="10">
        <v>46177</v>
      </c>
      <c r="B496" t="s">
        <v>201</v>
      </c>
      <c r="C496" t="s">
        <v>92</v>
      </c>
      <c r="D496">
        <v>1</v>
      </c>
      <c r="E496">
        <v>864</v>
      </c>
      <c r="I496">
        <v>1</v>
      </c>
      <c r="J496">
        <v>840</v>
      </c>
      <c r="M496" t="s">
        <v>612</v>
      </c>
    </row>
    <row r="497" spans="1:13" ht="15" customHeight="1">
      <c r="A497" s="10">
        <v>46177</v>
      </c>
      <c r="B497" t="s">
        <v>201</v>
      </c>
      <c r="C497" t="s">
        <v>94</v>
      </c>
      <c r="D497">
        <v>3</v>
      </c>
      <c r="E497">
        <v>259</v>
      </c>
      <c r="I497">
        <v>1</v>
      </c>
      <c r="J497">
        <v>705</v>
      </c>
      <c r="M497" t="s">
        <v>613</v>
      </c>
    </row>
    <row r="498" spans="1:13" ht="15" customHeight="1">
      <c r="A498" s="10">
        <v>46177</v>
      </c>
      <c r="B498" t="s">
        <v>201</v>
      </c>
      <c r="C498" t="s">
        <v>96</v>
      </c>
      <c r="D498">
        <v>0</v>
      </c>
      <c r="E498">
        <v>0</v>
      </c>
      <c r="M498" t="s">
        <v>614</v>
      </c>
    </row>
    <row r="499" spans="1:13" ht="15" customHeight="1">
      <c r="A499" s="10">
        <v>46177</v>
      </c>
      <c r="B499" t="s">
        <v>201</v>
      </c>
      <c r="C499" t="s">
        <v>98</v>
      </c>
      <c r="D499">
        <v>6</v>
      </c>
      <c r="E499">
        <v>160</v>
      </c>
      <c r="J499">
        <v>353</v>
      </c>
      <c r="M499" t="s">
        <v>615</v>
      </c>
    </row>
    <row r="500" spans="1:13" ht="15" customHeight="1">
      <c r="A500" s="10">
        <v>46177</v>
      </c>
      <c r="B500" t="s">
        <v>201</v>
      </c>
      <c r="C500" t="s">
        <v>203</v>
      </c>
      <c r="I500">
        <v>2</v>
      </c>
      <c r="M500" t="s">
        <v>616</v>
      </c>
    </row>
    <row r="501" spans="1:13" ht="15" customHeight="1">
      <c r="A501" s="10">
        <v>46177</v>
      </c>
      <c r="B501" t="s">
        <v>201</v>
      </c>
      <c r="C501" t="s">
        <v>100</v>
      </c>
      <c r="D501">
        <v>0</v>
      </c>
      <c r="E501">
        <v>0</v>
      </c>
      <c r="M501" t="s">
        <v>617</v>
      </c>
    </row>
    <row r="502" spans="1:13" ht="15" customHeight="1">
      <c r="A502" s="10">
        <v>46177</v>
      </c>
      <c r="B502" t="s">
        <v>201</v>
      </c>
      <c r="C502" t="s">
        <v>101</v>
      </c>
      <c r="D502">
        <v>1</v>
      </c>
      <c r="E502">
        <v>348</v>
      </c>
      <c r="I502">
        <v>1</v>
      </c>
      <c r="J502">
        <v>337</v>
      </c>
      <c r="M502" t="s">
        <v>618</v>
      </c>
    </row>
    <row r="503" spans="1:13" ht="15" customHeight="1">
      <c r="A503" s="10">
        <v>46177</v>
      </c>
      <c r="B503" t="s">
        <v>201</v>
      </c>
      <c r="C503" t="s">
        <v>103</v>
      </c>
      <c r="D503">
        <v>0</v>
      </c>
      <c r="E503">
        <v>0</v>
      </c>
      <c r="F503">
        <v>9</v>
      </c>
      <c r="I503">
        <v>0</v>
      </c>
      <c r="M503" t="s">
        <v>619</v>
      </c>
    </row>
    <row r="504" spans="1:13" ht="15" customHeight="1">
      <c r="A504" s="10">
        <v>46177</v>
      </c>
      <c r="B504" t="s">
        <v>201</v>
      </c>
      <c r="C504" t="s">
        <v>106</v>
      </c>
      <c r="D504">
        <v>1</v>
      </c>
      <c r="E504">
        <v>909</v>
      </c>
      <c r="I504">
        <v>1</v>
      </c>
      <c r="J504">
        <v>842</v>
      </c>
      <c r="M504" t="s">
        <v>620</v>
      </c>
    </row>
    <row r="505" spans="1:13" ht="15" customHeight="1">
      <c r="A505" s="10">
        <v>46177</v>
      </c>
      <c r="B505" t="s">
        <v>201</v>
      </c>
      <c r="C505" t="s">
        <v>108</v>
      </c>
      <c r="D505">
        <v>1</v>
      </c>
      <c r="E505">
        <v>979</v>
      </c>
      <c r="I505">
        <v>1</v>
      </c>
      <c r="J505">
        <v>941</v>
      </c>
      <c r="M505" t="s">
        <v>621</v>
      </c>
    </row>
    <row r="506" spans="1:13" ht="15" customHeight="1">
      <c r="A506" s="10">
        <v>46177</v>
      </c>
      <c r="B506" t="s">
        <v>201</v>
      </c>
      <c r="C506" t="s">
        <v>109</v>
      </c>
      <c r="D506">
        <v>1</v>
      </c>
      <c r="E506">
        <v>1099</v>
      </c>
      <c r="I506">
        <v>1</v>
      </c>
      <c r="J506">
        <v>770</v>
      </c>
      <c r="M506" t="s">
        <v>622</v>
      </c>
    </row>
    <row r="507" spans="1:13" ht="15" customHeight="1">
      <c r="A507" s="10">
        <v>46177</v>
      </c>
      <c r="B507" t="s">
        <v>201</v>
      </c>
      <c r="C507" t="s">
        <v>112</v>
      </c>
      <c r="D507">
        <v>2</v>
      </c>
      <c r="E507">
        <v>27</v>
      </c>
      <c r="I507">
        <v>2</v>
      </c>
      <c r="J507">
        <v>26</v>
      </c>
      <c r="M507" t="s">
        <v>623</v>
      </c>
    </row>
    <row r="508" spans="1:13" ht="15" customHeight="1">
      <c r="A508" s="10">
        <v>46177</v>
      </c>
      <c r="B508" t="s">
        <v>201</v>
      </c>
      <c r="C508" t="s">
        <v>114</v>
      </c>
      <c r="D508">
        <v>2</v>
      </c>
      <c r="E508">
        <v>39</v>
      </c>
      <c r="I508">
        <v>2</v>
      </c>
      <c r="J508">
        <v>28</v>
      </c>
      <c r="M508" t="s">
        <v>624</v>
      </c>
    </row>
    <row r="509" spans="1:13" ht="15" customHeight="1">
      <c r="A509" s="10">
        <v>46177</v>
      </c>
      <c r="B509" t="s">
        <v>201</v>
      </c>
      <c r="C509" t="s">
        <v>115</v>
      </c>
      <c r="D509">
        <v>0</v>
      </c>
      <c r="E509">
        <v>50</v>
      </c>
      <c r="J509">
        <v>50</v>
      </c>
      <c r="M509" t="s">
        <v>625</v>
      </c>
    </row>
    <row r="510" spans="1:13" ht="15" customHeight="1">
      <c r="A510" s="10">
        <v>46177</v>
      </c>
      <c r="B510" t="s">
        <v>201</v>
      </c>
      <c r="C510" t="s">
        <v>116</v>
      </c>
      <c r="D510">
        <v>3</v>
      </c>
      <c r="E510">
        <v>12</v>
      </c>
      <c r="I510">
        <v>3</v>
      </c>
      <c r="J510">
        <v>8</v>
      </c>
      <c r="M510" t="s">
        <v>626</v>
      </c>
    </row>
    <row r="511" spans="1:13" ht="15" customHeight="1">
      <c r="A511" s="10">
        <v>46177</v>
      </c>
      <c r="B511" t="s">
        <v>201</v>
      </c>
      <c r="C511" t="s">
        <v>119</v>
      </c>
      <c r="D511">
        <v>2</v>
      </c>
      <c r="E511">
        <v>0</v>
      </c>
      <c r="I511">
        <v>2</v>
      </c>
      <c r="M511" t="s">
        <v>627</v>
      </c>
    </row>
    <row r="512" spans="1:13" ht="15" customHeight="1">
      <c r="A512" s="10">
        <v>46177</v>
      </c>
      <c r="B512" t="s">
        <v>201</v>
      </c>
      <c r="C512" t="s">
        <v>120</v>
      </c>
      <c r="D512">
        <v>2</v>
      </c>
      <c r="E512">
        <v>0</v>
      </c>
      <c r="I512">
        <v>2</v>
      </c>
      <c r="M512" t="s">
        <v>628</v>
      </c>
    </row>
    <row r="513" spans="1:13" ht="15" customHeight="1">
      <c r="A513" s="10">
        <v>46177</v>
      </c>
      <c r="B513" t="s">
        <v>201</v>
      </c>
      <c r="C513" t="s">
        <v>121</v>
      </c>
      <c r="D513">
        <v>2</v>
      </c>
      <c r="E513">
        <v>0</v>
      </c>
      <c r="I513">
        <v>2</v>
      </c>
      <c r="M513" t="s">
        <v>629</v>
      </c>
    </row>
    <row r="514" spans="1:13" ht="15" customHeight="1">
      <c r="A514" s="10">
        <v>46177</v>
      </c>
      <c r="B514" t="s">
        <v>201</v>
      </c>
      <c r="C514" t="s">
        <v>123</v>
      </c>
      <c r="D514">
        <v>2</v>
      </c>
      <c r="E514">
        <v>0</v>
      </c>
      <c r="I514">
        <v>2</v>
      </c>
      <c r="M514" t="s">
        <v>630</v>
      </c>
    </row>
    <row r="515" spans="1:13" ht="15" customHeight="1">
      <c r="A515" s="10">
        <v>46177</v>
      </c>
      <c r="B515" t="s">
        <v>201</v>
      </c>
      <c r="C515" t="s">
        <v>124</v>
      </c>
      <c r="D515">
        <v>3</v>
      </c>
      <c r="E515">
        <v>0</v>
      </c>
      <c r="I515">
        <v>3</v>
      </c>
      <c r="M515" t="s">
        <v>631</v>
      </c>
    </row>
    <row r="516" spans="1:13" ht="15" customHeight="1">
      <c r="A516" s="10">
        <v>46177</v>
      </c>
      <c r="B516" t="s">
        <v>201</v>
      </c>
      <c r="C516" t="s">
        <v>125</v>
      </c>
      <c r="D516">
        <v>2</v>
      </c>
      <c r="E516">
        <v>0</v>
      </c>
      <c r="I516">
        <v>2</v>
      </c>
      <c r="M516" t="s">
        <v>632</v>
      </c>
    </row>
    <row r="517" spans="1:13" ht="15" customHeight="1">
      <c r="A517" s="10">
        <v>46177</v>
      </c>
      <c r="B517" t="s">
        <v>201</v>
      </c>
      <c r="C517" t="s">
        <v>126</v>
      </c>
      <c r="D517">
        <v>1</v>
      </c>
      <c r="E517">
        <v>0</v>
      </c>
      <c r="I517">
        <v>1</v>
      </c>
      <c r="M517" t="s">
        <v>633</v>
      </c>
    </row>
    <row r="518" spans="1:13" ht="15" customHeight="1">
      <c r="A518" s="10">
        <v>46177</v>
      </c>
      <c r="B518" t="s">
        <v>201</v>
      </c>
      <c r="C518" t="s">
        <v>128</v>
      </c>
      <c r="D518">
        <v>3</v>
      </c>
      <c r="E518">
        <v>0</v>
      </c>
      <c r="I518">
        <v>3</v>
      </c>
      <c r="M518" t="s">
        <v>634</v>
      </c>
    </row>
    <row r="519" spans="1:13" ht="15" customHeight="1">
      <c r="A519" s="10">
        <v>46177</v>
      </c>
      <c r="B519" t="s">
        <v>201</v>
      </c>
      <c r="C519" t="s">
        <v>130</v>
      </c>
      <c r="D519">
        <v>6</v>
      </c>
      <c r="E519">
        <v>0</v>
      </c>
      <c r="I519">
        <v>6</v>
      </c>
      <c r="M519" t="s">
        <v>635</v>
      </c>
    </row>
    <row r="520" spans="1:13" ht="15" customHeight="1">
      <c r="A520" s="10">
        <v>46177</v>
      </c>
      <c r="B520" t="s">
        <v>201</v>
      </c>
      <c r="C520" t="s">
        <v>285</v>
      </c>
      <c r="D520">
        <v>2</v>
      </c>
      <c r="E520">
        <v>0</v>
      </c>
      <c r="I520">
        <v>2</v>
      </c>
      <c r="M520" t="s">
        <v>636</v>
      </c>
    </row>
    <row r="521" spans="1:13" ht="15" customHeight="1">
      <c r="A521" s="10">
        <v>46177</v>
      </c>
      <c r="B521" t="s">
        <v>201</v>
      </c>
      <c r="C521" t="s">
        <v>287</v>
      </c>
      <c r="D521">
        <v>2</v>
      </c>
      <c r="E521">
        <v>0</v>
      </c>
      <c r="I521">
        <v>2</v>
      </c>
      <c r="M521" t="s">
        <v>637</v>
      </c>
    </row>
    <row r="522" spans="1:13" ht="15" customHeight="1">
      <c r="A522" s="10">
        <v>46177</v>
      </c>
      <c r="B522" t="s">
        <v>201</v>
      </c>
      <c r="C522" t="s">
        <v>289</v>
      </c>
      <c r="D522">
        <v>3</v>
      </c>
      <c r="E522">
        <v>0</v>
      </c>
      <c r="I522">
        <v>3</v>
      </c>
      <c r="M522" t="s">
        <v>638</v>
      </c>
    </row>
    <row r="523" spans="1:13" ht="15" customHeight="1">
      <c r="A523" s="10">
        <v>46177</v>
      </c>
      <c r="B523" t="s">
        <v>201</v>
      </c>
      <c r="C523" t="s">
        <v>291</v>
      </c>
      <c r="D523">
        <v>2</v>
      </c>
      <c r="E523">
        <v>0</v>
      </c>
      <c r="I523">
        <v>2</v>
      </c>
      <c r="M523" t="s">
        <v>639</v>
      </c>
    </row>
    <row r="524" spans="1:13" ht="15" customHeight="1">
      <c r="A524" s="10">
        <v>46177</v>
      </c>
      <c r="B524" t="s">
        <v>201</v>
      </c>
      <c r="C524" t="s">
        <v>293</v>
      </c>
      <c r="D524">
        <v>2</v>
      </c>
      <c r="E524">
        <v>0</v>
      </c>
      <c r="I524">
        <v>2</v>
      </c>
      <c r="M524" t="s">
        <v>640</v>
      </c>
    </row>
    <row r="525" spans="1:13" ht="15" customHeight="1">
      <c r="A525" s="10">
        <v>46177</v>
      </c>
      <c r="B525" t="s">
        <v>201</v>
      </c>
      <c r="C525" s="135" t="s">
        <v>138</v>
      </c>
      <c r="D525">
        <v>0</v>
      </c>
      <c r="E525">
        <v>25</v>
      </c>
      <c r="I525">
        <v>0</v>
      </c>
      <c r="J525">
        <v>14</v>
      </c>
      <c r="M525" t="s">
        <v>641</v>
      </c>
    </row>
    <row r="526" spans="1:13" ht="15" customHeight="1">
      <c r="A526" s="10">
        <v>46177</v>
      </c>
      <c r="B526" t="s">
        <v>201</v>
      </c>
      <c r="C526" s="135" t="s">
        <v>139</v>
      </c>
      <c r="D526">
        <v>0</v>
      </c>
      <c r="E526">
        <v>11</v>
      </c>
      <c r="I526">
        <v>0</v>
      </c>
      <c r="J526">
        <v>31</v>
      </c>
      <c r="M526" t="s">
        <v>642</v>
      </c>
    </row>
    <row r="527" spans="1:13" ht="15" customHeight="1">
      <c r="A527" s="10">
        <v>46177</v>
      </c>
      <c r="B527" t="s">
        <v>201</v>
      </c>
      <c r="C527" s="135" t="s">
        <v>140</v>
      </c>
      <c r="D527">
        <v>0</v>
      </c>
      <c r="E527">
        <v>36</v>
      </c>
      <c r="I527">
        <v>0</v>
      </c>
      <c r="J527">
        <v>37</v>
      </c>
      <c r="M527" t="s">
        <v>643</v>
      </c>
    </row>
    <row r="528" spans="1:13" ht="15" customHeight="1">
      <c r="A528" s="10">
        <v>46177</v>
      </c>
      <c r="B528" t="s">
        <v>201</v>
      </c>
      <c r="C528" s="135" t="s">
        <v>141</v>
      </c>
      <c r="D528">
        <v>1</v>
      </c>
      <c r="E528">
        <v>60</v>
      </c>
      <c r="I528">
        <v>0</v>
      </c>
      <c r="J528">
        <v>58</v>
      </c>
      <c r="M528" t="s">
        <v>644</v>
      </c>
    </row>
    <row r="529" spans="1:13" ht="15" customHeight="1">
      <c r="A529" s="10">
        <v>46177</v>
      </c>
      <c r="B529" t="s">
        <v>201</v>
      </c>
      <c r="C529" s="135" t="s">
        <v>143</v>
      </c>
      <c r="D529">
        <v>0</v>
      </c>
      <c r="E529">
        <v>46</v>
      </c>
      <c r="I529">
        <v>0</v>
      </c>
      <c r="J529">
        <v>28</v>
      </c>
      <c r="M529" t="s">
        <v>645</v>
      </c>
    </row>
    <row r="530" spans="1:13" ht="15" customHeight="1">
      <c r="A530" s="10">
        <v>46177</v>
      </c>
      <c r="B530" t="s">
        <v>201</v>
      </c>
      <c r="C530" s="135" t="s">
        <v>145</v>
      </c>
      <c r="D530">
        <v>0</v>
      </c>
      <c r="E530">
        <v>23</v>
      </c>
      <c r="I530">
        <v>0</v>
      </c>
      <c r="J530">
        <v>34</v>
      </c>
      <c r="M530" t="s">
        <v>646</v>
      </c>
    </row>
    <row r="531" spans="1:13" ht="15" customHeight="1">
      <c r="A531" s="10">
        <v>46177</v>
      </c>
      <c r="B531" t="s">
        <v>201</v>
      </c>
      <c r="C531" s="135" t="s">
        <v>147</v>
      </c>
      <c r="D531">
        <v>0</v>
      </c>
      <c r="E531">
        <v>38</v>
      </c>
      <c r="I531">
        <v>0</v>
      </c>
      <c r="J531">
        <v>36</v>
      </c>
      <c r="M531" t="s">
        <v>647</v>
      </c>
    </row>
    <row r="532" spans="1:13" ht="15" customHeight="1">
      <c r="A532" s="10">
        <v>46177</v>
      </c>
      <c r="B532" t="s">
        <v>201</v>
      </c>
      <c r="C532" t="s">
        <v>302</v>
      </c>
      <c r="D532">
        <v>0</v>
      </c>
      <c r="E532">
        <v>2</v>
      </c>
      <c r="I532">
        <v>2</v>
      </c>
      <c r="M532" t="s">
        <v>648</v>
      </c>
    </row>
    <row r="533" spans="1:13" ht="15" customHeight="1">
      <c r="A533" s="10">
        <v>46177</v>
      </c>
      <c r="B533" t="s">
        <v>201</v>
      </c>
      <c r="C533" t="s">
        <v>150</v>
      </c>
      <c r="D533">
        <v>2</v>
      </c>
      <c r="E533">
        <v>0</v>
      </c>
      <c r="I533">
        <v>2</v>
      </c>
      <c r="M533" t="s">
        <v>649</v>
      </c>
    </row>
    <row r="534" spans="1:13" ht="15" customHeight="1">
      <c r="A534" s="10">
        <v>46177</v>
      </c>
      <c r="B534" t="s">
        <v>201</v>
      </c>
      <c r="C534" t="s">
        <v>151</v>
      </c>
      <c r="D534">
        <v>2</v>
      </c>
      <c r="E534">
        <v>0</v>
      </c>
      <c r="I534">
        <v>2</v>
      </c>
      <c r="M534" t="s">
        <v>650</v>
      </c>
    </row>
    <row r="535" spans="1:13" ht="15" customHeight="1">
      <c r="A535" s="10">
        <v>46177</v>
      </c>
      <c r="B535" t="s">
        <v>201</v>
      </c>
      <c r="C535" t="s">
        <v>152</v>
      </c>
      <c r="D535">
        <v>2</v>
      </c>
      <c r="E535">
        <v>0</v>
      </c>
      <c r="I535">
        <v>2</v>
      </c>
      <c r="M535" t="s">
        <v>651</v>
      </c>
    </row>
    <row r="536" spans="1:13" ht="15" customHeight="1">
      <c r="A536" s="10">
        <v>46177</v>
      </c>
      <c r="B536" t="s">
        <v>201</v>
      </c>
      <c r="C536" t="s">
        <v>153</v>
      </c>
      <c r="D536">
        <v>2</v>
      </c>
      <c r="E536">
        <v>0</v>
      </c>
      <c r="I536">
        <v>2</v>
      </c>
      <c r="M536" t="s">
        <v>652</v>
      </c>
    </row>
    <row r="537" spans="1:13" ht="15" customHeight="1">
      <c r="A537" s="10">
        <v>46177</v>
      </c>
      <c r="B537" t="s">
        <v>201</v>
      </c>
      <c r="C537" t="s">
        <v>308</v>
      </c>
      <c r="D537">
        <v>4</v>
      </c>
      <c r="E537">
        <v>0</v>
      </c>
      <c r="I537">
        <v>0</v>
      </c>
      <c r="M537" t="s">
        <v>653</v>
      </c>
    </row>
    <row r="538" spans="1:13" ht="15" customHeight="1">
      <c r="A538" s="10">
        <v>46177</v>
      </c>
      <c r="B538" t="s">
        <v>201</v>
      </c>
      <c r="C538" t="s">
        <v>310</v>
      </c>
      <c r="D538">
        <v>2</v>
      </c>
      <c r="E538">
        <v>0</v>
      </c>
      <c r="I538">
        <v>0</v>
      </c>
      <c r="M538" t="s">
        <v>654</v>
      </c>
    </row>
    <row r="539" spans="1:13" ht="15" customHeight="1">
      <c r="A539" s="10">
        <v>46177</v>
      </c>
      <c r="B539" t="s">
        <v>201</v>
      </c>
      <c r="C539" t="s">
        <v>312</v>
      </c>
      <c r="D539">
        <v>4</v>
      </c>
      <c r="E539">
        <v>0</v>
      </c>
      <c r="I539">
        <v>0</v>
      </c>
      <c r="M539" t="s">
        <v>655</v>
      </c>
    </row>
    <row r="540" spans="1:13" ht="15" customHeight="1">
      <c r="A540" s="10">
        <v>46177</v>
      </c>
      <c r="B540" t="s">
        <v>201</v>
      </c>
      <c r="C540" t="s">
        <v>314</v>
      </c>
      <c r="D540">
        <v>1</v>
      </c>
      <c r="E540">
        <v>0</v>
      </c>
      <c r="I540">
        <v>1</v>
      </c>
      <c r="M540" t="s">
        <v>656</v>
      </c>
    </row>
    <row r="541" spans="1:13" ht="15" customHeight="1">
      <c r="A541" s="10">
        <v>46177</v>
      </c>
      <c r="B541" t="s">
        <v>201</v>
      </c>
      <c r="C541" t="s">
        <v>316</v>
      </c>
      <c r="D541">
        <v>1</v>
      </c>
      <c r="E541">
        <v>0</v>
      </c>
      <c r="I541">
        <v>1</v>
      </c>
      <c r="M541" t="s">
        <v>657</v>
      </c>
    </row>
    <row r="542" spans="1:13" ht="15" customHeight="1">
      <c r="A542" s="10">
        <v>46177</v>
      </c>
      <c r="B542" t="s">
        <v>201</v>
      </c>
      <c r="C542" t="s">
        <v>318</v>
      </c>
      <c r="D542">
        <v>2</v>
      </c>
      <c r="E542">
        <v>0</v>
      </c>
      <c r="I542">
        <v>2</v>
      </c>
      <c r="M542" t="s">
        <v>658</v>
      </c>
    </row>
    <row r="543" spans="1:13" ht="15" customHeight="1">
      <c r="A543" s="10">
        <v>46177</v>
      </c>
      <c r="B543" t="s">
        <v>201</v>
      </c>
      <c r="C543" t="s">
        <v>320</v>
      </c>
      <c r="D543">
        <v>2</v>
      </c>
      <c r="E543">
        <v>0</v>
      </c>
      <c r="I543">
        <v>2</v>
      </c>
      <c r="M543" t="s">
        <v>659</v>
      </c>
    </row>
    <row r="544" spans="1:13" ht="15" customHeight="1">
      <c r="A544" s="10">
        <v>46177</v>
      </c>
      <c r="B544" t="s">
        <v>201</v>
      </c>
      <c r="C544" t="s">
        <v>322</v>
      </c>
      <c r="D544">
        <v>2</v>
      </c>
      <c r="E544">
        <v>0</v>
      </c>
      <c r="I544">
        <v>2</v>
      </c>
      <c r="M544" t="s">
        <v>660</v>
      </c>
    </row>
    <row r="545" spans="1:13" ht="15" customHeight="1">
      <c r="A545" s="10">
        <v>46177</v>
      </c>
      <c r="B545" t="s">
        <v>201</v>
      </c>
      <c r="C545" s="135" t="s">
        <v>168</v>
      </c>
      <c r="D545">
        <v>1</v>
      </c>
      <c r="E545">
        <v>0</v>
      </c>
      <c r="I545">
        <v>1</v>
      </c>
      <c r="M545" t="s">
        <v>661</v>
      </c>
    </row>
    <row r="546" spans="1:13" ht="15" customHeight="1">
      <c r="A546" s="10">
        <v>46177</v>
      </c>
      <c r="B546" t="s">
        <v>201</v>
      </c>
      <c r="C546" s="135" t="s">
        <v>170</v>
      </c>
      <c r="D546">
        <v>1</v>
      </c>
      <c r="E546">
        <v>0</v>
      </c>
      <c r="I546">
        <v>1</v>
      </c>
      <c r="M546" t="s">
        <v>662</v>
      </c>
    </row>
    <row r="547" spans="1:13" ht="15" customHeight="1">
      <c r="A547" s="10">
        <v>46177</v>
      </c>
      <c r="B547" t="s">
        <v>201</v>
      </c>
      <c r="C547" s="135" t="s">
        <v>171</v>
      </c>
      <c r="D547">
        <v>3</v>
      </c>
      <c r="E547">
        <v>0</v>
      </c>
      <c r="I547">
        <v>3</v>
      </c>
      <c r="M547" t="s">
        <v>663</v>
      </c>
    </row>
    <row r="548" spans="1:13" ht="15" customHeight="1">
      <c r="A548" s="10">
        <v>46177</v>
      </c>
      <c r="B548" t="s">
        <v>201</v>
      </c>
      <c r="C548" s="135" t="s">
        <v>172</v>
      </c>
      <c r="D548">
        <v>1</v>
      </c>
      <c r="E548">
        <v>0</v>
      </c>
      <c r="I548">
        <v>1</v>
      </c>
      <c r="M548" t="s">
        <v>664</v>
      </c>
    </row>
    <row r="549" spans="1:13" ht="15" customHeight="1">
      <c r="A549" s="10">
        <v>46177</v>
      </c>
      <c r="B549" t="s">
        <v>201</v>
      </c>
      <c r="C549" s="135" t="s">
        <v>173</v>
      </c>
      <c r="D549">
        <v>1</v>
      </c>
      <c r="E549">
        <v>0</v>
      </c>
      <c r="I549">
        <v>1</v>
      </c>
      <c r="M549" t="s">
        <v>665</v>
      </c>
    </row>
    <row r="550" spans="1:13" ht="15" customHeight="1">
      <c r="A550" s="10">
        <v>46177</v>
      </c>
      <c r="B550" t="s">
        <v>201</v>
      </c>
      <c r="C550" t="s">
        <v>176</v>
      </c>
      <c r="D550">
        <v>22</v>
      </c>
      <c r="E550">
        <v>0</v>
      </c>
      <c r="I550">
        <v>0</v>
      </c>
      <c r="M550" t="s">
        <v>666</v>
      </c>
    </row>
    <row r="551" spans="1:13" ht="15" customHeight="1">
      <c r="A551" s="10">
        <v>46177</v>
      </c>
      <c r="B551" t="s">
        <v>201</v>
      </c>
      <c r="C551" t="s">
        <v>178</v>
      </c>
      <c r="D551">
        <v>18</v>
      </c>
      <c r="E551">
        <v>0</v>
      </c>
      <c r="I551">
        <v>0</v>
      </c>
      <c r="M551" t="s">
        <v>667</v>
      </c>
    </row>
    <row r="552" spans="1:13" ht="15" customHeight="1">
      <c r="A552" s="10">
        <v>46177</v>
      </c>
      <c r="B552" t="s">
        <v>201</v>
      </c>
      <c r="C552" t="s">
        <v>179</v>
      </c>
      <c r="D552">
        <v>20</v>
      </c>
      <c r="E552">
        <v>0</v>
      </c>
      <c r="I552">
        <v>0</v>
      </c>
      <c r="M552" t="s">
        <v>668</v>
      </c>
    </row>
    <row r="553" spans="1:13" ht="15" customHeight="1">
      <c r="A553" s="10">
        <v>46177</v>
      </c>
      <c r="B553" t="s">
        <v>201</v>
      </c>
      <c r="C553" t="s">
        <v>180</v>
      </c>
      <c r="D553">
        <v>20</v>
      </c>
      <c r="E553">
        <v>0</v>
      </c>
      <c r="I553">
        <v>0</v>
      </c>
      <c r="M553" t="s">
        <v>669</v>
      </c>
    </row>
    <row r="554" spans="1:13" ht="15" customHeight="1">
      <c r="A554" s="10">
        <v>46177</v>
      </c>
      <c r="B554" t="s">
        <v>201</v>
      </c>
      <c r="C554" s="135" t="s">
        <v>182</v>
      </c>
      <c r="D554">
        <v>158</v>
      </c>
      <c r="E554">
        <v>0</v>
      </c>
      <c r="I554">
        <v>1</v>
      </c>
      <c r="J554">
        <v>158</v>
      </c>
      <c r="M554" t="s">
        <v>670</v>
      </c>
    </row>
    <row r="555" spans="1:13" ht="15" customHeight="1">
      <c r="A555" s="10">
        <v>46177</v>
      </c>
      <c r="B555" t="s">
        <v>201</v>
      </c>
      <c r="C555" s="135" t="s">
        <v>184</v>
      </c>
      <c r="D555">
        <v>67</v>
      </c>
      <c r="E555">
        <v>0</v>
      </c>
      <c r="J555">
        <v>67</v>
      </c>
      <c r="M555" t="s">
        <v>671</v>
      </c>
    </row>
    <row r="556" spans="1:13" ht="15" customHeight="1">
      <c r="A556" s="10">
        <v>46177</v>
      </c>
      <c r="B556" t="s">
        <v>201</v>
      </c>
      <c r="C556" s="135" t="s">
        <v>185</v>
      </c>
      <c r="D556">
        <v>44</v>
      </c>
      <c r="E556">
        <v>0</v>
      </c>
      <c r="I556">
        <v>1</v>
      </c>
      <c r="J556">
        <v>44</v>
      </c>
      <c r="M556" t="s">
        <v>672</v>
      </c>
    </row>
    <row r="557" spans="1:13" ht="15" customHeight="1">
      <c r="A557" s="10">
        <v>46177</v>
      </c>
      <c r="B557" t="s">
        <v>201</v>
      </c>
      <c r="C557" s="135" t="s">
        <v>186</v>
      </c>
      <c r="D557">
        <v>650</v>
      </c>
      <c r="E557">
        <v>0</v>
      </c>
      <c r="I557">
        <v>1</v>
      </c>
      <c r="J557">
        <v>650</v>
      </c>
      <c r="M557" t="s">
        <v>673</v>
      </c>
    </row>
    <row r="558" spans="1:13" ht="15" customHeight="1">
      <c r="A558" s="10">
        <v>46177</v>
      </c>
      <c r="B558" t="s">
        <v>201</v>
      </c>
      <c r="C558" t="s">
        <v>337</v>
      </c>
      <c r="D558">
        <v>144</v>
      </c>
      <c r="E558">
        <v>0</v>
      </c>
      <c r="I558">
        <v>2</v>
      </c>
      <c r="J558">
        <v>66</v>
      </c>
      <c r="M558" t="s">
        <v>674</v>
      </c>
    </row>
    <row r="559" spans="1:13" ht="15" customHeight="1">
      <c r="A559" s="10">
        <v>46177</v>
      </c>
      <c r="B559" t="s">
        <v>201</v>
      </c>
      <c r="C559" t="s">
        <v>339</v>
      </c>
      <c r="D559">
        <v>0</v>
      </c>
      <c r="E559">
        <v>0</v>
      </c>
      <c r="M559" t="s">
        <v>675</v>
      </c>
    </row>
    <row r="560" spans="1:13" ht="15" customHeight="1">
      <c r="A560" s="10">
        <v>46177</v>
      </c>
      <c r="B560" t="s">
        <v>201</v>
      </c>
      <c r="C560" s="135" t="s">
        <v>191</v>
      </c>
      <c r="D560">
        <v>316</v>
      </c>
      <c r="E560">
        <v>0</v>
      </c>
      <c r="I560">
        <v>1</v>
      </c>
      <c r="J560">
        <v>316</v>
      </c>
      <c r="M560" t="s">
        <v>676</v>
      </c>
    </row>
    <row r="561" spans="1:13" ht="15" customHeight="1">
      <c r="A561" s="10">
        <v>46177</v>
      </c>
      <c r="B561" t="s">
        <v>201</v>
      </c>
      <c r="C561" s="135" t="s">
        <v>193</v>
      </c>
      <c r="D561">
        <v>168</v>
      </c>
      <c r="E561">
        <v>0</v>
      </c>
      <c r="I561">
        <v>1</v>
      </c>
      <c r="J561">
        <v>168</v>
      </c>
      <c r="M561" t="s">
        <v>677</v>
      </c>
    </row>
    <row r="562" spans="1:13" ht="15" customHeight="1">
      <c r="A562" s="10">
        <v>46177</v>
      </c>
      <c r="B562" t="s">
        <v>201</v>
      </c>
      <c r="C562" s="135" t="s">
        <v>194</v>
      </c>
      <c r="D562">
        <v>19</v>
      </c>
      <c r="E562">
        <v>0</v>
      </c>
      <c r="I562">
        <v>1</v>
      </c>
      <c r="J562">
        <v>9</v>
      </c>
      <c r="M562" t="s">
        <v>678</v>
      </c>
    </row>
    <row r="563" spans="1:13" ht="15" customHeight="1">
      <c r="A563" s="10">
        <v>46177</v>
      </c>
      <c r="B563" t="s">
        <v>201</v>
      </c>
      <c r="C563" s="135" t="s">
        <v>196</v>
      </c>
      <c r="D563">
        <v>815</v>
      </c>
      <c r="E563">
        <v>0</v>
      </c>
      <c r="J563">
        <v>815</v>
      </c>
      <c r="M563" t="s">
        <v>679</v>
      </c>
    </row>
    <row r="564" spans="1:13" ht="15" customHeight="1">
      <c r="A564" s="10">
        <v>46177</v>
      </c>
      <c r="B564" t="s">
        <v>201</v>
      </c>
      <c r="C564" s="135" t="s">
        <v>199</v>
      </c>
      <c r="D564">
        <v>226</v>
      </c>
      <c r="E564">
        <v>0</v>
      </c>
      <c r="J564">
        <v>223</v>
      </c>
      <c r="M564" t="s">
        <v>680</v>
      </c>
    </row>
    <row r="565" spans="1:13" ht="15" customHeight="1">
      <c r="A565" s="10">
        <v>46177</v>
      </c>
      <c r="B565" t="s">
        <v>201</v>
      </c>
      <c r="C565" s="135" t="s">
        <v>200</v>
      </c>
      <c r="D565">
        <v>646</v>
      </c>
      <c r="E565">
        <v>0</v>
      </c>
      <c r="J565">
        <v>617</v>
      </c>
      <c r="M565" t="s">
        <v>681</v>
      </c>
    </row>
    <row r="566" spans="1:13" ht="15" customHeight="1">
      <c r="A566" s="10">
        <v>46177</v>
      </c>
      <c r="B566" t="s">
        <v>201</v>
      </c>
      <c r="C566" s="135" t="s">
        <v>202</v>
      </c>
      <c r="D566">
        <v>489</v>
      </c>
      <c r="E566">
        <v>0</v>
      </c>
      <c r="J566">
        <v>463</v>
      </c>
      <c r="M566" t="s">
        <v>682</v>
      </c>
    </row>
    <row r="567" spans="1:13" ht="15" customHeight="1">
      <c r="A567" s="10">
        <v>46202</v>
      </c>
      <c r="B567" t="s">
        <v>201</v>
      </c>
      <c r="C567" t="s">
        <v>23</v>
      </c>
      <c r="F567">
        <v>0</v>
      </c>
      <c r="G567">
        <v>0</v>
      </c>
      <c r="H567">
        <v>0</v>
      </c>
      <c r="I567">
        <v>5</v>
      </c>
      <c r="J567">
        <v>1237</v>
      </c>
      <c r="K567">
        <v>0</v>
      </c>
      <c r="L567">
        <v>0</v>
      </c>
      <c r="M567" t="s">
        <v>683</v>
      </c>
    </row>
    <row r="568" spans="1:13" ht="15" customHeight="1">
      <c r="A568" s="10">
        <v>46202</v>
      </c>
      <c r="B568" t="s">
        <v>201</v>
      </c>
      <c r="C568" t="s">
        <v>26</v>
      </c>
      <c r="F568">
        <v>0</v>
      </c>
      <c r="G568">
        <v>0</v>
      </c>
      <c r="H568">
        <v>0</v>
      </c>
      <c r="I568">
        <v>1</v>
      </c>
      <c r="J568">
        <v>1044</v>
      </c>
      <c r="K568">
        <v>0</v>
      </c>
      <c r="L568">
        <v>0</v>
      </c>
      <c r="M568" t="s">
        <v>684</v>
      </c>
    </row>
    <row r="569" spans="1:13" ht="15" customHeight="1">
      <c r="A569" s="10">
        <v>46202</v>
      </c>
      <c r="B569" t="s">
        <v>201</v>
      </c>
      <c r="C569" t="s">
        <v>27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 t="s">
        <v>685</v>
      </c>
    </row>
    <row r="570" spans="1:13" ht="15" customHeight="1">
      <c r="A570" s="10">
        <v>46202</v>
      </c>
      <c r="B570" t="s">
        <v>201</v>
      </c>
      <c r="C570" t="s">
        <v>28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686</v>
      </c>
    </row>
    <row r="571" spans="1:13" ht="15" customHeight="1">
      <c r="A571" s="10">
        <v>46202</v>
      </c>
      <c r="B571" t="s">
        <v>201</v>
      </c>
      <c r="C571" t="s">
        <v>29</v>
      </c>
      <c r="F571">
        <v>0</v>
      </c>
      <c r="G571">
        <v>0</v>
      </c>
      <c r="H571">
        <v>0</v>
      </c>
      <c r="I571">
        <v>1</v>
      </c>
      <c r="J571">
        <v>833</v>
      </c>
      <c r="K571">
        <v>0</v>
      </c>
      <c r="L571">
        <v>0</v>
      </c>
      <c r="M571" t="s">
        <v>687</v>
      </c>
    </row>
    <row r="572" spans="1:13" ht="15" customHeight="1">
      <c r="A572" s="10">
        <v>46202</v>
      </c>
      <c r="B572" t="s">
        <v>201</v>
      </c>
      <c r="C572" t="s">
        <v>30</v>
      </c>
      <c r="F572">
        <v>0</v>
      </c>
      <c r="G572">
        <v>0</v>
      </c>
      <c r="H572">
        <v>0</v>
      </c>
      <c r="I572">
        <v>0</v>
      </c>
      <c r="J572">
        <v>1018</v>
      </c>
      <c r="K572">
        <v>0</v>
      </c>
      <c r="L572">
        <v>0</v>
      </c>
      <c r="M572" t="s">
        <v>688</v>
      </c>
    </row>
    <row r="573" spans="1:13" ht="15" customHeight="1">
      <c r="A573" s="10">
        <v>46202</v>
      </c>
      <c r="B573" t="s">
        <v>201</v>
      </c>
      <c r="C573" t="s">
        <v>31</v>
      </c>
      <c r="F573">
        <v>0</v>
      </c>
      <c r="G573">
        <v>0</v>
      </c>
      <c r="H573">
        <v>0</v>
      </c>
      <c r="I573">
        <v>1</v>
      </c>
      <c r="J573">
        <v>1011</v>
      </c>
      <c r="K573">
        <v>0</v>
      </c>
      <c r="L573">
        <v>0</v>
      </c>
      <c r="M573" t="s">
        <v>689</v>
      </c>
    </row>
    <row r="574" spans="1:13" ht="15" customHeight="1">
      <c r="A574" s="10">
        <v>46202</v>
      </c>
      <c r="B574" t="s">
        <v>201</v>
      </c>
      <c r="C574" t="s">
        <v>32</v>
      </c>
      <c r="F574">
        <v>0</v>
      </c>
      <c r="G574">
        <v>0</v>
      </c>
      <c r="H574">
        <v>0</v>
      </c>
      <c r="I574">
        <v>1</v>
      </c>
      <c r="J574">
        <v>100</v>
      </c>
      <c r="K574">
        <v>0</v>
      </c>
      <c r="L574">
        <v>0</v>
      </c>
      <c r="M574" t="s">
        <v>690</v>
      </c>
    </row>
    <row r="575" spans="1:13" ht="15" customHeight="1">
      <c r="A575" s="10">
        <v>46202</v>
      </c>
      <c r="B575" t="s">
        <v>201</v>
      </c>
      <c r="C575" t="s">
        <v>223</v>
      </c>
      <c r="F575">
        <v>0</v>
      </c>
      <c r="G575">
        <v>0</v>
      </c>
      <c r="H575">
        <v>0</v>
      </c>
      <c r="I575">
        <v>5</v>
      </c>
      <c r="J575">
        <v>283</v>
      </c>
      <c r="K575">
        <v>0</v>
      </c>
      <c r="L575">
        <v>0</v>
      </c>
      <c r="M575" t="s">
        <v>691</v>
      </c>
    </row>
    <row r="576" spans="1:13" ht="15" customHeight="1">
      <c r="A576" s="10">
        <v>46202</v>
      </c>
      <c r="B576" t="s">
        <v>201</v>
      </c>
      <c r="C576" t="s">
        <v>35</v>
      </c>
      <c r="F576">
        <v>0</v>
      </c>
      <c r="G576">
        <v>0</v>
      </c>
      <c r="H576">
        <v>2</v>
      </c>
      <c r="I576">
        <v>8</v>
      </c>
      <c r="J576">
        <v>0</v>
      </c>
      <c r="K576">
        <v>0</v>
      </c>
      <c r="L576">
        <v>0</v>
      </c>
      <c r="M576" t="s">
        <v>692</v>
      </c>
    </row>
    <row r="577" spans="1:13" ht="15" customHeight="1">
      <c r="A577" s="10">
        <v>46202</v>
      </c>
      <c r="B577" t="s">
        <v>201</v>
      </c>
      <c r="C577" t="s">
        <v>37</v>
      </c>
      <c r="F577">
        <v>0</v>
      </c>
      <c r="G577">
        <v>0</v>
      </c>
      <c r="H577">
        <v>0</v>
      </c>
      <c r="I577">
        <v>2</v>
      </c>
      <c r="J577">
        <v>0</v>
      </c>
      <c r="K577">
        <v>0</v>
      </c>
      <c r="L577">
        <v>0</v>
      </c>
      <c r="M577" t="s">
        <v>693</v>
      </c>
    </row>
    <row r="578" spans="1:13" ht="15" customHeight="1">
      <c r="A578" s="10">
        <v>46202</v>
      </c>
      <c r="B578" t="s">
        <v>201</v>
      </c>
      <c r="C578" t="s">
        <v>39</v>
      </c>
      <c r="F578">
        <v>0</v>
      </c>
      <c r="G578">
        <v>0</v>
      </c>
      <c r="H578">
        <v>2</v>
      </c>
      <c r="I578">
        <v>17</v>
      </c>
      <c r="J578">
        <v>0</v>
      </c>
      <c r="K578">
        <v>0</v>
      </c>
      <c r="L578">
        <v>0</v>
      </c>
      <c r="M578" t="s">
        <v>694</v>
      </c>
    </row>
    <row r="579" spans="1:13" ht="15" customHeight="1">
      <c r="A579" s="10">
        <v>46202</v>
      </c>
      <c r="B579" t="s">
        <v>201</v>
      </c>
      <c r="C579" t="s">
        <v>41</v>
      </c>
      <c r="F579">
        <v>0</v>
      </c>
      <c r="G579">
        <v>0</v>
      </c>
      <c r="H579">
        <v>0</v>
      </c>
      <c r="I579">
        <v>13</v>
      </c>
      <c r="J579">
        <v>0</v>
      </c>
      <c r="K579">
        <v>0</v>
      </c>
      <c r="L579">
        <v>0</v>
      </c>
      <c r="M579" t="s">
        <v>695</v>
      </c>
    </row>
    <row r="580" spans="1:13" ht="15" customHeight="1">
      <c r="A580" s="10">
        <v>46202</v>
      </c>
      <c r="B580" t="s">
        <v>201</v>
      </c>
      <c r="C580" s="135" t="s">
        <v>44</v>
      </c>
      <c r="F580">
        <v>0</v>
      </c>
      <c r="G580">
        <v>0</v>
      </c>
      <c r="H580">
        <v>0</v>
      </c>
      <c r="I580">
        <v>2</v>
      </c>
      <c r="J580">
        <v>6659</v>
      </c>
      <c r="K580">
        <v>0</v>
      </c>
      <c r="L580">
        <v>0</v>
      </c>
      <c r="M580" t="s">
        <v>696</v>
      </c>
    </row>
    <row r="581" spans="1:13" ht="15" customHeight="1">
      <c r="A581" s="10">
        <v>46202</v>
      </c>
      <c r="B581" t="s">
        <v>201</v>
      </c>
      <c r="C581" t="s">
        <v>230</v>
      </c>
      <c r="F581">
        <v>0</v>
      </c>
      <c r="G581">
        <v>0</v>
      </c>
      <c r="H581">
        <v>0</v>
      </c>
      <c r="I581">
        <v>1</v>
      </c>
      <c r="J581">
        <v>464</v>
      </c>
      <c r="K581">
        <v>0</v>
      </c>
      <c r="L581">
        <v>0</v>
      </c>
      <c r="M581" t="s">
        <v>697</v>
      </c>
    </row>
    <row r="582" spans="1:13" ht="15" customHeight="1">
      <c r="A582" s="10">
        <v>46202</v>
      </c>
      <c r="B582" t="s">
        <v>201</v>
      </c>
      <c r="C582" t="s">
        <v>232</v>
      </c>
      <c r="F582">
        <v>0</v>
      </c>
      <c r="G582">
        <v>0</v>
      </c>
      <c r="H582">
        <v>0</v>
      </c>
      <c r="I582">
        <v>5</v>
      </c>
      <c r="J582">
        <v>0</v>
      </c>
      <c r="K582">
        <v>0</v>
      </c>
      <c r="L582">
        <v>0</v>
      </c>
      <c r="M582" t="s">
        <v>698</v>
      </c>
    </row>
    <row r="583" spans="1:13" ht="15" customHeight="1">
      <c r="A583" s="10">
        <v>46202</v>
      </c>
      <c r="B583" t="s">
        <v>201</v>
      </c>
      <c r="C583" t="s">
        <v>234</v>
      </c>
      <c r="F583">
        <v>0</v>
      </c>
      <c r="G583">
        <v>0</v>
      </c>
      <c r="H583">
        <v>3</v>
      </c>
      <c r="I583">
        <v>53</v>
      </c>
      <c r="J583">
        <v>0</v>
      </c>
      <c r="K583">
        <v>0</v>
      </c>
      <c r="L583">
        <v>0</v>
      </c>
      <c r="M583" t="s">
        <v>699</v>
      </c>
    </row>
    <row r="584" spans="1:13" ht="15" customHeight="1">
      <c r="A584" s="10">
        <v>46202</v>
      </c>
      <c r="B584" t="s">
        <v>201</v>
      </c>
      <c r="C584" t="s">
        <v>237</v>
      </c>
      <c r="F584">
        <v>0</v>
      </c>
      <c r="G584">
        <v>0</v>
      </c>
      <c r="H584">
        <v>0</v>
      </c>
      <c r="I584">
        <v>13</v>
      </c>
      <c r="J584">
        <v>0</v>
      </c>
      <c r="K584">
        <v>0</v>
      </c>
      <c r="L584">
        <v>0</v>
      </c>
      <c r="M584" t="s">
        <v>700</v>
      </c>
    </row>
    <row r="585" spans="1:13" ht="15" customHeight="1">
      <c r="A585" s="10">
        <v>46202</v>
      </c>
      <c r="B585" t="s">
        <v>201</v>
      </c>
      <c r="C585" s="135" t="s">
        <v>58</v>
      </c>
      <c r="F585">
        <v>0</v>
      </c>
      <c r="G585">
        <v>0</v>
      </c>
      <c r="H585">
        <v>6</v>
      </c>
      <c r="I585">
        <v>6</v>
      </c>
      <c r="J585">
        <v>0</v>
      </c>
      <c r="K585">
        <v>0</v>
      </c>
      <c r="L585">
        <v>0</v>
      </c>
      <c r="M585" t="s">
        <v>701</v>
      </c>
    </row>
    <row r="586" spans="1:13" ht="15" customHeight="1">
      <c r="A586" s="10">
        <v>46202</v>
      </c>
      <c r="B586" t="s">
        <v>201</v>
      </c>
      <c r="C586" s="135" t="s">
        <v>60</v>
      </c>
      <c r="F586">
        <v>0</v>
      </c>
      <c r="G586">
        <v>0</v>
      </c>
      <c r="H586">
        <v>6</v>
      </c>
      <c r="I586">
        <v>8</v>
      </c>
      <c r="J586">
        <v>0</v>
      </c>
      <c r="K586">
        <v>0</v>
      </c>
      <c r="L586">
        <v>0</v>
      </c>
      <c r="M586" t="s">
        <v>702</v>
      </c>
    </row>
    <row r="587" spans="1:13" ht="15" customHeight="1">
      <c r="A587" s="10">
        <v>46202</v>
      </c>
      <c r="B587" t="s">
        <v>201</v>
      </c>
      <c r="C587" s="135" t="s">
        <v>61</v>
      </c>
      <c r="F587">
        <v>0</v>
      </c>
      <c r="G587">
        <v>0</v>
      </c>
      <c r="H587">
        <v>3</v>
      </c>
      <c r="I587">
        <v>1</v>
      </c>
      <c r="J587">
        <v>0</v>
      </c>
      <c r="K587">
        <v>0</v>
      </c>
      <c r="L587">
        <v>0</v>
      </c>
      <c r="M587" t="s">
        <v>703</v>
      </c>
    </row>
    <row r="588" spans="1:13" ht="15" customHeight="1">
      <c r="A588" s="10">
        <v>46202</v>
      </c>
      <c r="B588" t="s">
        <v>201</v>
      </c>
      <c r="C588" s="135" t="s">
        <v>62</v>
      </c>
      <c r="F588">
        <v>0</v>
      </c>
      <c r="G588">
        <v>0</v>
      </c>
      <c r="H588">
        <v>0</v>
      </c>
      <c r="I588">
        <v>13</v>
      </c>
      <c r="J588">
        <v>0</v>
      </c>
      <c r="K588">
        <v>0</v>
      </c>
      <c r="L588">
        <v>0</v>
      </c>
      <c r="M588" t="s">
        <v>704</v>
      </c>
    </row>
    <row r="589" spans="1:13" ht="15" customHeight="1">
      <c r="A589" s="10">
        <v>46202</v>
      </c>
      <c r="B589" t="s">
        <v>201</v>
      </c>
      <c r="C589" s="135" t="s">
        <v>63</v>
      </c>
      <c r="F589">
        <v>0</v>
      </c>
      <c r="G589">
        <v>0</v>
      </c>
      <c r="H589">
        <v>10</v>
      </c>
      <c r="I589">
        <v>5</v>
      </c>
      <c r="J589">
        <v>0</v>
      </c>
      <c r="K589">
        <v>0</v>
      </c>
      <c r="L589">
        <v>0</v>
      </c>
      <c r="M589" t="s">
        <v>705</v>
      </c>
    </row>
    <row r="590" spans="1:13" ht="15" customHeight="1">
      <c r="A590" s="10">
        <v>46202</v>
      </c>
      <c r="B590" t="s">
        <v>201</v>
      </c>
      <c r="C590" s="135" t="s">
        <v>64</v>
      </c>
      <c r="F590">
        <v>0</v>
      </c>
      <c r="G590">
        <v>0</v>
      </c>
      <c r="H590">
        <v>0</v>
      </c>
      <c r="I590">
        <v>12</v>
      </c>
      <c r="J590">
        <v>0</v>
      </c>
      <c r="K590">
        <v>0</v>
      </c>
      <c r="L590">
        <v>0</v>
      </c>
      <c r="M590" t="s">
        <v>706</v>
      </c>
    </row>
    <row r="591" spans="1:13" ht="15" customHeight="1">
      <c r="A591" s="10">
        <v>46202</v>
      </c>
      <c r="B591" t="s">
        <v>201</v>
      </c>
      <c r="C591" t="s">
        <v>66</v>
      </c>
      <c r="F591">
        <v>0</v>
      </c>
      <c r="G591">
        <v>0</v>
      </c>
      <c r="H591">
        <v>0</v>
      </c>
      <c r="I591">
        <v>5</v>
      </c>
      <c r="J591">
        <v>0</v>
      </c>
      <c r="K591">
        <v>0</v>
      </c>
      <c r="L591">
        <v>0</v>
      </c>
      <c r="M591" t="s">
        <v>707</v>
      </c>
    </row>
    <row r="592" spans="1:13" ht="15" customHeight="1">
      <c r="A592" s="10">
        <v>46202</v>
      </c>
      <c r="B592" t="s">
        <v>201</v>
      </c>
      <c r="C592" t="s">
        <v>67</v>
      </c>
      <c r="F592">
        <v>0</v>
      </c>
      <c r="G592">
        <v>0</v>
      </c>
      <c r="H592">
        <v>0</v>
      </c>
      <c r="I592">
        <v>5</v>
      </c>
      <c r="J592">
        <v>0</v>
      </c>
      <c r="K592">
        <v>0</v>
      </c>
      <c r="L592">
        <v>0</v>
      </c>
      <c r="M592" t="s">
        <v>708</v>
      </c>
    </row>
    <row r="593" spans="1:13" ht="15" customHeight="1">
      <c r="A593" s="10">
        <v>46202</v>
      </c>
      <c r="B593" t="s">
        <v>201</v>
      </c>
      <c r="C593" t="s">
        <v>68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 t="s">
        <v>709</v>
      </c>
    </row>
    <row r="594" spans="1:13" ht="15" customHeight="1">
      <c r="A594" s="10">
        <v>46202</v>
      </c>
      <c r="B594" t="s">
        <v>201</v>
      </c>
      <c r="C594" t="s">
        <v>71</v>
      </c>
      <c r="F594">
        <v>0</v>
      </c>
      <c r="G594">
        <v>0</v>
      </c>
      <c r="H594">
        <v>0</v>
      </c>
      <c r="I594">
        <v>1</v>
      </c>
      <c r="J594">
        <v>110</v>
      </c>
      <c r="K594">
        <v>0</v>
      </c>
      <c r="L594">
        <v>0</v>
      </c>
      <c r="M594" t="s">
        <v>710</v>
      </c>
    </row>
    <row r="595" spans="1:13" ht="15" customHeight="1">
      <c r="A595" s="10">
        <v>46202</v>
      </c>
      <c r="B595" t="s">
        <v>201</v>
      </c>
      <c r="C595" t="s">
        <v>73</v>
      </c>
      <c r="F595">
        <v>0</v>
      </c>
      <c r="G595">
        <v>0</v>
      </c>
      <c r="H595">
        <v>0</v>
      </c>
      <c r="I595">
        <v>1</v>
      </c>
      <c r="J595">
        <v>563</v>
      </c>
      <c r="K595">
        <v>0</v>
      </c>
      <c r="L595">
        <v>0</v>
      </c>
      <c r="M595" t="s">
        <v>711</v>
      </c>
    </row>
    <row r="596" spans="1:13" ht="15" customHeight="1">
      <c r="A596" s="10">
        <v>46202</v>
      </c>
      <c r="B596" t="s">
        <v>201</v>
      </c>
      <c r="C596" t="s">
        <v>75</v>
      </c>
      <c r="F596">
        <v>0</v>
      </c>
      <c r="G596">
        <v>0</v>
      </c>
      <c r="H596">
        <v>0</v>
      </c>
      <c r="I596">
        <v>1</v>
      </c>
      <c r="J596">
        <v>213</v>
      </c>
      <c r="K596">
        <v>0</v>
      </c>
      <c r="L596">
        <v>0</v>
      </c>
      <c r="M596" t="s">
        <v>712</v>
      </c>
    </row>
    <row r="597" spans="1:13" ht="15" customHeight="1">
      <c r="A597" s="10">
        <v>46202</v>
      </c>
      <c r="B597" t="s">
        <v>201</v>
      </c>
      <c r="C597" t="s">
        <v>77</v>
      </c>
      <c r="F597">
        <v>0</v>
      </c>
      <c r="G597">
        <v>0</v>
      </c>
      <c r="H597">
        <v>0</v>
      </c>
      <c r="I597">
        <v>1</v>
      </c>
      <c r="J597">
        <v>100</v>
      </c>
      <c r="K597">
        <v>0</v>
      </c>
      <c r="L597">
        <v>0</v>
      </c>
      <c r="M597" t="s">
        <v>713</v>
      </c>
    </row>
    <row r="598" spans="1:13" ht="15" customHeight="1">
      <c r="A598" s="10">
        <v>46202</v>
      </c>
      <c r="B598" t="s">
        <v>201</v>
      </c>
      <c r="C598" t="s">
        <v>79</v>
      </c>
      <c r="F598">
        <v>0</v>
      </c>
      <c r="G598">
        <v>0</v>
      </c>
      <c r="H598">
        <v>0</v>
      </c>
      <c r="I598">
        <v>1</v>
      </c>
      <c r="J598">
        <v>1676</v>
      </c>
      <c r="K598">
        <v>0</v>
      </c>
      <c r="L598">
        <v>0</v>
      </c>
      <c r="M598" t="s">
        <v>714</v>
      </c>
    </row>
    <row r="599" spans="1:13" ht="15" customHeight="1">
      <c r="A599" s="10">
        <v>46202</v>
      </c>
      <c r="B599" t="s">
        <v>201</v>
      </c>
      <c r="C599" t="s">
        <v>81</v>
      </c>
      <c r="F599">
        <v>0</v>
      </c>
      <c r="G599">
        <v>0</v>
      </c>
      <c r="H599">
        <v>0</v>
      </c>
      <c r="I599">
        <v>1</v>
      </c>
      <c r="J599">
        <v>207</v>
      </c>
      <c r="K599">
        <v>0</v>
      </c>
      <c r="L599">
        <v>0</v>
      </c>
      <c r="M599" t="s">
        <v>715</v>
      </c>
    </row>
    <row r="600" spans="1:13" ht="15" customHeight="1">
      <c r="A600" s="10">
        <v>46202</v>
      </c>
      <c r="B600" t="s">
        <v>201</v>
      </c>
      <c r="C600" t="s">
        <v>83</v>
      </c>
      <c r="F600">
        <v>0</v>
      </c>
      <c r="G600">
        <v>0</v>
      </c>
      <c r="H600">
        <v>0</v>
      </c>
      <c r="I600">
        <v>1</v>
      </c>
      <c r="J600">
        <v>381</v>
      </c>
      <c r="K600">
        <v>0</v>
      </c>
      <c r="L600">
        <v>0</v>
      </c>
      <c r="M600" t="s">
        <v>716</v>
      </c>
    </row>
    <row r="601" spans="1:13" ht="15" customHeight="1">
      <c r="A601" s="10">
        <v>46202</v>
      </c>
      <c r="B601" t="s">
        <v>201</v>
      </c>
      <c r="C601" t="s">
        <v>84</v>
      </c>
      <c r="F601">
        <v>0</v>
      </c>
      <c r="G601">
        <v>0</v>
      </c>
      <c r="H601">
        <v>0</v>
      </c>
      <c r="I601">
        <v>1</v>
      </c>
      <c r="J601">
        <v>272</v>
      </c>
      <c r="K601">
        <v>0</v>
      </c>
      <c r="L601">
        <v>0</v>
      </c>
      <c r="M601" t="s">
        <v>717</v>
      </c>
    </row>
    <row r="602" spans="1:13" ht="15" customHeight="1">
      <c r="A602" s="10">
        <v>46202</v>
      </c>
      <c r="B602" t="s">
        <v>201</v>
      </c>
      <c r="C602" t="s">
        <v>85</v>
      </c>
      <c r="F602">
        <v>0</v>
      </c>
      <c r="G602">
        <v>0</v>
      </c>
      <c r="H602">
        <v>0</v>
      </c>
      <c r="I602">
        <v>0</v>
      </c>
      <c r="J602">
        <v>171</v>
      </c>
      <c r="K602">
        <v>0</v>
      </c>
      <c r="L602">
        <v>0</v>
      </c>
      <c r="M602" t="s">
        <v>718</v>
      </c>
    </row>
    <row r="603" spans="1:13" ht="15" customHeight="1">
      <c r="A603" s="10">
        <v>46202</v>
      </c>
      <c r="B603" t="s">
        <v>201</v>
      </c>
      <c r="C603" t="s">
        <v>87</v>
      </c>
      <c r="F603">
        <v>0</v>
      </c>
      <c r="G603">
        <v>0</v>
      </c>
      <c r="H603">
        <v>0</v>
      </c>
      <c r="I603">
        <v>1</v>
      </c>
      <c r="J603">
        <v>433</v>
      </c>
      <c r="K603">
        <v>0</v>
      </c>
      <c r="L603">
        <v>0</v>
      </c>
      <c r="M603" t="s">
        <v>719</v>
      </c>
    </row>
    <row r="604" spans="1:13" ht="15" customHeight="1">
      <c r="A604" s="10">
        <v>46202</v>
      </c>
      <c r="B604" t="s">
        <v>201</v>
      </c>
      <c r="C604" t="s">
        <v>88</v>
      </c>
      <c r="F604">
        <v>0</v>
      </c>
      <c r="G604">
        <v>0</v>
      </c>
      <c r="H604">
        <v>0</v>
      </c>
      <c r="I604">
        <v>1</v>
      </c>
      <c r="J604">
        <v>240</v>
      </c>
      <c r="K604">
        <v>0</v>
      </c>
      <c r="L604">
        <v>0</v>
      </c>
      <c r="M604" t="s">
        <v>720</v>
      </c>
    </row>
    <row r="605" spans="1:13" ht="15" customHeight="1">
      <c r="A605" s="10">
        <v>46202</v>
      </c>
      <c r="B605" t="s">
        <v>201</v>
      </c>
      <c r="C605" t="s">
        <v>89</v>
      </c>
      <c r="F605">
        <v>0</v>
      </c>
      <c r="G605">
        <v>0</v>
      </c>
      <c r="H605">
        <v>0</v>
      </c>
      <c r="I605">
        <v>1</v>
      </c>
      <c r="J605">
        <v>224</v>
      </c>
      <c r="K605">
        <v>0</v>
      </c>
      <c r="L605">
        <v>0</v>
      </c>
      <c r="M605" t="s">
        <v>721</v>
      </c>
    </row>
    <row r="606" spans="1:13" ht="15" customHeight="1">
      <c r="A606" s="10">
        <v>46202</v>
      </c>
      <c r="B606" t="s">
        <v>201</v>
      </c>
      <c r="C606" t="s">
        <v>90</v>
      </c>
      <c r="F606">
        <v>0</v>
      </c>
      <c r="G606">
        <v>0</v>
      </c>
      <c r="H606">
        <v>0</v>
      </c>
      <c r="I606">
        <v>1</v>
      </c>
      <c r="J606">
        <v>469</v>
      </c>
      <c r="K606">
        <v>0</v>
      </c>
      <c r="L606">
        <v>0</v>
      </c>
      <c r="M606" t="s">
        <v>722</v>
      </c>
    </row>
    <row r="607" spans="1:13" ht="15" customHeight="1">
      <c r="A607" s="10">
        <v>46202</v>
      </c>
      <c r="B607" t="s">
        <v>201</v>
      </c>
      <c r="C607" t="s">
        <v>92</v>
      </c>
      <c r="F607">
        <v>0</v>
      </c>
      <c r="G607">
        <v>0</v>
      </c>
      <c r="H607">
        <v>0</v>
      </c>
      <c r="I607">
        <v>1</v>
      </c>
      <c r="J607">
        <v>957</v>
      </c>
      <c r="K607">
        <v>0</v>
      </c>
      <c r="L607">
        <v>0</v>
      </c>
      <c r="M607" t="s">
        <v>723</v>
      </c>
    </row>
    <row r="608" spans="1:13" ht="15" customHeight="1">
      <c r="A608" s="10">
        <v>46202</v>
      </c>
      <c r="B608" t="s">
        <v>201</v>
      </c>
      <c r="C608" t="s">
        <v>94</v>
      </c>
      <c r="F608">
        <v>0</v>
      </c>
      <c r="G608">
        <v>0</v>
      </c>
      <c r="H608">
        <v>0</v>
      </c>
      <c r="I608">
        <v>3</v>
      </c>
      <c r="J608">
        <v>430</v>
      </c>
      <c r="K608">
        <v>0</v>
      </c>
      <c r="L608">
        <v>0</v>
      </c>
      <c r="M608" t="s">
        <v>724</v>
      </c>
    </row>
    <row r="609" spans="1:13" ht="15" customHeight="1">
      <c r="A609" s="10">
        <v>46202</v>
      </c>
      <c r="B609" t="s">
        <v>201</v>
      </c>
      <c r="C609" t="s">
        <v>98</v>
      </c>
      <c r="F609">
        <v>0</v>
      </c>
      <c r="G609">
        <v>0</v>
      </c>
      <c r="H609">
        <v>0</v>
      </c>
      <c r="I609">
        <v>0</v>
      </c>
      <c r="J609">
        <v>300</v>
      </c>
      <c r="K609">
        <v>0</v>
      </c>
      <c r="L609">
        <v>0</v>
      </c>
      <c r="M609" t="s">
        <v>725</v>
      </c>
    </row>
    <row r="610" spans="1:13" ht="15" customHeight="1">
      <c r="A610" s="10">
        <v>46202</v>
      </c>
      <c r="B610" t="s">
        <v>201</v>
      </c>
      <c r="C610" t="s">
        <v>203</v>
      </c>
      <c r="F610">
        <v>0</v>
      </c>
      <c r="G610">
        <v>0</v>
      </c>
      <c r="H610">
        <v>0</v>
      </c>
      <c r="I610">
        <v>4</v>
      </c>
      <c r="J610">
        <v>0</v>
      </c>
      <c r="K610">
        <v>0</v>
      </c>
      <c r="L610">
        <v>0</v>
      </c>
      <c r="M610" t="s">
        <v>726</v>
      </c>
    </row>
    <row r="611" spans="1:13" ht="15" customHeight="1">
      <c r="A611" s="10">
        <v>46202</v>
      </c>
      <c r="B611" t="s">
        <v>201</v>
      </c>
      <c r="C611" t="s">
        <v>101</v>
      </c>
      <c r="F611">
        <v>0</v>
      </c>
      <c r="G611">
        <v>0</v>
      </c>
      <c r="H611">
        <v>0</v>
      </c>
      <c r="I611">
        <v>1</v>
      </c>
      <c r="J611">
        <v>258</v>
      </c>
      <c r="K611">
        <v>0</v>
      </c>
      <c r="L611">
        <v>0</v>
      </c>
      <c r="M611" t="s">
        <v>727</v>
      </c>
    </row>
    <row r="612" spans="1:13" ht="15" customHeight="1">
      <c r="A612" s="10">
        <v>46202</v>
      </c>
      <c r="B612" t="s">
        <v>201</v>
      </c>
      <c r="C612" t="s">
        <v>103</v>
      </c>
      <c r="I612">
        <v>0</v>
      </c>
      <c r="J612">
        <v>5</v>
      </c>
      <c r="M612" t="s">
        <v>728</v>
      </c>
    </row>
    <row r="613" spans="1:13" ht="15" customHeight="1">
      <c r="A613" s="10">
        <v>46202</v>
      </c>
      <c r="B613" t="s">
        <v>201</v>
      </c>
      <c r="C613" t="s">
        <v>106</v>
      </c>
      <c r="F613">
        <v>0</v>
      </c>
      <c r="G613">
        <v>0</v>
      </c>
      <c r="H613">
        <v>0</v>
      </c>
      <c r="I613">
        <v>1</v>
      </c>
      <c r="J613">
        <v>302</v>
      </c>
      <c r="K613">
        <v>0</v>
      </c>
      <c r="L613">
        <v>0</v>
      </c>
      <c r="M613" t="s">
        <v>729</v>
      </c>
    </row>
    <row r="614" spans="1:13" ht="15" customHeight="1">
      <c r="A614" s="10">
        <v>46202</v>
      </c>
      <c r="B614" t="s">
        <v>201</v>
      </c>
      <c r="C614" t="s">
        <v>108</v>
      </c>
      <c r="F614">
        <v>0</v>
      </c>
      <c r="G614">
        <v>0</v>
      </c>
      <c r="H614">
        <v>0</v>
      </c>
      <c r="I614">
        <v>1</v>
      </c>
      <c r="J614">
        <v>617</v>
      </c>
      <c r="K614">
        <v>0</v>
      </c>
      <c r="L614">
        <v>0</v>
      </c>
      <c r="M614" t="s">
        <v>730</v>
      </c>
    </row>
    <row r="615" spans="1:13" ht="15" customHeight="1">
      <c r="A615" s="10">
        <v>46202</v>
      </c>
      <c r="B615" t="s">
        <v>201</v>
      </c>
      <c r="C615" t="s">
        <v>109</v>
      </c>
      <c r="F615">
        <v>0</v>
      </c>
      <c r="G615">
        <v>0</v>
      </c>
      <c r="H615">
        <v>0</v>
      </c>
      <c r="I615">
        <v>0</v>
      </c>
      <c r="J615">
        <v>1210</v>
      </c>
      <c r="K615">
        <v>0</v>
      </c>
      <c r="L615">
        <v>0</v>
      </c>
      <c r="M615" t="s">
        <v>731</v>
      </c>
    </row>
    <row r="616" spans="1:13" ht="15" customHeight="1">
      <c r="A616" s="10">
        <v>46202</v>
      </c>
      <c r="B616" t="s">
        <v>201</v>
      </c>
      <c r="C616" t="s">
        <v>112</v>
      </c>
      <c r="I616">
        <v>0</v>
      </c>
      <c r="J616">
        <v>46</v>
      </c>
      <c r="M616" t="s">
        <v>732</v>
      </c>
    </row>
    <row r="617" spans="1:13" ht="15" customHeight="1">
      <c r="A617" s="10">
        <v>46202</v>
      </c>
      <c r="B617" t="s">
        <v>201</v>
      </c>
      <c r="C617" t="s">
        <v>114</v>
      </c>
      <c r="F617">
        <v>0</v>
      </c>
      <c r="G617">
        <v>0</v>
      </c>
      <c r="H617">
        <v>0</v>
      </c>
      <c r="I617">
        <v>1</v>
      </c>
      <c r="J617">
        <v>29</v>
      </c>
      <c r="K617">
        <v>0</v>
      </c>
      <c r="L617">
        <v>0</v>
      </c>
      <c r="M617" t="s">
        <v>733</v>
      </c>
    </row>
    <row r="618" spans="1:13" ht="15" customHeight="1">
      <c r="A618" s="10">
        <v>46202</v>
      </c>
      <c r="B618" t="s">
        <v>201</v>
      </c>
      <c r="C618" t="s">
        <v>115</v>
      </c>
      <c r="F618">
        <v>0</v>
      </c>
      <c r="G618">
        <v>0</v>
      </c>
      <c r="H618">
        <v>0</v>
      </c>
      <c r="I618">
        <v>1</v>
      </c>
      <c r="J618">
        <v>25</v>
      </c>
      <c r="K618">
        <v>0</v>
      </c>
      <c r="L618">
        <v>0</v>
      </c>
      <c r="M618" t="s">
        <v>734</v>
      </c>
    </row>
    <row r="619" spans="1:13" ht="15" customHeight="1">
      <c r="A619" s="10">
        <v>46202</v>
      </c>
      <c r="B619" t="s">
        <v>201</v>
      </c>
      <c r="C619" t="s">
        <v>116</v>
      </c>
      <c r="F619">
        <v>0</v>
      </c>
      <c r="G619">
        <v>0</v>
      </c>
      <c r="H619">
        <v>0</v>
      </c>
      <c r="I619">
        <v>2</v>
      </c>
      <c r="J619">
        <v>10</v>
      </c>
      <c r="K619">
        <v>0</v>
      </c>
      <c r="L619">
        <v>0</v>
      </c>
      <c r="M619" t="s">
        <v>735</v>
      </c>
    </row>
    <row r="620" spans="1:13" ht="15" customHeight="1">
      <c r="A620" s="10">
        <v>46202</v>
      </c>
      <c r="B620" t="s">
        <v>201</v>
      </c>
      <c r="C620" t="s">
        <v>119</v>
      </c>
      <c r="F620">
        <v>0</v>
      </c>
      <c r="G620">
        <v>0</v>
      </c>
      <c r="H620">
        <v>0</v>
      </c>
      <c r="I620">
        <v>5</v>
      </c>
      <c r="J620">
        <v>0</v>
      </c>
      <c r="K620">
        <v>0</v>
      </c>
      <c r="L620">
        <v>0</v>
      </c>
      <c r="M620" t="s">
        <v>736</v>
      </c>
    </row>
    <row r="621" spans="1:13" ht="15" customHeight="1">
      <c r="A621" s="10">
        <v>46202</v>
      </c>
      <c r="B621" t="s">
        <v>201</v>
      </c>
      <c r="C621" t="s">
        <v>121</v>
      </c>
      <c r="F621">
        <v>0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</v>
      </c>
      <c r="M621" t="s">
        <v>737</v>
      </c>
    </row>
    <row r="622" spans="1:13" ht="15" customHeight="1">
      <c r="A622" s="10">
        <v>46202</v>
      </c>
      <c r="B622" t="s">
        <v>201</v>
      </c>
      <c r="C622" t="s">
        <v>123</v>
      </c>
      <c r="F622">
        <v>0</v>
      </c>
      <c r="G622">
        <v>0</v>
      </c>
      <c r="H622">
        <v>0</v>
      </c>
      <c r="I622">
        <v>2</v>
      </c>
      <c r="J622">
        <v>0</v>
      </c>
      <c r="K622">
        <v>0</v>
      </c>
      <c r="L622">
        <v>0</v>
      </c>
      <c r="M622" t="s">
        <v>738</v>
      </c>
    </row>
    <row r="623" spans="1:13" ht="15" customHeight="1">
      <c r="A623" s="10">
        <v>46202</v>
      </c>
      <c r="B623" t="s">
        <v>201</v>
      </c>
      <c r="C623" t="s">
        <v>124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 t="s">
        <v>739</v>
      </c>
    </row>
    <row r="624" spans="1:13" ht="15" customHeight="1">
      <c r="A624" s="10">
        <v>46202</v>
      </c>
      <c r="B624" t="s">
        <v>201</v>
      </c>
      <c r="C624" t="s">
        <v>125</v>
      </c>
      <c r="F624">
        <v>0</v>
      </c>
      <c r="G624">
        <v>0</v>
      </c>
      <c r="H624">
        <v>0</v>
      </c>
      <c r="I624">
        <v>2</v>
      </c>
      <c r="J624">
        <v>0</v>
      </c>
      <c r="K624">
        <v>0</v>
      </c>
      <c r="L624">
        <v>0</v>
      </c>
      <c r="M624" t="s">
        <v>740</v>
      </c>
    </row>
    <row r="625" spans="1:13" ht="15" customHeight="1">
      <c r="A625" s="10">
        <v>46202</v>
      </c>
      <c r="B625" t="s">
        <v>201</v>
      </c>
      <c r="C625" t="s">
        <v>126</v>
      </c>
      <c r="F625">
        <v>0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0</v>
      </c>
      <c r="M625" t="s">
        <v>741</v>
      </c>
    </row>
    <row r="626" spans="1:13" ht="15" customHeight="1">
      <c r="A626" s="10">
        <v>46202</v>
      </c>
      <c r="B626" t="s">
        <v>201</v>
      </c>
      <c r="C626" t="s">
        <v>128</v>
      </c>
      <c r="F626">
        <v>0</v>
      </c>
      <c r="G626">
        <v>0</v>
      </c>
      <c r="H626">
        <v>0</v>
      </c>
      <c r="I626">
        <v>2</v>
      </c>
      <c r="J626">
        <v>0</v>
      </c>
      <c r="K626">
        <v>0</v>
      </c>
      <c r="L626">
        <v>0</v>
      </c>
      <c r="M626" t="s">
        <v>742</v>
      </c>
    </row>
    <row r="627" spans="1:13" ht="15" customHeight="1">
      <c r="A627" s="10">
        <v>46202</v>
      </c>
      <c r="B627" t="s">
        <v>201</v>
      </c>
      <c r="C627" t="s">
        <v>130</v>
      </c>
      <c r="F627">
        <v>0</v>
      </c>
      <c r="G627">
        <v>0</v>
      </c>
      <c r="H627">
        <v>0</v>
      </c>
      <c r="I627">
        <v>4</v>
      </c>
      <c r="J627">
        <v>0</v>
      </c>
      <c r="K627">
        <v>0</v>
      </c>
      <c r="L627">
        <v>0</v>
      </c>
      <c r="M627" t="s">
        <v>743</v>
      </c>
    </row>
    <row r="628" spans="1:13" ht="15" customHeight="1">
      <c r="A628" s="10">
        <v>46202</v>
      </c>
      <c r="B628" t="s">
        <v>201</v>
      </c>
      <c r="C628" t="s">
        <v>285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</v>
      </c>
      <c r="M628" t="s">
        <v>744</v>
      </c>
    </row>
    <row r="629" spans="1:13" ht="15" customHeight="1">
      <c r="A629" s="10">
        <v>46202</v>
      </c>
      <c r="B629" t="s">
        <v>201</v>
      </c>
      <c r="C629" t="s">
        <v>287</v>
      </c>
      <c r="F629">
        <v>0</v>
      </c>
      <c r="G629">
        <v>0</v>
      </c>
      <c r="H629">
        <v>0</v>
      </c>
      <c r="I629">
        <v>6</v>
      </c>
      <c r="J629">
        <v>0</v>
      </c>
      <c r="K629">
        <v>0</v>
      </c>
      <c r="L629">
        <v>0</v>
      </c>
      <c r="M629" t="s">
        <v>745</v>
      </c>
    </row>
    <row r="630" spans="1:13" ht="15" customHeight="1">
      <c r="A630" s="10">
        <v>46202</v>
      </c>
      <c r="B630" t="s">
        <v>201</v>
      </c>
      <c r="C630" t="s">
        <v>289</v>
      </c>
      <c r="F630">
        <v>0</v>
      </c>
      <c r="G630">
        <v>0</v>
      </c>
      <c r="H630">
        <v>0</v>
      </c>
      <c r="I630">
        <v>2</v>
      </c>
      <c r="J630">
        <v>0</v>
      </c>
      <c r="K630">
        <v>0</v>
      </c>
      <c r="L630">
        <v>0</v>
      </c>
      <c r="M630" t="s">
        <v>746</v>
      </c>
    </row>
    <row r="631" spans="1:13" ht="15" customHeight="1">
      <c r="A631" s="10">
        <v>46202</v>
      </c>
      <c r="B631" t="s">
        <v>201</v>
      </c>
      <c r="C631" t="s">
        <v>291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 t="s">
        <v>747</v>
      </c>
    </row>
    <row r="632" spans="1:13" ht="15" customHeight="1">
      <c r="A632" s="10">
        <v>46202</v>
      </c>
      <c r="B632" t="s">
        <v>201</v>
      </c>
      <c r="C632" t="s">
        <v>293</v>
      </c>
      <c r="F632">
        <v>0</v>
      </c>
      <c r="G632">
        <v>0</v>
      </c>
      <c r="H632">
        <v>0</v>
      </c>
      <c r="I632">
        <v>2</v>
      </c>
      <c r="J632">
        <v>0</v>
      </c>
      <c r="K632">
        <v>0</v>
      </c>
      <c r="L632">
        <v>0</v>
      </c>
      <c r="M632" t="s">
        <v>748</v>
      </c>
    </row>
    <row r="633" spans="1:13" ht="15" customHeight="1">
      <c r="A633" s="10">
        <v>46202</v>
      </c>
      <c r="B633" t="s">
        <v>201</v>
      </c>
      <c r="C633" s="135" t="s">
        <v>138</v>
      </c>
      <c r="F633">
        <v>0</v>
      </c>
      <c r="G633">
        <v>0</v>
      </c>
      <c r="H633">
        <v>0</v>
      </c>
      <c r="I633">
        <v>0</v>
      </c>
      <c r="J633">
        <v>52</v>
      </c>
      <c r="K633">
        <v>0</v>
      </c>
      <c r="L633">
        <v>0</v>
      </c>
      <c r="M633" t="s">
        <v>749</v>
      </c>
    </row>
    <row r="634" spans="1:13" ht="15" customHeight="1">
      <c r="A634" s="10">
        <v>46202</v>
      </c>
      <c r="B634" t="s">
        <v>201</v>
      </c>
      <c r="C634" s="135" t="s">
        <v>139</v>
      </c>
      <c r="F634">
        <v>0</v>
      </c>
      <c r="G634">
        <v>0</v>
      </c>
      <c r="H634">
        <v>0</v>
      </c>
      <c r="I634">
        <v>0</v>
      </c>
      <c r="J634">
        <v>27</v>
      </c>
      <c r="K634">
        <v>0</v>
      </c>
      <c r="L634">
        <v>0</v>
      </c>
      <c r="M634" t="s">
        <v>750</v>
      </c>
    </row>
    <row r="635" spans="1:13" ht="15" customHeight="1">
      <c r="A635" s="10">
        <v>46202</v>
      </c>
      <c r="B635" t="s">
        <v>201</v>
      </c>
      <c r="C635" s="135" t="s">
        <v>140</v>
      </c>
      <c r="F635">
        <v>0</v>
      </c>
      <c r="G635">
        <v>0</v>
      </c>
      <c r="H635">
        <v>0</v>
      </c>
      <c r="I635">
        <v>0</v>
      </c>
      <c r="J635">
        <v>47</v>
      </c>
      <c r="K635">
        <v>0</v>
      </c>
      <c r="L635">
        <v>0</v>
      </c>
      <c r="M635" t="s">
        <v>751</v>
      </c>
    </row>
    <row r="636" spans="1:13" ht="15" customHeight="1">
      <c r="A636" s="10">
        <v>46202</v>
      </c>
      <c r="B636" t="s">
        <v>201</v>
      </c>
      <c r="C636" s="135" t="s">
        <v>141</v>
      </c>
      <c r="F636">
        <v>0</v>
      </c>
      <c r="G636">
        <v>0</v>
      </c>
      <c r="H636">
        <v>0</v>
      </c>
      <c r="I636">
        <v>0</v>
      </c>
      <c r="J636">
        <v>483</v>
      </c>
      <c r="K636">
        <v>0</v>
      </c>
      <c r="L636">
        <v>0</v>
      </c>
      <c r="M636" t="s">
        <v>752</v>
      </c>
    </row>
    <row r="637" spans="1:13" ht="15" customHeight="1">
      <c r="A637" s="10">
        <v>46202</v>
      </c>
      <c r="B637" t="s">
        <v>201</v>
      </c>
      <c r="C637" s="135" t="s">
        <v>143</v>
      </c>
      <c r="F637">
        <v>0</v>
      </c>
      <c r="G637">
        <v>0</v>
      </c>
      <c r="H637">
        <v>0</v>
      </c>
      <c r="I637">
        <v>0</v>
      </c>
      <c r="J637">
        <v>24</v>
      </c>
      <c r="K637">
        <v>0</v>
      </c>
      <c r="L637">
        <v>0</v>
      </c>
      <c r="M637" t="s">
        <v>753</v>
      </c>
    </row>
    <row r="638" spans="1:13" ht="15" customHeight="1">
      <c r="A638" s="10">
        <v>46202</v>
      </c>
      <c r="B638" t="s">
        <v>201</v>
      </c>
      <c r="C638" s="135" t="s">
        <v>145</v>
      </c>
      <c r="F638">
        <v>0</v>
      </c>
      <c r="G638">
        <v>0</v>
      </c>
      <c r="H638">
        <v>0</v>
      </c>
      <c r="I638">
        <v>0</v>
      </c>
      <c r="J638">
        <v>48</v>
      </c>
      <c r="K638">
        <v>0</v>
      </c>
      <c r="L638">
        <v>0</v>
      </c>
      <c r="M638" t="s">
        <v>754</v>
      </c>
    </row>
    <row r="639" spans="1:13" ht="15" customHeight="1">
      <c r="A639" s="10">
        <v>46202</v>
      </c>
      <c r="B639" t="s">
        <v>201</v>
      </c>
      <c r="C639" s="135" t="s">
        <v>147</v>
      </c>
      <c r="F639">
        <v>0</v>
      </c>
      <c r="G639">
        <v>0</v>
      </c>
      <c r="H639">
        <v>0</v>
      </c>
      <c r="I639">
        <v>0</v>
      </c>
      <c r="J639">
        <v>46</v>
      </c>
      <c r="K639">
        <v>0</v>
      </c>
      <c r="L639">
        <v>0</v>
      </c>
      <c r="M639" t="s">
        <v>755</v>
      </c>
    </row>
    <row r="640" spans="1:13" ht="15" customHeight="1">
      <c r="A640" s="10">
        <v>46202</v>
      </c>
      <c r="B640" t="s">
        <v>201</v>
      </c>
      <c r="C640" t="s">
        <v>302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 t="s">
        <v>756</v>
      </c>
    </row>
    <row r="641" spans="1:13" ht="15" customHeight="1">
      <c r="A641" s="10">
        <v>46202</v>
      </c>
      <c r="B641" t="s">
        <v>201</v>
      </c>
      <c r="C641" t="s">
        <v>150</v>
      </c>
      <c r="F641">
        <v>0</v>
      </c>
      <c r="G641">
        <v>0</v>
      </c>
      <c r="H641">
        <v>0</v>
      </c>
      <c r="I641">
        <v>3</v>
      </c>
      <c r="J641">
        <v>0</v>
      </c>
      <c r="K641">
        <v>0</v>
      </c>
      <c r="L641">
        <v>0</v>
      </c>
      <c r="M641" t="s">
        <v>757</v>
      </c>
    </row>
    <row r="642" spans="1:13" ht="15" customHeight="1">
      <c r="A642" s="10">
        <v>46202</v>
      </c>
      <c r="B642" t="s">
        <v>201</v>
      </c>
      <c r="C642" t="s">
        <v>151</v>
      </c>
      <c r="F642">
        <v>0</v>
      </c>
      <c r="G642">
        <v>0</v>
      </c>
      <c r="H642">
        <v>0</v>
      </c>
      <c r="I642">
        <v>2</v>
      </c>
      <c r="J642">
        <v>0</v>
      </c>
      <c r="K642">
        <v>0</v>
      </c>
      <c r="L642">
        <v>0</v>
      </c>
      <c r="M642" t="s">
        <v>758</v>
      </c>
    </row>
    <row r="643" spans="1:13" ht="15" customHeight="1">
      <c r="A643" s="10">
        <v>46202</v>
      </c>
      <c r="B643" t="s">
        <v>201</v>
      </c>
      <c r="C643" t="s">
        <v>152</v>
      </c>
      <c r="F643">
        <v>0</v>
      </c>
      <c r="G643">
        <v>0</v>
      </c>
      <c r="H643">
        <v>0</v>
      </c>
      <c r="I643">
        <v>2</v>
      </c>
      <c r="J643">
        <v>0</v>
      </c>
      <c r="K643">
        <v>0</v>
      </c>
      <c r="L643">
        <v>0</v>
      </c>
      <c r="M643" t="s">
        <v>759</v>
      </c>
    </row>
    <row r="644" spans="1:13" ht="15" customHeight="1">
      <c r="A644" s="10">
        <v>46202</v>
      </c>
      <c r="B644" t="s">
        <v>201</v>
      </c>
      <c r="C644" t="s">
        <v>153</v>
      </c>
      <c r="F644">
        <v>0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</v>
      </c>
      <c r="M644" t="s">
        <v>760</v>
      </c>
    </row>
    <row r="645" spans="1:13" ht="15" customHeight="1">
      <c r="A645" s="10">
        <v>46202</v>
      </c>
      <c r="B645" t="s">
        <v>201</v>
      </c>
      <c r="C645" t="s">
        <v>308</v>
      </c>
      <c r="F645">
        <v>0</v>
      </c>
      <c r="G645">
        <v>0</v>
      </c>
      <c r="H645">
        <v>0</v>
      </c>
      <c r="I645">
        <v>0</v>
      </c>
      <c r="J645">
        <v>3</v>
      </c>
      <c r="K645">
        <v>0</v>
      </c>
      <c r="L645">
        <v>0</v>
      </c>
      <c r="M645" t="s">
        <v>761</v>
      </c>
    </row>
    <row r="646" spans="1:13" ht="15" customHeight="1">
      <c r="A646" s="10">
        <v>46202</v>
      </c>
      <c r="B646" t="s">
        <v>201</v>
      </c>
      <c r="C646" t="s">
        <v>310</v>
      </c>
      <c r="F646">
        <v>0</v>
      </c>
      <c r="G646">
        <v>0</v>
      </c>
      <c r="H646">
        <v>0</v>
      </c>
      <c r="I646">
        <v>0</v>
      </c>
      <c r="J646">
        <v>2</v>
      </c>
      <c r="K646">
        <v>0</v>
      </c>
      <c r="L646">
        <v>0</v>
      </c>
      <c r="M646" t="s">
        <v>762</v>
      </c>
    </row>
    <row r="647" spans="1:13" ht="15" customHeight="1">
      <c r="A647" s="10">
        <v>46202</v>
      </c>
      <c r="B647" t="s">
        <v>201</v>
      </c>
      <c r="C647" t="s">
        <v>312</v>
      </c>
      <c r="F647">
        <v>0</v>
      </c>
      <c r="G647">
        <v>0</v>
      </c>
      <c r="H647">
        <v>0</v>
      </c>
      <c r="I647">
        <v>0</v>
      </c>
      <c r="J647">
        <v>4</v>
      </c>
      <c r="K647">
        <v>0</v>
      </c>
      <c r="L647">
        <v>0</v>
      </c>
      <c r="M647" t="s">
        <v>763</v>
      </c>
    </row>
    <row r="648" spans="1:13" ht="15" customHeight="1">
      <c r="A648" s="10">
        <v>46202</v>
      </c>
      <c r="B648" t="s">
        <v>201</v>
      </c>
      <c r="C648" t="s">
        <v>314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 t="s">
        <v>764</v>
      </c>
    </row>
    <row r="649" spans="1:13" ht="15" customHeight="1">
      <c r="A649" s="10">
        <v>46202</v>
      </c>
      <c r="B649" t="s">
        <v>201</v>
      </c>
      <c r="C649" t="s">
        <v>316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 t="s">
        <v>765</v>
      </c>
    </row>
    <row r="650" spans="1:13" ht="15" customHeight="1">
      <c r="A650" s="10">
        <v>46202</v>
      </c>
      <c r="B650" t="s">
        <v>201</v>
      </c>
      <c r="C650" t="s">
        <v>318</v>
      </c>
      <c r="F650">
        <v>0</v>
      </c>
      <c r="G650">
        <v>0</v>
      </c>
      <c r="H650">
        <v>0</v>
      </c>
      <c r="I650">
        <v>2</v>
      </c>
      <c r="J650">
        <v>0</v>
      </c>
      <c r="K650">
        <v>0</v>
      </c>
      <c r="L650">
        <v>0</v>
      </c>
      <c r="M650" t="s">
        <v>766</v>
      </c>
    </row>
    <row r="651" spans="1:13" ht="15" customHeight="1">
      <c r="A651" s="10">
        <v>46202</v>
      </c>
      <c r="B651" t="s">
        <v>201</v>
      </c>
      <c r="C651" t="s">
        <v>320</v>
      </c>
      <c r="F651">
        <v>0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</v>
      </c>
      <c r="M651" t="s">
        <v>767</v>
      </c>
    </row>
    <row r="652" spans="1:13" ht="15" customHeight="1">
      <c r="A652" s="10">
        <v>46202</v>
      </c>
      <c r="B652" t="s">
        <v>201</v>
      </c>
      <c r="C652" t="s">
        <v>322</v>
      </c>
      <c r="F652">
        <v>0</v>
      </c>
      <c r="G652">
        <v>0</v>
      </c>
      <c r="H652">
        <v>0</v>
      </c>
      <c r="I652">
        <v>2</v>
      </c>
      <c r="J652">
        <v>0</v>
      </c>
      <c r="K652">
        <v>0</v>
      </c>
      <c r="L652">
        <v>0</v>
      </c>
      <c r="M652" t="s">
        <v>768</v>
      </c>
    </row>
    <row r="653" spans="1:13" ht="15" customHeight="1">
      <c r="A653" s="10">
        <v>46202</v>
      </c>
      <c r="B653" t="s">
        <v>201</v>
      </c>
      <c r="C653" s="135" t="s">
        <v>168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 t="s">
        <v>769</v>
      </c>
    </row>
    <row r="654" spans="1:13" ht="15" customHeight="1">
      <c r="A654" s="10">
        <v>46202</v>
      </c>
      <c r="B654" t="s">
        <v>201</v>
      </c>
      <c r="C654" s="135" t="s">
        <v>170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 t="s">
        <v>770</v>
      </c>
    </row>
    <row r="655" spans="1:13" ht="15" customHeight="1">
      <c r="A655" s="10">
        <v>46202</v>
      </c>
      <c r="B655" t="s">
        <v>201</v>
      </c>
      <c r="C655" s="135" t="s">
        <v>171</v>
      </c>
      <c r="F655">
        <v>0</v>
      </c>
      <c r="G655">
        <v>0</v>
      </c>
      <c r="H655">
        <v>0</v>
      </c>
      <c r="I655">
        <v>3</v>
      </c>
      <c r="J655">
        <v>0</v>
      </c>
      <c r="K655">
        <v>0</v>
      </c>
      <c r="L655">
        <v>0</v>
      </c>
      <c r="M655" t="s">
        <v>771</v>
      </c>
    </row>
    <row r="656" spans="1:13" ht="15" customHeight="1">
      <c r="A656" s="10">
        <v>46202</v>
      </c>
      <c r="B656" t="s">
        <v>201</v>
      </c>
      <c r="C656" s="135" t="s">
        <v>172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 t="s">
        <v>772</v>
      </c>
    </row>
    <row r="657" spans="1:13" ht="15" customHeight="1">
      <c r="A657" s="10">
        <v>46202</v>
      </c>
      <c r="B657" t="s">
        <v>201</v>
      </c>
      <c r="C657" s="135" t="s">
        <v>173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773</v>
      </c>
    </row>
    <row r="658" spans="1:13" ht="15" customHeight="1">
      <c r="A658" s="10">
        <v>46202</v>
      </c>
      <c r="B658" t="s">
        <v>201</v>
      </c>
      <c r="C658" t="s">
        <v>176</v>
      </c>
      <c r="F658">
        <v>0</v>
      </c>
      <c r="G658">
        <v>0</v>
      </c>
      <c r="H658">
        <v>0</v>
      </c>
      <c r="I658">
        <v>0</v>
      </c>
      <c r="J658">
        <v>21</v>
      </c>
      <c r="K658">
        <v>0</v>
      </c>
      <c r="L658">
        <v>0</v>
      </c>
      <c r="M658" t="s">
        <v>774</v>
      </c>
    </row>
    <row r="659" spans="1:13" ht="15" customHeight="1">
      <c r="A659" s="10">
        <v>46202</v>
      </c>
      <c r="B659" t="s">
        <v>201</v>
      </c>
      <c r="C659" t="s">
        <v>178</v>
      </c>
      <c r="F659">
        <v>0</v>
      </c>
      <c r="G659">
        <v>0</v>
      </c>
      <c r="H659">
        <v>0</v>
      </c>
      <c r="I659">
        <v>0</v>
      </c>
      <c r="J659">
        <v>21</v>
      </c>
      <c r="K659">
        <v>0</v>
      </c>
      <c r="L659">
        <v>0</v>
      </c>
      <c r="M659" t="s">
        <v>775</v>
      </c>
    </row>
    <row r="660" spans="1:13" ht="15" customHeight="1">
      <c r="A660" s="10">
        <v>46202</v>
      </c>
      <c r="B660" t="s">
        <v>201</v>
      </c>
      <c r="C660" t="s">
        <v>179</v>
      </c>
      <c r="F660">
        <v>0</v>
      </c>
      <c r="G660">
        <v>0</v>
      </c>
      <c r="H660">
        <v>0</v>
      </c>
      <c r="I660">
        <v>0</v>
      </c>
      <c r="J660">
        <v>15</v>
      </c>
      <c r="K660">
        <v>0</v>
      </c>
      <c r="L660">
        <v>0</v>
      </c>
      <c r="M660" t="s">
        <v>776</v>
      </c>
    </row>
    <row r="661" spans="1:13" ht="15" customHeight="1">
      <c r="A661" s="10">
        <v>46202</v>
      </c>
      <c r="B661" t="s">
        <v>201</v>
      </c>
      <c r="C661" t="s">
        <v>180</v>
      </c>
      <c r="F661">
        <v>0</v>
      </c>
      <c r="G661">
        <v>0</v>
      </c>
      <c r="H661">
        <v>1</v>
      </c>
      <c r="I661">
        <v>0</v>
      </c>
      <c r="J661">
        <v>12</v>
      </c>
      <c r="K661">
        <v>0</v>
      </c>
      <c r="L661">
        <v>0</v>
      </c>
      <c r="M661" t="s">
        <v>777</v>
      </c>
    </row>
    <row r="662" spans="1:13" ht="15" customHeight="1">
      <c r="A662" s="10">
        <v>46202</v>
      </c>
      <c r="B662" t="s">
        <v>201</v>
      </c>
      <c r="C662" s="135" t="s">
        <v>182</v>
      </c>
      <c r="F662">
        <v>0</v>
      </c>
      <c r="G662">
        <v>0</v>
      </c>
      <c r="H662">
        <v>0</v>
      </c>
      <c r="I662">
        <v>1</v>
      </c>
      <c r="J662">
        <v>150</v>
      </c>
      <c r="K662">
        <v>0</v>
      </c>
      <c r="L662">
        <v>0</v>
      </c>
      <c r="M662" t="s">
        <v>778</v>
      </c>
    </row>
    <row r="663" spans="1:13" ht="15" customHeight="1">
      <c r="A663" s="10">
        <v>46202</v>
      </c>
      <c r="B663" t="s">
        <v>201</v>
      </c>
      <c r="C663" s="135" t="s">
        <v>184</v>
      </c>
      <c r="F663">
        <v>0</v>
      </c>
      <c r="G663">
        <v>0</v>
      </c>
      <c r="H663">
        <v>0</v>
      </c>
      <c r="I663">
        <v>0</v>
      </c>
      <c r="J663">
        <v>57</v>
      </c>
      <c r="K663">
        <v>0</v>
      </c>
      <c r="L663">
        <v>0</v>
      </c>
      <c r="M663" t="s">
        <v>779</v>
      </c>
    </row>
    <row r="664" spans="1:13" ht="15" customHeight="1">
      <c r="A664" s="10">
        <v>46202</v>
      </c>
      <c r="B664" t="s">
        <v>201</v>
      </c>
      <c r="C664" s="135" t="s">
        <v>185</v>
      </c>
      <c r="F664">
        <v>0</v>
      </c>
      <c r="G664">
        <v>0</v>
      </c>
      <c r="H664">
        <v>0</v>
      </c>
      <c r="I664">
        <v>1</v>
      </c>
      <c r="J664">
        <v>26</v>
      </c>
      <c r="K664">
        <v>0</v>
      </c>
      <c r="L664">
        <v>0</v>
      </c>
      <c r="M664" t="s">
        <v>780</v>
      </c>
    </row>
    <row r="665" spans="1:13" ht="15" customHeight="1">
      <c r="A665" s="10">
        <v>46202</v>
      </c>
      <c r="B665" t="s">
        <v>201</v>
      </c>
      <c r="C665" s="135" t="s">
        <v>186</v>
      </c>
      <c r="F665">
        <v>0</v>
      </c>
      <c r="G665">
        <v>0</v>
      </c>
      <c r="H665">
        <v>0</v>
      </c>
      <c r="I665">
        <v>1</v>
      </c>
      <c r="J665">
        <v>500</v>
      </c>
      <c r="K665">
        <v>0</v>
      </c>
      <c r="L665">
        <v>0</v>
      </c>
      <c r="M665" t="s">
        <v>781</v>
      </c>
    </row>
    <row r="666" spans="1:13" ht="15" customHeight="1">
      <c r="A666" s="10">
        <v>46202</v>
      </c>
      <c r="B666" t="s">
        <v>201</v>
      </c>
      <c r="C666" t="s">
        <v>337</v>
      </c>
      <c r="F666">
        <v>0</v>
      </c>
      <c r="G666">
        <v>0</v>
      </c>
      <c r="H666">
        <v>0</v>
      </c>
      <c r="I666">
        <v>2</v>
      </c>
      <c r="J666">
        <v>273</v>
      </c>
      <c r="K666">
        <v>0</v>
      </c>
      <c r="L666">
        <v>0</v>
      </c>
      <c r="M666" t="s">
        <v>782</v>
      </c>
    </row>
    <row r="667" spans="1:13" ht="15" customHeight="1">
      <c r="A667" s="10">
        <v>46202</v>
      </c>
      <c r="B667" t="s">
        <v>201</v>
      </c>
      <c r="C667" s="135" t="s">
        <v>191</v>
      </c>
      <c r="F667">
        <v>0</v>
      </c>
      <c r="G667">
        <v>0</v>
      </c>
      <c r="H667">
        <v>0</v>
      </c>
      <c r="I667">
        <v>1</v>
      </c>
      <c r="J667">
        <v>382</v>
      </c>
      <c r="K667">
        <v>0</v>
      </c>
      <c r="L667">
        <v>0</v>
      </c>
      <c r="M667" t="s">
        <v>783</v>
      </c>
    </row>
    <row r="668" spans="1:13" ht="15" customHeight="1">
      <c r="A668" s="10">
        <v>46202</v>
      </c>
      <c r="B668" t="s">
        <v>201</v>
      </c>
      <c r="C668" s="135" t="s">
        <v>193</v>
      </c>
      <c r="F668">
        <v>0</v>
      </c>
      <c r="G668">
        <v>0</v>
      </c>
      <c r="H668">
        <v>0</v>
      </c>
      <c r="I668">
        <v>0</v>
      </c>
      <c r="J668">
        <v>430</v>
      </c>
      <c r="K668">
        <v>0</v>
      </c>
      <c r="L668">
        <v>0</v>
      </c>
      <c r="M668" t="s">
        <v>784</v>
      </c>
    </row>
    <row r="669" spans="1:13" ht="15" customHeight="1">
      <c r="A669" s="10">
        <v>46202</v>
      </c>
      <c r="B669" t="s">
        <v>201</v>
      </c>
      <c r="C669" s="135" t="s">
        <v>194</v>
      </c>
      <c r="F669">
        <v>0</v>
      </c>
      <c r="G669">
        <v>0</v>
      </c>
      <c r="H669">
        <v>0</v>
      </c>
      <c r="I669">
        <v>0</v>
      </c>
      <c r="J669">
        <v>50</v>
      </c>
      <c r="K669">
        <v>0</v>
      </c>
      <c r="L669">
        <v>0</v>
      </c>
      <c r="M669" t="s">
        <v>785</v>
      </c>
    </row>
    <row r="670" spans="1:13" ht="15" customHeight="1">
      <c r="A670" s="10">
        <v>46202</v>
      </c>
      <c r="B670" t="s">
        <v>201</v>
      </c>
      <c r="C670" s="135" t="s">
        <v>196</v>
      </c>
      <c r="F670">
        <v>0</v>
      </c>
      <c r="G670">
        <v>0</v>
      </c>
      <c r="H670">
        <v>0</v>
      </c>
      <c r="I670">
        <v>0</v>
      </c>
      <c r="J670">
        <v>226</v>
      </c>
      <c r="K670">
        <v>0</v>
      </c>
      <c r="L670">
        <v>0</v>
      </c>
      <c r="M670" t="s">
        <v>786</v>
      </c>
    </row>
    <row r="671" spans="1:13" ht="15" customHeight="1">
      <c r="A671" s="10">
        <v>46202</v>
      </c>
      <c r="B671" t="s">
        <v>201</v>
      </c>
      <c r="C671" s="135" t="s">
        <v>199</v>
      </c>
      <c r="F671">
        <v>0</v>
      </c>
      <c r="G671">
        <v>0</v>
      </c>
      <c r="H671">
        <v>0</v>
      </c>
      <c r="I671">
        <v>0</v>
      </c>
      <c r="J671">
        <v>194</v>
      </c>
      <c r="K671">
        <v>0</v>
      </c>
      <c r="L671">
        <v>0</v>
      </c>
      <c r="M671" t="s">
        <v>787</v>
      </c>
    </row>
    <row r="672" spans="1:13" ht="15" customHeight="1">
      <c r="A672" s="10">
        <v>46202</v>
      </c>
      <c r="B672" t="s">
        <v>201</v>
      </c>
      <c r="C672" s="135" t="s">
        <v>200</v>
      </c>
      <c r="F672">
        <v>0</v>
      </c>
      <c r="G672">
        <v>0</v>
      </c>
      <c r="H672">
        <v>0</v>
      </c>
      <c r="I672">
        <v>0</v>
      </c>
      <c r="J672">
        <v>596</v>
      </c>
      <c r="K672">
        <v>0</v>
      </c>
      <c r="L672">
        <v>0</v>
      </c>
      <c r="M672" t="s">
        <v>788</v>
      </c>
    </row>
    <row r="673" spans="1:13" ht="15" customHeight="1">
      <c r="A673" s="10">
        <v>46202</v>
      </c>
      <c r="B673" t="s">
        <v>201</v>
      </c>
      <c r="C673" s="135" t="s">
        <v>202</v>
      </c>
      <c r="F673">
        <v>0</v>
      </c>
      <c r="G673">
        <v>0</v>
      </c>
      <c r="H673">
        <v>0</v>
      </c>
      <c r="I673">
        <v>0</v>
      </c>
      <c r="J673">
        <v>511</v>
      </c>
      <c r="K673">
        <v>0</v>
      </c>
      <c r="L673">
        <v>0</v>
      </c>
      <c r="M673" t="s">
        <v>789</v>
      </c>
    </row>
    <row r="674" spans="1:13" ht="15" customHeight="1">
      <c r="A674" s="10">
        <v>46202</v>
      </c>
      <c r="B674" t="s">
        <v>201</v>
      </c>
      <c r="C674" t="s">
        <v>120</v>
      </c>
      <c r="I674">
        <v>0</v>
      </c>
      <c r="M674" t="s">
        <v>790</v>
      </c>
    </row>
    <row r="675" spans="1:13" ht="15" customHeight="1">
      <c r="A675" s="10">
        <v>46174</v>
      </c>
      <c r="B675" t="s">
        <v>1</v>
      </c>
      <c r="C675" t="s">
        <v>23</v>
      </c>
      <c r="I675">
        <v>5</v>
      </c>
      <c r="J675">
        <v>1276</v>
      </c>
      <c r="M675" t="s">
        <v>791</v>
      </c>
    </row>
    <row r="676" spans="1:13" ht="15" customHeight="1">
      <c r="A676" s="10">
        <v>46174</v>
      </c>
      <c r="B676" t="s">
        <v>1</v>
      </c>
      <c r="C676" t="s">
        <v>26</v>
      </c>
      <c r="J676">
        <v>990</v>
      </c>
      <c r="M676" t="s">
        <v>792</v>
      </c>
    </row>
    <row r="677" spans="1:13" ht="15" customHeight="1">
      <c r="A677" s="10">
        <v>46174</v>
      </c>
      <c r="B677" t="s">
        <v>1</v>
      </c>
      <c r="C677" t="s">
        <v>27</v>
      </c>
      <c r="I677">
        <v>1</v>
      </c>
      <c r="J677">
        <v>615</v>
      </c>
      <c r="M677" t="s">
        <v>793</v>
      </c>
    </row>
    <row r="678" spans="1:13" ht="15" customHeight="1">
      <c r="A678" s="10">
        <v>46174</v>
      </c>
      <c r="B678" t="s">
        <v>1</v>
      </c>
      <c r="C678" t="s">
        <v>29</v>
      </c>
      <c r="I678">
        <v>1</v>
      </c>
      <c r="J678">
        <v>472</v>
      </c>
      <c r="M678" t="s">
        <v>794</v>
      </c>
    </row>
    <row r="679" spans="1:13" ht="15" customHeight="1">
      <c r="A679" s="10">
        <v>46174</v>
      </c>
      <c r="B679" t="s">
        <v>1</v>
      </c>
      <c r="C679" t="s">
        <v>30</v>
      </c>
      <c r="I679">
        <v>1</v>
      </c>
      <c r="J679">
        <v>883</v>
      </c>
      <c r="M679" t="s">
        <v>795</v>
      </c>
    </row>
    <row r="680" spans="1:13" ht="15" customHeight="1">
      <c r="A680" s="10">
        <v>46174</v>
      </c>
      <c r="B680" t="s">
        <v>1</v>
      </c>
      <c r="C680" t="s">
        <v>31</v>
      </c>
      <c r="I680">
        <v>1</v>
      </c>
      <c r="J680">
        <v>219</v>
      </c>
      <c r="M680" t="s">
        <v>796</v>
      </c>
    </row>
    <row r="681" spans="1:13" ht="15" customHeight="1">
      <c r="A681" s="10">
        <v>46174</v>
      </c>
      <c r="B681" t="s">
        <v>1</v>
      </c>
      <c r="C681" t="s">
        <v>32</v>
      </c>
      <c r="J681">
        <v>239</v>
      </c>
      <c r="M681" t="s">
        <v>797</v>
      </c>
    </row>
    <row r="682" spans="1:13" ht="15" customHeight="1">
      <c r="A682" s="10">
        <v>46174</v>
      </c>
      <c r="B682" t="s">
        <v>1</v>
      </c>
      <c r="C682" t="s">
        <v>223</v>
      </c>
      <c r="I682">
        <v>4</v>
      </c>
      <c r="J682">
        <v>272</v>
      </c>
      <c r="M682" t="s">
        <v>798</v>
      </c>
    </row>
    <row r="683" spans="1:13" ht="15" customHeight="1">
      <c r="A683" s="10">
        <v>46174</v>
      </c>
      <c r="B683" t="s">
        <v>1</v>
      </c>
      <c r="C683" t="s">
        <v>35</v>
      </c>
      <c r="I683">
        <v>8</v>
      </c>
      <c r="M683" t="s">
        <v>799</v>
      </c>
    </row>
    <row r="684" spans="1:13" ht="15" customHeight="1">
      <c r="A684" s="10">
        <v>46174</v>
      </c>
      <c r="B684" t="s">
        <v>1</v>
      </c>
      <c r="C684" t="s">
        <v>37</v>
      </c>
      <c r="I684">
        <v>3</v>
      </c>
      <c r="M684" t="s">
        <v>800</v>
      </c>
    </row>
    <row r="685" spans="1:13" ht="15" customHeight="1">
      <c r="A685" s="10">
        <v>46174</v>
      </c>
      <c r="B685" t="s">
        <v>1</v>
      </c>
      <c r="C685" t="s">
        <v>39</v>
      </c>
      <c r="I685">
        <v>14</v>
      </c>
      <c r="J685">
        <v>0</v>
      </c>
      <c r="M685" t="s">
        <v>801</v>
      </c>
    </row>
    <row r="686" spans="1:13" ht="15" customHeight="1">
      <c r="A686" s="10">
        <v>46174</v>
      </c>
      <c r="B686" t="s">
        <v>1</v>
      </c>
      <c r="C686" t="s">
        <v>41</v>
      </c>
      <c r="I686">
        <v>18</v>
      </c>
      <c r="J686">
        <v>0</v>
      </c>
      <c r="M686" t="s">
        <v>802</v>
      </c>
    </row>
    <row r="687" spans="1:13" ht="15" customHeight="1">
      <c r="A687" s="10">
        <v>46174</v>
      </c>
      <c r="B687" t="s">
        <v>1</v>
      </c>
      <c r="C687" t="s">
        <v>232</v>
      </c>
      <c r="I687">
        <v>20</v>
      </c>
      <c r="J687">
        <v>0</v>
      </c>
      <c r="M687" t="s">
        <v>803</v>
      </c>
    </row>
    <row r="688" spans="1:13" ht="15" customHeight="1">
      <c r="A688" s="10">
        <v>46174</v>
      </c>
      <c r="B688" t="s">
        <v>1</v>
      </c>
      <c r="C688" t="s">
        <v>234</v>
      </c>
      <c r="I688">
        <v>63</v>
      </c>
      <c r="J688">
        <v>0</v>
      </c>
      <c r="M688" t="s">
        <v>804</v>
      </c>
    </row>
    <row r="689" spans="1:13" ht="15" customHeight="1">
      <c r="A689" s="10">
        <v>46174</v>
      </c>
      <c r="B689" t="s">
        <v>1</v>
      </c>
      <c r="C689" t="s">
        <v>237</v>
      </c>
      <c r="I689">
        <v>14</v>
      </c>
      <c r="J689">
        <v>0</v>
      </c>
      <c r="M689" t="s">
        <v>805</v>
      </c>
    </row>
    <row r="690" spans="1:13" ht="15" customHeight="1">
      <c r="A690" s="10">
        <v>46174</v>
      </c>
      <c r="B690" t="s">
        <v>1</v>
      </c>
      <c r="C690" s="135" t="s">
        <v>60</v>
      </c>
      <c r="I690">
        <v>1</v>
      </c>
      <c r="J690">
        <v>0</v>
      </c>
      <c r="M690" t="s">
        <v>806</v>
      </c>
    </row>
    <row r="691" spans="1:13" ht="15" customHeight="1">
      <c r="A691" s="10">
        <v>46174</v>
      </c>
      <c r="B691" t="s">
        <v>1</v>
      </c>
      <c r="C691" s="135" t="s">
        <v>61</v>
      </c>
      <c r="I691">
        <v>5</v>
      </c>
      <c r="J691">
        <v>0</v>
      </c>
      <c r="M691" t="s">
        <v>807</v>
      </c>
    </row>
    <row r="692" spans="1:13" ht="15" customHeight="1">
      <c r="A692" s="10">
        <v>46174</v>
      </c>
      <c r="B692" t="s">
        <v>1</v>
      </c>
      <c r="C692" s="135" t="s">
        <v>62</v>
      </c>
      <c r="I692">
        <v>1</v>
      </c>
      <c r="J692">
        <v>0</v>
      </c>
      <c r="M692" t="s">
        <v>808</v>
      </c>
    </row>
    <row r="693" spans="1:13" ht="15" customHeight="1">
      <c r="A693" s="10">
        <v>46174</v>
      </c>
      <c r="B693" t="s">
        <v>1</v>
      </c>
      <c r="C693" s="135" t="s">
        <v>63</v>
      </c>
      <c r="I693">
        <v>2</v>
      </c>
      <c r="J693">
        <v>0</v>
      </c>
      <c r="M693" t="s">
        <v>809</v>
      </c>
    </row>
    <row r="694" spans="1:13" ht="15" customHeight="1">
      <c r="A694" s="10">
        <v>46174</v>
      </c>
      <c r="B694" t="s">
        <v>1</v>
      </c>
      <c r="C694" s="135" t="s">
        <v>64</v>
      </c>
      <c r="I694">
        <v>0</v>
      </c>
      <c r="J694">
        <v>0</v>
      </c>
      <c r="M694" t="s">
        <v>810</v>
      </c>
    </row>
    <row r="695" spans="1:13" ht="15" customHeight="1">
      <c r="A695" s="10">
        <v>46174</v>
      </c>
      <c r="B695" t="s">
        <v>1</v>
      </c>
      <c r="C695" t="s">
        <v>66</v>
      </c>
      <c r="I695">
        <v>3</v>
      </c>
      <c r="J695">
        <v>0</v>
      </c>
      <c r="M695" t="s">
        <v>811</v>
      </c>
    </row>
    <row r="696" spans="1:13" ht="15" customHeight="1">
      <c r="A696" s="10">
        <v>46174</v>
      </c>
      <c r="B696" t="s">
        <v>1</v>
      </c>
      <c r="C696" t="s">
        <v>67</v>
      </c>
      <c r="I696">
        <v>6</v>
      </c>
      <c r="J696">
        <v>0</v>
      </c>
      <c r="M696" t="s">
        <v>812</v>
      </c>
    </row>
    <row r="697" spans="1:13" ht="15" customHeight="1">
      <c r="A697" s="10">
        <v>46174</v>
      </c>
      <c r="B697" t="s">
        <v>1</v>
      </c>
      <c r="C697" t="s">
        <v>71</v>
      </c>
      <c r="I697">
        <v>1</v>
      </c>
      <c r="J697">
        <v>208</v>
      </c>
      <c r="M697" t="s">
        <v>813</v>
      </c>
    </row>
    <row r="698" spans="1:13" ht="15" customHeight="1">
      <c r="A698" s="10">
        <v>46174</v>
      </c>
      <c r="B698" t="s">
        <v>1</v>
      </c>
      <c r="C698" t="s">
        <v>73</v>
      </c>
      <c r="I698">
        <v>2</v>
      </c>
      <c r="J698">
        <v>149</v>
      </c>
      <c r="M698" t="s">
        <v>814</v>
      </c>
    </row>
    <row r="699" spans="1:13" ht="15" customHeight="1">
      <c r="A699" s="10">
        <v>46174</v>
      </c>
      <c r="B699" t="s">
        <v>1</v>
      </c>
      <c r="C699" t="s">
        <v>75</v>
      </c>
      <c r="I699">
        <v>1</v>
      </c>
      <c r="J699">
        <v>176</v>
      </c>
      <c r="M699" t="s">
        <v>815</v>
      </c>
    </row>
    <row r="700" spans="1:13" ht="15" customHeight="1">
      <c r="A700" s="10">
        <v>46174</v>
      </c>
      <c r="B700" t="s">
        <v>1</v>
      </c>
      <c r="C700" t="s">
        <v>77</v>
      </c>
      <c r="I700">
        <v>1</v>
      </c>
      <c r="M700" t="s">
        <v>816</v>
      </c>
    </row>
    <row r="701" spans="1:13" ht="15" customHeight="1">
      <c r="A701" s="10">
        <v>46174</v>
      </c>
      <c r="B701" t="s">
        <v>1</v>
      </c>
      <c r="C701" t="s">
        <v>79</v>
      </c>
      <c r="J701">
        <v>1822</v>
      </c>
      <c r="M701" t="s">
        <v>817</v>
      </c>
    </row>
    <row r="702" spans="1:13" ht="15" customHeight="1">
      <c r="A702" s="10">
        <v>46174</v>
      </c>
      <c r="B702" t="s">
        <v>1</v>
      </c>
      <c r="C702" t="s">
        <v>81</v>
      </c>
      <c r="I702">
        <v>1</v>
      </c>
      <c r="M702" t="s">
        <v>818</v>
      </c>
    </row>
    <row r="703" spans="1:13" ht="15" customHeight="1">
      <c r="A703" s="10">
        <v>46174</v>
      </c>
      <c r="B703" t="s">
        <v>1</v>
      </c>
      <c r="C703" t="s">
        <v>83</v>
      </c>
      <c r="I703">
        <v>1</v>
      </c>
      <c r="J703">
        <v>350</v>
      </c>
      <c r="M703" t="s">
        <v>819</v>
      </c>
    </row>
    <row r="704" spans="1:13" ht="15" customHeight="1">
      <c r="A704" s="10">
        <v>46174</v>
      </c>
      <c r="B704" t="s">
        <v>1</v>
      </c>
      <c r="C704" t="s">
        <v>84</v>
      </c>
      <c r="I704">
        <v>0</v>
      </c>
      <c r="J704">
        <v>346</v>
      </c>
      <c r="M704" t="s">
        <v>820</v>
      </c>
    </row>
    <row r="705" spans="1:13" ht="15" customHeight="1">
      <c r="A705" s="10">
        <v>46174</v>
      </c>
      <c r="B705" t="s">
        <v>1</v>
      </c>
      <c r="C705" t="s">
        <v>85</v>
      </c>
      <c r="J705">
        <v>170</v>
      </c>
      <c r="M705" t="s">
        <v>821</v>
      </c>
    </row>
    <row r="706" spans="1:13" ht="15" customHeight="1">
      <c r="A706" s="10">
        <v>46174</v>
      </c>
      <c r="B706" t="s">
        <v>1</v>
      </c>
      <c r="C706" t="s">
        <v>87</v>
      </c>
      <c r="I706">
        <v>2</v>
      </c>
      <c r="J706">
        <v>295</v>
      </c>
      <c r="M706" t="s">
        <v>822</v>
      </c>
    </row>
    <row r="707" spans="1:13" ht="15" customHeight="1">
      <c r="A707" s="10">
        <v>46174</v>
      </c>
      <c r="B707" t="s">
        <v>1</v>
      </c>
      <c r="C707" t="s">
        <v>88</v>
      </c>
      <c r="I707">
        <v>1</v>
      </c>
      <c r="J707">
        <v>381</v>
      </c>
      <c r="M707" t="s">
        <v>823</v>
      </c>
    </row>
    <row r="708" spans="1:13" ht="15" customHeight="1">
      <c r="A708" s="10">
        <v>46174</v>
      </c>
      <c r="B708" t="s">
        <v>1</v>
      </c>
      <c r="C708" t="s">
        <v>89</v>
      </c>
      <c r="I708">
        <v>1</v>
      </c>
      <c r="J708">
        <v>370</v>
      </c>
      <c r="M708" t="s">
        <v>824</v>
      </c>
    </row>
    <row r="709" spans="1:13" ht="15" customHeight="1">
      <c r="A709" s="10">
        <v>46174</v>
      </c>
      <c r="B709" t="s">
        <v>1</v>
      </c>
      <c r="C709" t="s">
        <v>90</v>
      </c>
      <c r="I709">
        <v>1</v>
      </c>
      <c r="J709">
        <v>975</v>
      </c>
      <c r="M709" t="s">
        <v>825</v>
      </c>
    </row>
    <row r="710" spans="1:13" ht="15" customHeight="1">
      <c r="A710" s="10">
        <v>46174</v>
      </c>
      <c r="B710" t="s">
        <v>1</v>
      </c>
      <c r="C710" t="s">
        <v>92</v>
      </c>
      <c r="I710">
        <v>1</v>
      </c>
      <c r="J710">
        <v>850</v>
      </c>
      <c r="M710" t="s">
        <v>826</v>
      </c>
    </row>
    <row r="711" spans="1:13" ht="15" customHeight="1">
      <c r="A711" s="10">
        <v>46174</v>
      </c>
      <c r="B711" t="s">
        <v>1</v>
      </c>
      <c r="C711" t="s">
        <v>94</v>
      </c>
      <c r="I711">
        <v>1</v>
      </c>
      <c r="J711">
        <v>56</v>
      </c>
      <c r="M711" t="s">
        <v>827</v>
      </c>
    </row>
    <row r="712" spans="1:13" ht="15" customHeight="1">
      <c r="A712" s="10">
        <v>46174</v>
      </c>
      <c r="B712" t="s">
        <v>1</v>
      </c>
      <c r="C712" t="s">
        <v>96</v>
      </c>
      <c r="I712">
        <v>1</v>
      </c>
      <c r="M712" t="s">
        <v>828</v>
      </c>
    </row>
    <row r="713" spans="1:13" ht="15" customHeight="1">
      <c r="A713" s="10">
        <v>46174</v>
      </c>
      <c r="B713" t="s">
        <v>1</v>
      </c>
      <c r="C713" t="s">
        <v>98</v>
      </c>
      <c r="J713">
        <v>189</v>
      </c>
      <c r="M713" t="s">
        <v>829</v>
      </c>
    </row>
    <row r="714" spans="1:13" ht="15" customHeight="1">
      <c r="A714" s="10">
        <v>46174</v>
      </c>
      <c r="B714" t="s">
        <v>1</v>
      </c>
      <c r="C714" t="s">
        <v>100</v>
      </c>
      <c r="I714">
        <v>1</v>
      </c>
      <c r="M714" t="s">
        <v>830</v>
      </c>
    </row>
    <row r="715" spans="1:13" ht="15" customHeight="1">
      <c r="A715" s="10">
        <v>46174</v>
      </c>
      <c r="B715" t="s">
        <v>1</v>
      </c>
      <c r="C715" t="s">
        <v>101</v>
      </c>
      <c r="J715">
        <v>314</v>
      </c>
      <c r="M715" t="s">
        <v>831</v>
      </c>
    </row>
    <row r="716" spans="1:13" ht="15" customHeight="1">
      <c r="A716" s="10">
        <v>46174</v>
      </c>
      <c r="B716" t="s">
        <v>1</v>
      </c>
      <c r="C716" t="s">
        <v>103</v>
      </c>
      <c r="I716">
        <v>0</v>
      </c>
      <c r="J716">
        <v>5</v>
      </c>
      <c r="M716" t="s">
        <v>832</v>
      </c>
    </row>
    <row r="717" spans="1:13" ht="15" customHeight="1">
      <c r="A717" s="10">
        <v>46174</v>
      </c>
      <c r="B717" t="s">
        <v>1</v>
      </c>
      <c r="C717" t="s">
        <v>106</v>
      </c>
      <c r="I717">
        <v>1</v>
      </c>
      <c r="J717">
        <v>508</v>
      </c>
      <c r="M717" t="s">
        <v>833</v>
      </c>
    </row>
    <row r="718" spans="1:13" ht="15" customHeight="1">
      <c r="A718" s="10">
        <v>46174</v>
      </c>
      <c r="B718" t="s">
        <v>1</v>
      </c>
      <c r="C718" t="s">
        <v>108</v>
      </c>
      <c r="I718">
        <v>1</v>
      </c>
      <c r="J718">
        <v>555</v>
      </c>
      <c r="M718" t="s">
        <v>834</v>
      </c>
    </row>
    <row r="719" spans="1:13" ht="15" customHeight="1">
      <c r="A719" s="10">
        <v>46174</v>
      </c>
      <c r="B719" t="s">
        <v>1</v>
      </c>
      <c r="C719" t="s">
        <v>109</v>
      </c>
      <c r="I719">
        <v>1</v>
      </c>
      <c r="J719">
        <v>552</v>
      </c>
      <c r="M719" t="s">
        <v>835</v>
      </c>
    </row>
    <row r="720" spans="1:13" ht="15" customHeight="1">
      <c r="A720" s="10">
        <v>46174</v>
      </c>
      <c r="B720" t="s">
        <v>1</v>
      </c>
      <c r="C720" t="s">
        <v>112</v>
      </c>
      <c r="I720">
        <v>1</v>
      </c>
      <c r="J720">
        <v>38</v>
      </c>
      <c r="M720" t="s">
        <v>836</v>
      </c>
    </row>
    <row r="721" spans="1:13" ht="15" customHeight="1">
      <c r="A721" s="10">
        <v>46174</v>
      </c>
      <c r="B721" t="s">
        <v>1</v>
      </c>
      <c r="C721" t="s">
        <v>114</v>
      </c>
      <c r="I721">
        <v>1</v>
      </c>
      <c r="J721">
        <v>46</v>
      </c>
      <c r="M721" t="s">
        <v>837</v>
      </c>
    </row>
    <row r="722" spans="1:13" ht="15" customHeight="1">
      <c r="A722" s="10">
        <v>46174</v>
      </c>
      <c r="B722" t="s">
        <v>1</v>
      </c>
      <c r="C722" t="s">
        <v>115</v>
      </c>
      <c r="I722">
        <v>1</v>
      </c>
      <c r="J722">
        <v>44</v>
      </c>
      <c r="M722" t="s">
        <v>838</v>
      </c>
    </row>
    <row r="723" spans="1:13" ht="15" customHeight="1">
      <c r="A723" s="10">
        <v>46174</v>
      </c>
      <c r="B723" t="s">
        <v>1</v>
      </c>
      <c r="C723" t="s">
        <v>116</v>
      </c>
      <c r="I723">
        <v>1</v>
      </c>
      <c r="J723">
        <v>34</v>
      </c>
      <c r="M723" t="s">
        <v>839</v>
      </c>
    </row>
    <row r="724" spans="1:13" ht="15" customHeight="1">
      <c r="A724" s="10">
        <v>46174</v>
      </c>
      <c r="B724" t="s">
        <v>1</v>
      </c>
      <c r="C724" t="s">
        <v>119</v>
      </c>
      <c r="I724">
        <v>2</v>
      </c>
      <c r="M724" t="s">
        <v>840</v>
      </c>
    </row>
    <row r="725" spans="1:13" ht="15" customHeight="1">
      <c r="A725" s="10">
        <v>46174</v>
      </c>
      <c r="B725" t="s">
        <v>1</v>
      </c>
      <c r="C725" t="s">
        <v>120</v>
      </c>
      <c r="I725">
        <v>2</v>
      </c>
      <c r="M725" t="s">
        <v>841</v>
      </c>
    </row>
    <row r="726" spans="1:13" ht="15" customHeight="1">
      <c r="A726" s="10">
        <v>46174</v>
      </c>
      <c r="B726" t="s">
        <v>1</v>
      </c>
      <c r="C726" t="s">
        <v>121</v>
      </c>
      <c r="I726">
        <v>2</v>
      </c>
      <c r="M726" t="s">
        <v>842</v>
      </c>
    </row>
    <row r="727" spans="1:13" ht="15" customHeight="1">
      <c r="A727" s="10">
        <v>46174</v>
      </c>
      <c r="B727" t="s">
        <v>1</v>
      </c>
      <c r="C727" t="s">
        <v>123</v>
      </c>
      <c r="I727">
        <v>1</v>
      </c>
      <c r="M727" t="s">
        <v>843</v>
      </c>
    </row>
    <row r="728" spans="1:13" ht="15" customHeight="1">
      <c r="A728" s="10">
        <v>46174</v>
      </c>
      <c r="B728" t="s">
        <v>1</v>
      </c>
      <c r="C728" t="s">
        <v>124</v>
      </c>
      <c r="I728">
        <v>2</v>
      </c>
      <c r="M728" t="s">
        <v>844</v>
      </c>
    </row>
    <row r="729" spans="1:13" ht="15" customHeight="1">
      <c r="A729" s="10">
        <v>46174</v>
      </c>
      <c r="B729" t="s">
        <v>1</v>
      </c>
      <c r="C729" t="s">
        <v>125</v>
      </c>
      <c r="I729">
        <v>2</v>
      </c>
      <c r="M729" t="s">
        <v>845</v>
      </c>
    </row>
    <row r="730" spans="1:13" ht="15" customHeight="1">
      <c r="A730" s="10">
        <v>46174</v>
      </c>
      <c r="B730" t="s">
        <v>1</v>
      </c>
      <c r="C730" t="s">
        <v>126</v>
      </c>
      <c r="I730">
        <v>2</v>
      </c>
      <c r="M730" t="s">
        <v>846</v>
      </c>
    </row>
    <row r="731" spans="1:13" ht="15" customHeight="1">
      <c r="A731" s="10">
        <v>46174</v>
      </c>
      <c r="B731" t="s">
        <v>1</v>
      </c>
      <c r="C731" t="s">
        <v>128</v>
      </c>
      <c r="I731">
        <v>2</v>
      </c>
      <c r="M731" t="s">
        <v>847</v>
      </c>
    </row>
    <row r="732" spans="1:13" ht="15" customHeight="1">
      <c r="A732" s="10">
        <v>46174</v>
      </c>
      <c r="B732" t="s">
        <v>1</v>
      </c>
      <c r="C732" t="s">
        <v>130</v>
      </c>
      <c r="I732">
        <v>5</v>
      </c>
      <c r="M732" t="s">
        <v>848</v>
      </c>
    </row>
    <row r="733" spans="1:13" ht="15" customHeight="1">
      <c r="A733" s="10">
        <v>46174</v>
      </c>
      <c r="B733" t="s">
        <v>1</v>
      </c>
      <c r="C733" t="s">
        <v>285</v>
      </c>
      <c r="I733">
        <v>2</v>
      </c>
      <c r="M733" t="s">
        <v>849</v>
      </c>
    </row>
    <row r="734" spans="1:13" ht="15" customHeight="1">
      <c r="A734" s="10">
        <v>46174</v>
      </c>
      <c r="B734" t="s">
        <v>1</v>
      </c>
      <c r="C734" t="s">
        <v>287</v>
      </c>
      <c r="I734">
        <v>2</v>
      </c>
      <c r="M734" t="s">
        <v>850</v>
      </c>
    </row>
    <row r="735" spans="1:13" ht="15" customHeight="1">
      <c r="A735" s="10">
        <v>46174</v>
      </c>
      <c r="B735" t="s">
        <v>1</v>
      </c>
      <c r="C735" t="s">
        <v>289</v>
      </c>
      <c r="I735">
        <v>3</v>
      </c>
      <c r="M735" t="s">
        <v>851</v>
      </c>
    </row>
    <row r="736" spans="1:13" ht="15" customHeight="1">
      <c r="A736" s="10">
        <v>46174</v>
      </c>
      <c r="B736" t="s">
        <v>1</v>
      </c>
      <c r="C736" t="s">
        <v>291</v>
      </c>
      <c r="I736">
        <v>2</v>
      </c>
      <c r="M736" t="s">
        <v>852</v>
      </c>
    </row>
    <row r="737" spans="1:13" ht="15" customHeight="1">
      <c r="A737" s="10">
        <v>46174</v>
      </c>
      <c r="B737" t="s">
        <v>1</v>
      </c>
      <c r="C737" t="s">
        <v>293</v>
      </c>
      <c r="I737">
        <v>3</v>
      </c>
      <c r="M737" t="s">
        <v>853</v>
      </c>
    </row>
    <row r="738" spans="1:13" ht="15" customHeight="1">
      <c r="A738" s="10">
        <v>46174</v>
      </c>
      <c r="B738" t="s">
        <v>1</v>
      </c>
      <c r="C738" s="135" t="s">
        <v>138</v>
      </c>
      <c r="I738">
        <v>0</v>
      </c>
      <c r="J738">
        <v>20</v>
      </c>
      <c r="M738" t="s">
        <v>854</v>
      </c>
    </row>
    <row r="739" spans="1:13" ht="15" customHeight="1">
      <c r="A739" s="10">
        <v>46174</v>
      </c>
      <c r="B739" t="s">
        <v>1</v>
      </c>
      <c r="C739" s="135" t="s">
        <v>139</v>
      </c>
      <c r="I739">
        <v>0</v>
      </c>
      <c r="J739">
        <v>18</v>
      </c>
      <c r="M739" t="s">
        <v>855</v>
      </c>
    </row>
    <row r="740" spans="1:13" ht="15" customHeight="1">
      <c r="A740" s="10">
        <v>46174</v>
      </c>
      <c r="B740" t="s">
        <v>1</v>
      </c>
      <c r="C740" s="135" t="s">
        <v>140</v>
      </c>
      <c r="I740">
        <v>0</v>
      </c>
      <c r="J740">
        <v>15</v>
      </c>
      <c r="M740" t="s">
        <v>856</v>
      </c>
    </row>
    <row r="741" spans="1:13" ht="15" customHeight="1">
      <c r="A741" s="10">
        <v>46174</v>
      </c>
      <c r="B741" t="s">
        <v>1</v>
      </c>
      <c r="C741" s="135" t="s">
        <v>143</v>
      </c>
      <c r="I741">
        <v>0</v>
      </c>
      <c r="J741">
        <v>30</v>
      </c>
      <c r="M741" t="s">
        <v>857</v>
      </c>
    </row>
    <row r="742" spans="1:13" ht="15" customHeight="1">
      <c r="A742" s="10">
        <v>46174</v>
      </c>
      <c r="B742" t="s">
        <v>1</v>
      </c>
      <c r="C742" s="135" t="s">
        <v>145</v>
      </c>
      <c r="I742">
        <v>0</v>
      </c>
      <c r="J742">
        <v>25</v>
      </c>
      <c r="M742" t="s">
        <v>858</v>
      </c>
    </row>
    <row r="743" spans="1:13" ht="15" customHeight="1">
      <c r="A743" s="10">
        <v>46174</v>
      </c>
      <c r="B743" t="s">
        <v>1</v>
      </c>
      <c r="C743" s="135" t="s">
        <v>147</v>
      </c>
      <c r="I743">
        <v>0</v>
      </c>
      <c r="J743">
        <v>35</v>
      </c>
      <c r="M743" t="s">
        <v>859</v>
      </c>
    </row>
    <row r="744" spans="1:13" ht="15" customHeight="1">
      <c r="A744" s="10">
        <v>46174</v>
      </c>
      <c r="B744" t="s">
        <v>1</v>
      </c>
      <c r="C744" t="s">
        <v>302</v>
      </c>
      <c r="I744">
        <v>2</v>
      </c>
      <c r="M744" t="s">
        <v>860</v>
      </c>
    </row>
    <row r="745" spans="1:13" ht="15" customHeight="1">
      <c r="A745" s="10">
        <v>46174</v>
      </c>
      <c r="B745" t="s">
        <v>1</v>
      </c>
      <c r="C745" t="s">
        <v>150</v>
      </c>
      <c r="I745">
        <v>2</v>
      </c>
      <c r="M745" t="s">
        <v>861</v>
      </c>
    </row>
    <row r="746" spans="1:13" ht="15" customHeight="1">
      <c r="A746" s="10">
        <v>46174</v>
      </c>
      <c r="B746" t="s">
        <v>1</v>
      </c>
      <c r="C746" t="s">
        <v>151</v>
      </c>
      <c r="I746">
        <v>2</v>
      </c>
      <c r="M746" t="s">
        <v>862</v>
      </c>
    </row>
    <row r="747" spans="1:13" ht="15" customHeight="1">
      <c r="A747" s="10">
        <v>46174</v>
      </c>
      <c r="B747" t="s">
        <v>1</v>
      </c>
      <c r="C747" t="s">
        <v>152</v>
      </c>
      <c r="I747">
        <v>2</v>
      </c>
      <c r="M747" t="s">
        <v>863</v>
      </c>
    </row>
    <row r="748" spans="1:13" ht="15" customHeight="1">
      <c r="A748" s="10">
        <v>46174</v>
      </c>
      <c r="B748" t="s">
        <v>1</v>
      </c>
      <c r="C748" t="s">
        <v>153</v>
      </c>
      <c r="I748">
        <v>2</v>
      </c>
      <c r="M748" t="s">
        <v>864</v>
      </c>
    </row>
    <row r="749" spans="1:13" ht="15" customHeight="1">
      <c r="A749" s="10">
        <v>46174</v>
      </c>
      <c r="B749" t="s">
        <v>1</v>
      </c>
      <c r="C749" t="s">
        <v>308</v>
      </c>
      <c r="I749">
        <v>0</v>
      </c>
      <c r="J749">
        <v>4</v>
      </c>
      <c r="M749" t="s">
        <v>865</v>
      </c>
    </row>
    <row r="750" spans="1:13" ht="15" customHeight="1">
      <c r="A750" s="10">
        <v>46174</v>
      </c>
      <c r="B750" t="s">
        <v>1</v>
      </c>
      <c r="C750" t="s">
        <v>310</v>
      </c>
      <c r="I750">
        <v>0</v>
      </c>
      <c r="J750">
        <v>2</v>
      </c>
      <c r="M750" t="s">
        <v>866</v>
      </c>
    </row>
    <row r="751" spans="1:13" ht="15" customHeight="1">
      <c r="A751" s="10">
        <v>46174</v>
      </c>
      <c r="B751" t="s">
        <v>1</v>
      </c>
      <c r="C751" t="s">
        <v>312</v>
      </c>
      <c r="I751">
        <v>0</v>
      </c>
      <c r="J751">
        <v>2</v>
      </c>
      <c r="M751" t="s">
        <v>867</v>
      </c>
    </row>
    <row r="752" spans="1:13" ht="15" customHeight="1">
      <c r="A752" s="10">
        <v>46174</v>
      </c>
      <c r="B752" t="s">
        <v>1</v>
      </c>
      <c r="C752" t="s">
        <v>314</v>
      </c>
      <c r="I752">
        <v>1</v>
      </c>
      <c r="M752" t="s">
        <v>868</v>
      </c>
    </row>
    <row r="753" spans="1:13" ht="15" customHeight="1">
      <c r="A753" s="10">
        <v>46174</v>
      </c>
      <c r="B753" t="s">
        <v>1</v>
      </c>
      <c r="C753" t="s">
        <v>316</v>
      </c>
      <c r="I753">
        <v>1</v>
      </c>
      <c r="M753" t="s">
        <v>869</v>
      </c>
    </row>
    <row r="754" spans="1:13" ht="15" customHeight="1">
      <c r="A754" s="10">
        <v>46174</v>
      </c>
      <c r="B754" t="s">
        <v>1</v>
      </c>
      <c r="C754" t="s">
        <v>318</v>
      </c>
      <c r="I754">
        <v>2</v>
      </c>
      <c r="M754" t="s">
        <v>870</v>
      </c>
    </row>
    <row r="755" spans="1:13" ht="15" customHeight="1">
      <c r="A755" s="10">
        <v>46174</v>
      </c>
      <c r="B755" t="s">
        <v>1</v>
      </c>
      <c r="C755" t="s">
        <v>320</v>
      </c>
      <c r="I755">
        <v>3</v>
      </c>
      <c r="M755" t="s">
        <v>871</v>
      </c>
    </row>
    <row r="756" spans="1:13" ht="15" customHeight="1">
      <c r="A756" s="10">
        <v>46174</v>
      </c>
      <c r="B756" t="s">
        <v>1</v>
      </c>
      <c r="C756" s="135" t="s">
        <v>168</v>
      </c>
      <c r="I756">
        <v>1</v>
      </c>
      <c r="M756" t="s">
        <v>872</v>
      </c>
    </row>
    <row r="757" spans="1:13" ht="15" customHeight="1">
      <c r="A757" s="10">
        <v>46174</v>
      </c>
      <c r="B757" t="s">
        <v>1</v>
      </c>
      <c r="C757" s="135" t="s">
        <v>170</v>
      </c>
      <c r="I757">
        <v>1</v>
      </c>
      <c r="M757" t="s">
        <v>873</v>
      </c>
    </row>
    <row r="758" spans="1:13" ht="15" customHeight="1">
      <c r="A758" s="10">
        <v>46174</v>
      </c>
      <c r="B758" t="s">
        <v>1</v>
      </c>
      <c r="C758" s="135" t="s">
        <v>171</v>
      </c>
      <c r="I758">
        <v>2</v>
      </c>
      <c r="M758" t="s">
        <v>874</v>
      </c>
    </row>
    <row r="759" spans="1:13" ht="15" customHeight="1">
      <c r="A759" s="10">
        <v>46174</v>
      </c>
      <c r="B759" t="s">
        <v>1</v>
      </c>
      <c r="C759" s="135" t="s">
        <v>172</v>
      </c>
      <c r="I759">
        <v>1</v>
      </c>
      <c r="M759" t="s">
        <v>875</v>
      </c>
    </row>
    <row r="760" spans="1:13" ht="15" customHeight="1">
      <c r="A760" s="10">
        <v>46174</v>
      </c>
      <c r="B760" t="s">
        <v>1</v>
      </c>
      <c r="C760" t="s">
        <v>176</v>
      </c>
      <c r="I760">
        <v>0</v>
      </c>
      <c r="J760">
        <v>20</v>
      </c>
      <c r="M760" t="s">
        <v>876</v>
      </c>
    </row>
    <row r="761" spans="1:13" ht="15" customHeight="1">
      <c r="A761" s="10">
        <v>46174</v>
      </c>
      <c r="B761" t="s">
        <v>1</v>
      </c>
      <c r="C761" t="s">
        <v>178</v>
      </c>
      <c r="I761">
        <v>0</v>
      </c>
      <c r="J761">
        <v>11</v>
      </c>
      <c r="M761" t="s">
        <v>877</v>
      </c>
    </row>
    <row r="762" spans="1:13" ht="15" customHeight="1">
      <c r="A762" s="10">
        <v>46174</v>
      </c>
      <c r="B762" t="s">
        <v>1</v>
      </c>
      <c r="C762" t="s">
        <v>179</v>
      </c>
      <c r="I762">
        <v>0</v>
      </c>
      <c r="J762">
        <v>20</v>
      </c>
      <c r="M762" t="s">
        <v>878</v>
      </c>
    </row>
    <row r="763" spans="1:13" ht="15" customHeight="1">
      <c r="A763" s="10">
        <v>46174</v>
      </c>
      <c r="B763" t="s">
        <v>1</v>
      </c>
      <c r="C763" t="s">
        <v>180</v>
      </c>
      <c r="I763">
        <v>0</v>
      </c>
      <c r="J763">
        <v>17</v>
      </c>
      <c r="M763" t="s">
        <v>879</v>
      </c>
    </row>
    <row r="764" spans="1:13" ht="15" customHeight="1">
      <c r="A764" s="10">
        <v>46174</v>
      </c>
      <c r="B764" t="s">
        <v>1</v>
      </c>
      <c r="C764" s="135" t="s">
        <v>182</v>
      </c>
      <c r="J764">
        <v>319</v>
      </c>
      <c r="M764" t="s">
        <v>880</v>
      </c>
    </row>
    <row r="765" spans="1:13" ht="15" customHeight="1">
      <c r="A765" s="10">
        <v>46174</v>
      </c>
      <c r="B765" t="s">
        <v>1</v>
      </c>
      <c r="C765" s="135" t="s">
        <v>184</v>
      </c>
      <c r="I765">
        <v>1</v>
      </c>
      <c r="J765">
        <v>35</v>
      </c>
      <c r="M765" t="s">
        <v>881</v>
      </c>
    </row>
    <row r="766" spans="1:13" ht="15" customHeight="1">
      <c r="A766" s="10">
        <v>46174</v>
      </c>
      <c r="B766" t="s">
        <v>1</v>
      </c>
      <c r="C766" s="135" t="s">
        <v>185</v>
      </c>
      <c r="I766">
        <v>1</v>
      </c>
      <c r="J766">
        <v>65</v>
      </c>
      <c r="M766" t="s">
        <v>882</v>
      </c>
    </row>
    <row r="767" spans="1:13" ht="15" customHeight="1">
      <c r="A767" s="10">
        <v>46174</v>
      </c>
      <c r="B767" t="s">
        <v>1</v>
      </c>
      <c r="C767" s="135" t="s">
        <v>186</v>
      </c>
      <c r="I767">
        <v>1</v>
      </c>
      <c r="J767">
        <v>87</v>
      </c>
      <c r="M767" t="s">
        <v>883</v>
      </c>
    </row>
    <row r="768" spans="1:13" ht="15" customHeight="1">
      <c r="A768" s="10">
        <v>46174</v>
      </c>
      <c r="B768" t="s">
        <v>1</v>
      </c>
      <c r="C768" t="s">
        <v>337</v>
      </c>
      <c r="I768">
        <v>2</v>
      </c>
      <c r="J768">
        <v>229</v>
      </c>
      <c r="M768" t="s">
        <v>884</v>
      </c>
    </row>
    <row r="769" spans="1:13" ht="15" customHeight="1">
      <c r="A769" s="10">
        <v>46174</v>
      </c>
      <c r="B769" t="s">
        <v>1</v>
      </c>
      <c r="C769" s="135" t="s">
        <v>191</v>
      </c>
      <c r="I769">
        <v>1</v>
      </c>
      <c r="J769">
        <v>340</v>
      </c>
      <c r="M769" t="s">
        <v>885</v>
      </c>
    </row>
    <row r="770" spans="1:13" ht="15" customHeight="1">
      <c r="A770" s="10">
        <v>46174</v>
      </c>
      <c r="B770" t="s">
        <v>1</v>
      </c>
      <c r="C770" s="135" t="s">
        <v>193</v>
      </c>
      <c r="I770">
        <v>1</v>
      </c>
      <c r="J770">
        <v>504</v>
      </c>
      <c r="M770" t="s">
        <v>886</v>
      </c>
    </row>
    <row r="771" spans="1:13" ht="15" customHeight="1">
      <c r="A771" s="10">
        <v>46174</v>
      </c>
      <c r="B771" t="s">
        <v>1</v>
      </c>
      <c r="C771" s="135" t="s">
        <v>194</v>
      </c>
      <c r="I771">
        <v>1</v>
      </c>
      <c r="J771">
        <v>32</v>
      </c>
      <c r="M771" t="s">
        <v>887</v>
      </c>
    </row>
    <row r="772" spans="1:13" ht="15" customHeight="1">
      <c r="A772" s="10">
        <v>46174</v>
      </c>
      <c r="B772" t="s">
        <v>1</v>
      </c>
      <c r="C772" s="135" t="s">
        <v>196</v>
      </c>
      <c r="I772">
        <v>1</v>
      </c>
      <c r="J772">
        <v>120</v>
      </c>
      <c r="M772" t="s">
        <v>888</v>
      </c>
    </row>
    <row r="773" spans="1:13" ht="15" customHeight="1">
      <c r="A773" s="10">
        <v>46175</v>
      </c>
      <c r="B773" t="s">
        <v>1</v>
      </c>
      <c r="C773" t="s">
        <v>23</v>
      </c>
      <c r="D773">
        <v>5</v>
      </c>
      <c r="E773">
        <v>1276</v>
      </c>
      <c r="F773">
        <v>0</v>
      </c>
      <c r="G773">
        <v>0</v>
      </c>
      <c r="H773">
        <v>0</v>
      </c>
      <c r="I773">
        <v>5</v>
      </c>
      <c r="J773">
        <v>617</v>
      </c>
      <c r="K773">
        <v>0</v>
      </c>
      <c r="L773">
        <v>0</v>
      </c>
      <c r="M773" t="s">
        <v>889</v>
      </c>
    </row>
    <row r="774" spans="1:13" ht="15" customHeight="1">
      <c r="A774" s="10">
        <v>46175</v>
      </c>
      <c r="B774" t="s">
        <v>1</v>
      </c>
      <c r="C774" t="s">
        <v>26</v>
      </c>
      <c r="D774">
        <v>0</v>
      </c>
      <c r="E774">
        <v>990</v>
      </c>
      <c r="F774">
        <v>0</v>
      </c>
      <c r="G774">
        <v>0</v>
      </c>
      <c r="H774">
        <v>0</v>
      </c>
      <c r="I774">
        <v>0</v>
      </c>
      <c r="J774">
        <v>981</v>
      </c>
      <c r="K774">
        <v>0</v>
      </c>
      <c r="L774">
        <v>0</v>
      </c>
      <c r="M774" t="s">
        <v>890</v>
      </c>
    </row>
    <row r="775" spans="1:13" ht="15" customHeight="1">
      <c r="A775" s="10">
        <v>46175</v>
      </c>
      <c r="B775" t="s">
        <v>1</v>
      </c>
      <c r="C775" t="s">
        <v>27</v>
      </c>
      <c r="D775">
        <v>1</v>
      </c>
      <c r="E775">
        <v>615</v>
      </c>
      <c r="F775">
        <v>0</v>
      </c>
      <c r="G775">
        <v>0</v>
      </c>
      <c r="H775">
        <v>0</v>
      </c>
      <c r="I775">
        <v>1</v>
      </c>
      <c r="J775">
        <v>642</v>
      </c>
      <c r="K775">
        <v>0</v>
      </c>
      <c r="L775">
        <v>0</v>
      </c>
      <c r="M775" t="s">
        <v>891</v>
      </c>
    </row>
    <row r="776" spans="1:13" ht="15" customHeight="1">
      <c r="A776" s="10">
        <v>46175</v>
      </c>
      <c r="B776" t="s">
        <v>1</v>
      </c>
      <c r="C776" t="s">
        <v>29</v>
      </c>
      <c r="D776">
        <v>1</v>
      </c>
      <c r="E776">
        <v>472</v>
      </c>
      <c r="F776">
        <v>0</v>
      </c>
      <c r="G776">
        <v>0</v>
      </c>
      <c r="H776">
        <v>0</v>
      </c>
      <c r="I776">
        <v>0</v>
      </c>
      <c r="J776">
        <v>771</v>
      </c>
      <c r="K776">
        <v>0</v>
      </c>
      <c r="L776">
        <v>0</v>
      </c>
      <c r="M776" t="s">
        <v>892</v>
      </c>
    </row>
    <row r="777" spans="1:13" ht="15" customHeight="1">
      <c r="A777" s="10">
        <v>46175</v>
      </c>
      <c r="B777" t="s">
        <v>1</v>
      </c>
      <c r="C777" t="s">
        <v>30</v>
      </c>
      <c r="D777">
        <v>1</v>
      </c>
      <c r="E777">
        <v>883</v>
      </c>
      <c r="F777">
        <v>0</v>
      </c>
      <c r="G777">
        <v>0</v>
      </c>
      <c r="H777">
        <v>0</v>
      </c>
      <c r="I777">
        <v>1</v>
      </c>
      <c r="J777">
        <v>880</v>
      </c>
      <c r="K777">
        <v>0</v>
      </c>
      <c r="L777">
        <v>0</v>
      </c>
      <c r="M777" t="s">
        <v>893</v>
      </c>
    </row>
    <row r="778" spans="1:13" ht="15" customHeight="1">
      <c r="A778" s="10">
        <v>46175</v>
      </c>
      <c r="B778" t="s">
        <v>1</v>
      </c>
      <c r="C778" t="s">
        <v>31</v>
      </c>
      <c r="D778">
        <v>1</v>
      </c>
      <c r="E778">
        <v>219</v>
      </c>
      <c r="F778">
        <v>0</v>
      </c>
      <c r="G778">
        <v>0</v>
      </c>
      <c r="H778">
        <v>0</v>
      </c>
      <c r="I778">
        <v>1</v>
      </c>
      <c r="J778">
        <v>214</v>
      </c>
      <c r="K778">
        <v>0</v>
      </c>
      <c r="L778">
        <v>0</v>
      </c>
      <c r="M778" t="s">
        <v>894</v>
      </c>
    </row>
    <row r="779" spans="1:13" ht="15" customHeight="1">
      <c r="A779" s="10">
        <v>46175</v>
      </c>
      <c r="B779" t="s">
        <v>1</v>
      </c>
      <c r="C779" t="s">
        <v>32</v>
      </c>
      <c r="D779">
        <v>0</v>
      </c>
      <c r="E779">
        <v>239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895</v>
      </c>
    </row>
    <row r="780" spans="1:13" ht="15" customHeight="1">
      <c r="A780" s="10">
        <v>46175</v>
      </c>
      <c r="B780" t="s">
        <v>1</v>
      </c>
      <c r="C780" t="s">
        <v>223</v>
      </c>
      <c r="D780">
        <v>4</v>
      </c>
      <c r="E780">
        <v>272</v>
      </c>
      <c r="F780">
        <v>0</v>
      </c>
      <c r="G780">
        <v>0</v>
      </c>
      <c r="H780">
        <v>0</v>
      </c>
      <c r="I780">
        <v>3</v>
      </c>
      <c r="J780">
        <v>95</v>
      </c>
      <c r="K780">
        <v>0</v>
      </c>
      <c r="L780">
        <v>0</v>
      </c>
      <c r="M780" t="s">
        <v>896</v>
      </c>
    </row>
    <row r="781" spans="1:13" ht="15" customHeight="1">
      <c r="A781" s="10">
        <v>46175</v>
      </c>
      <c r="B781" t="s">
        <v>1</v>
      </c>
      <c r="C781" t="s">
        <v>35</v>
      </c>
      <c r="D781">
        <v>8</v>
      </c>
      <c r="E781">
        <v>0</v>
      </c>
      <c r="F781">
        <v>0</v>
      </c>
      <c r="G781">
        <v>0</v>
      </c>
      <c r="H781">
        <v>2</v>
      </c>
      <c r="I781">
        <v>5</v>
      </c>
      <c r="J781">
        <v>0</v>
      </c>
      <c r="K781">
        <v>1</v>
      </c>
      <c r="L781">
        <v>0</v>
      </c>
      <c r="M781" t="s">
        <v>897</v>
      </c>
    </row>
    <row r="782" spans="1:13" ht="15" customHeight="1">
      <c r="A782" s="10">
        <v>46175</v>
      </c>
      <c r="B782" t="s">
        <v>1</v>
      </c>
      <c r="C782" t="s">
        <v>37</v>
      </c>
      <c r="D782">
        <v>3</v>
      </c>
      <c r="E782">
        <v>0</v>
      </c>
      <c r="F782">
        <v>0</v>
      </c>
      <c r="G782">
        <v>0</v>
      </c>
      <c r="H782">
        <v>0</v>
      </c>
      <c r="I782">
        <v>3</v>
      </c>
      <c r="J782">
        <v>0</v>
      </c>
      <c r="K782">
        <v>0</v>
      </c>
      <c r="L782">
        <v>0</v>
      </c>
      <c r="M782" t="s">
        <v>898</v>
      </c>
    </row>
    <row r="783" spans="1:13" ht="15" customHeight="1">
      <c r="A783" s="10">
        <v>46175</v>
      </c>
      <c r="B783" t="s">
        <v>1</v>
      </c>
      <c r="C783" t="s">
        <v>39</v>
      </c>
      <c r="D783">
        <v>14</v>
      </c>
      <c r="E783">
        <v>0</v>
      </c>
      <c r="F783">
        <v>0</v>
      </c>
      <c r="G783">
        <v>0</v>
      </c>
      <c r="H783">
        <v>0</v>
      </c>
      <c r="I783">
        <v>14</v>
      </c>
      <c r="J783">
        <v>0</v>
      </c>
      <c r="K783">
        <v>0</v>
      </c>
      <c r="L783">
        <v>0</v>
      </c>
      <c r="M783" t="s">
        <v>899</v>
      </c>
    </row>
    <row r="784" spans="1:13" ht="15" customHeight="1">
      <c r="A784" s="10">
        <v>46175</v>
      </c>
      <c r="B784" t="s">
        <v>1</v>
      </c>
      <c r="C784" t="s">
        <v>41</v>
      </c>
      <c r="D784">
        <v>18</v>
      </c>
      <c r="E784">
        <v>0</v>
      </c>
      <c r="F784">
        <v>0</v>
      </c>
      <c r="G784">
        <v>0</v>
      </c>
      <c r="H784">
        <v>0</v>
      </c>
      <c r="I784">
        <v>18</v>
      </c>
      <c r="J784">
        <v>0</v>
      </c>
      <c r="K784">
        <v>0</v>
      </c>
      <c r="L784">
        <v>0</v>
      </c>
      <c r="M784" t="s">
        <v>900</v>
      </c>
    </row>
    <row r="785" spans="1:13" ht="15" customHeight="1">
      <c r="A785" s="10">
        <v>46175</v>
      </c>
      <c r="B785" t="s">
        <v>1</v>
      </c>
      <c r="C785" t="s">
        <v>232</v>
      </c>
      <c r="D785">
        <v>20</v>
      </c>
      <c r="E785">
        <v>0</v>
      </c>
      <c r="F785">
        <v>0</v>
      </c>
      <c r="G785">
        <v>0</v>
      </c>
      <c r="H785">
        <v>0</v>
      </c>
      <c r="I785">
        <v>20</v>
      </c>
      <c r="J785">
        <v>0</v>
      </c>
      <c r="K785">
        <v>0</v>
      </c>
      <c r="L785">
        <v>0</v>
      </c>
      <c r="M785" t="s">
        <v>901</v>
      </c>
    </row>
    <row r="786" spans="1:13" ht="15" customHeight="1">
      <c r="A786" s="10">
        <v>46175</v>
      </c>
      <c r="B786" t="s">
        <v>1</v>
      </c>
      <c r="C786" t="s">
        <v>234</v>
      </c>
      <c r="D786">
        <v>63</v>
      </c>
      <c r="E786">
        <v>0</v>
      </c>
      <c r="F786">
        <v>0</v>
      </c>
      <c r="G786">
        <v>0</v>
      </c>
      <c r="H786">
        <v>3</v>
      </c>
      <c r="I786">
        <v>60</v>
      </c>
      <c r="J786">
        <v>0</v>
      </c>
      <c r="K786">
        <v>0</v>
      </c>
      <c r="L786">
        <v>0</v>
      </c>
      <c r="M786" t="s">
        <v>902</v>
      </c>
    </row>
    <row r="787" spans="1:13" ht="15" customHeight="1">
      <c r="A787" s="10">
        <v>46175</v>
      </c>
      <c r="B787" t="s">
        <v>1</v>
      </c>
      <c r="C787" t="s">
        <v>237</v>
      </c>
      <c r="D787">
        <v>14</v>
      </c>
      <c r="E787">
        <v>0</v>
      </c>
      <c r="F787">
        <v>0</v>
      </c>
      <c r="G787">
        <v>0</v>
      </c>
      <c r="H787">
        <v>0</v>
      </c>
      <c r="I787">
        <v>14</v>
      </c>
      <c r="J787">
        <v>0</v>
      </c>
      <c r="K787">
        <v>0</v>
      </c>
      <c r="L787">
        <v>0</v>
      </c>
      <c r="M787" t="s">
        <v>903</v>
      </c>
    </row>
    <row r="788" spans="1:13" ht="15" customHeight="1">
      <c r="A788" s="10">
        <v>46175</v>
      </c>
      <c r="B788" t="s">
        <v>1</v>
      </c>
      <c r="C788" s="135" t="s">
        <v>60</v>
      </c>
      <c r="D788">
        <v>1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 t="s">
        <v>904</v>
      </c>
    </row>
    <row r="789" spans="1:13" ht="15" customHeight="1">
      <c r="A789" s="10">
        <v>46175</v>
      </c>
      <c r="B789" t="s">
        <v>1</v>
      </c>
      <c r="C789" s="135" t="s">
        <v>61</v>
      </c>
      <c r="D789">
        <v>5</v>
      </c>
      <c r="E789">
        <v>0</v>
      </c>
      <c r="F789">
        <v>0</v>
      </c>
      <c r="G789">
        <v>0</v>
      </c>
      <c r="H789">
        <v>0</v>
      </c>
      <c r="I789">
        <v>5</v>
      </c>
      <c r="J789">
        <v>0</v>
      </c>
      <c r="K789">
        <v>0</v>
      </c>
      <c r="L789">
        <v>0</v>
      </c>
      <c r="M789" t="s">
        <v>905</v>
      </c>
    </row>
    <row r="790" spans="1:13" ht="15" customHeight="1">
      <c r="A790" s="10">
        <v>46175</v>
      </c>
      <c r="B790" t="s">
        <v>1</v>
      </c>
      <c r="C790" s="135" t="s">
        <v>62</v>
      </c>
      <c r="D790">
        <v>1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 t="s">
        <v>906</v>
      </c>
    </row>
    <row r="791" spans="1:13" ht="15" customHeight="1">
      <c r="A791" s="10">
        <v>46175</v>
      </c>
      <c r="B791" t="s">
        <v>1</v>
      </c>
      <c r="C791" s="135" t="s">
        <v>63</v>
      </c>
      <c r="D791">
        <v>2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</v>
      </c>
      <c r="L791">
        <v>0</v>
      </c>
      <c r="M791" t="s">
        <v>907</v>
      </c>
    </row>
    <row r="792" spans="1:13" ht="15" customHeight="1">
      <c r="A792" s="10">
        <v>46175</v>
      </c>
      <c r="B792" t="s">
        <v>1</v>
      </c>
      <c r="C792" s="135" t="s">
        <v>64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908</v>
      </c>
    </row>
    <row r="793" spans="1:13" ht="15" customHeight="1">
      <c r="A793" s="10">
        <v>46175</v>
      </c>
      <c r="B793" t="s">
        <v>1</v>
      </c>
      <c r="C793" t="s">
        <v>66</v>
      </c>
      <c r="D793">
        <v>3</v>
      </c>
      <c r="E793">
        <v>0</v>
      </c>
      <c r="F793">
        <v>0</v>
      </c>
      <c r="G793">
        <v>0</v>
      </c>
      <c r="H793">
        <v>0</v>
      </c>
      <c r="I793">
        <v>3</v>
      </c>
      <c r="J793">
        <v>0</v>
      </c>
      <c r="K793">
        <v>0</v>
      </c>
      <c r="L793">
        <v>0</v>
      </c>
      <c r="M793" t="s">
        <v>909</v>
      </c>
    </row>
    <row r="794" spans="1:13" ht="15" customHeight="1">
      <c r="A794" s="10">
        <v>46175</v>
      </c>
      <c r="B794" t="s">
        <v>1</v>
      </c>
      <c r="C794" t="s">
        <v>67</v>
      </c>
      <c r="D794">
        <v>6</v>
      </c>
      <c r="E794">
        <v>0</v>
      </c>
      <c r="F794">
        <v>0</v>
      </c>
      <c r="G794">
        <v>0</v>
      </c>
      <c r="H794">
        <v>2</v>
      </c>
      <c r="I794">
        <v>4</v>
      </c>
      <c r="J794">
        <v>0</v>
      </c>
      <c r="K794">
        <v>0</v>
      </c>
      <c r="L794">
        <v>0</v>
      </c>
      <c r="M794" t="s">
        <v>910</v>
      </c>
    </row>
    <row r="795" spans="1:13" ht="15" customHeight="1">
      <c r="A795" s="10">
        <v>46175</v>
      </c>
      <c r="B795" t="s">
        <v>1</v>
      </c>
      <c r="C795" t="s">
        <v>71</v>
      </c>
      <c r="D795">
        <v>1</v>
      </c>
      <c r="E795">
        <v>208</v>
      </c>
      <c r="F795">
        <v>0</v>
      </c>
      <c r="G795">
        <v>0</v>
      </c>
      <c r="H795">
        <v>0</v>
      </c>
      <c r="I795">
        <v>1</v>
      </c>
      <c r="J795">
        <v>72</v>
      </c>
      <c r="K795">
        <v>0</v>
      </c>
      <c r="L795">
        <v>0</v>
      </c>
      <c r="M795" t="s">
        <v>911</v>
      </c>
    </row>
    <row r="796" spans="1:13" ht="15" customHeight="1">
      <c r="A796" s="10">
        <v>46175</v>
      </c>
      <c r="B796" t="s">
        <v>1</v>
      </c>
      <c r="C796" t="s">
        <v>73</v>
      </c>
      <c r="D796">
        <v>2</v>
      </c>
      <c r="E796">
        <v>149</v>
      </c>
      <c r="F796">
        <v>0</v>
      </c>
      <c r="G796">
        <v>0</v>
      </c>
      <c r="H796">
        <v>0</v>
      </c>
      <c r="I796">
        <v>2</v>
      </c>
      <c r="J796">
        <v>134</v>
      </c>
      <c r="K796">
        <v>0</v>
      </c>
      <c r="L796">
        <v>0</v>
      </c>
      <c r="M796" t="s">
        <v>912</v>
      </c>
    </row>
    <row r="797" spans="1:13" ht="15" customHeight="1">
      <c r="A797" s="10">
        <v>46175</v>
      </c>
      <c r="B797" t="s">
        <v>1</v>
      </c>
      <c r="C797" t="s">
        <v>75</v>
      </c>
      <c r="D797">
        <v>1</v>
      </c>
      <c r="E797">
        <v>176</v>
      </c>
      <c r="F797">
        <v>0</v>
      </c>
      <c r="G797">
        <v>0</v>
      </c>
      <c r="H797">
        <v>0</v>
      </c>
      <c r="I797">
        <v>1</v>
      </c>
      <c r="J797">
        <v>152</v>
      </c>
      <c r="K797">
        <v>0</v>
      </c>
      <c r="L797">
        <v>0</v>
      </c>
      <c r="M797" t="s">
        <v>913</v>
      </c>
    </row>
    <row r="798" spans="1:13" ht="15" customHeight="1">
      <c r="A798" s="10">
        <v>46175</v>
      </c>
      <c r="B798" t="s">
        <v>1</v>
      </c>
      <c r="C798" t="s">
        <v>77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 t="s">
        <v>914</v>
      </c>
    </row>
    <row r="799" spans="1:13" ht="15" customHeight="1">
      <c r="A799" s="10">
        <v>46175</v>
      </c>
      <c r="B799" t="s">
        <v>1</v>
      </c>
      <c r="C799" t="s">
        <v>79</v>
      </c>
      <c r="D799">
        <v>0</v>
      </c>
      <c r="E799">
        <v>1822</v>
      </c>
      <c r="F799">
        <v>0</v>
      </c>
      <c r="G799">
        <v>0</v>
      </c>
      <c r="H799">
        <v>0</v>
      </c>
      <c r="I799">
        <v>0</v>
      </c>
      <c r="J799">
        <v>1549</v>
      </c>
      <c r="K799">
        <v>0</v>
      </c>
      <c r="L799">
        <v>0</v>
      </c>
      <c r="M799" t="s">
        <v>915</v>
      </c>
    </row>
    <row r="800" spans="1:13" ht="15" customHeight="1">
      <c r="A800" s="10">
        <v>46175</v>
      </c>
      <c r="B800" t="s">
        <v>1</v>
      </c>
      <c r="C800" t="s">
        <v>81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 t="s">
        <v>916</v>
      </c>
    </row>
    <row r="801" spans="1:13" ht="15" customHeight="1">
      <c r="A801" s="10">
        <v>46175</v>
      </c>
      <c r="B801" t="s">
        <v>1</v>
      </c>
      <c r="C801" t="s">
        <v>83</v>
      </c>
      <c r="D801">
        <v>1</v>
      </c>
      <c r="E801">
        <v>350</v>
      </c>
      <c r="F801">
        <v>0</v>
      </c>
      <c r="G801">
        <v>0</v>
      </c>
      <c r="H801">
        <v>0</v>
      </c>
      <c r="I801">
        <v>1</v>
      </c>
      <c r="J801">
        <v>350</v>
      </c>
      <c r="K801">
        <v>0</v>
      </c>
      <c r="L801">
        <v>0</v>
      </c>
      <c r="M801" t="s">
        <v>917</v>
      </c>
    </row>
    <row r="802" spans="1:13" ht="15" customHeight="1">
      <c r="A802" s="10">
        <v>46175</v>
      </c>
      <c r="B802" t="s">
        <v>1</v>
      </c>
      <c r="C802" t="s">
        <v>84</v>
      </c>
      <c r="D802">
        <v>1</v>
      </c>
      <c r="E802">
        <v>346</v>
      </c>
      <c r="F802">
        <v>0</v>
      </c>
      <c r="G802">
        <v>0</v>
      </c>
      <c r="H802">
        <v>0</v>
      </c>
      <c r="I802">
        <v>0</v>
      </c>
      <c r="J802">
        <v>346</v>
      </c>
      <c r="K802">
        <v>0</v>
      </c>
      <c r="L802">
        <v>0</v>
      </c>
      <c r="M802" t="s">
        <v>918</v>
      </c>
    </row>
    <row r="803" spans="1:13" ht="15" customHeight="1">
      <c r="A803" s="10">
        <v>46175</v>
      </c>
      <c r="B803" t="s">
        <v>1</v>
      </c>
      <c r="C803" t="s">
        <v>85</v>
      </c>
      <c r="D803">
        <v>0</v>
      </c>
      <c r="E803">
        <v>170</v>
      </c>
      <c r="F803">
        <v>0</v>
      </c>
      <c r="G803">
        <v>0</v>
      </c>
      <c r="H803">
        <v>0</v>
      </c>
      <c r="I803">
        <v>0</v>
      </c>
      <c r="J803">
        <v>170</v>
      </c>
      <c r="K803">
        <v>0</v>
      </c>
      <c r="L803">
        <v>0</v>
      </c>
      <c r="M803" t="s">
        <v>919</v>
      </c>
    </row>
    <row r="804" spans="1:13" ht="15" customHeight="1">
      <c r="A804" s="10">
        <v>46175</v>
      </c>
      <c r="B804" t="s">
        <v>1</v>
      </c>
      <c r="C804" t="s">
        <v>87</v>
      </c>
      <c r="D804">
        <v>2</v>
      </c>
      <c r="E804">
        <v>295</v>
      </c>
      <c r="F804">
        <v>0</v>
      </c>
      <c r="G804">
        <v>0</v>
      </c>
      <c r="H804">
        <v>0</v>
      </c>
      <c r="I804">
        <v>2</v>
      </c>
      <c r="J804">
        <v>188</v>
      </c>
      <c r="K804">
        <v>0</v>
      </c>
      <c r="L804">
        <v>0</v>
      </c>
      <c r="M804" t="s">
        <v>920</v>
      </c>
    </row>
    <row r="805" spans="1:13" ht="15" customHeight="1">
      <c r="A805" s="10">
        <v>46175</v>
      </c>
      <c r="B805" t="s">
        <v>1</v>
      </c>
      <c r="C805" t="s">
        <v>88</v>
      </c>
      <c r="D805">
        <v>1</v>
      </c>
      <c r="E805">
        <v>381</v>
      </c>
      <c r="F805">
        <v>0</v>
      </c>
      <c r="G805">
        <v>0</v>
      </c>
      <c r="H805">
        <v>0</v>
      </c>
      <c r="I805">
        <v>1</v>
      </c>
      <c r="J805">
        <v>278</v>
      </c>
      <c r="K805">
        <v>0</v>
      </c>
      <c r="L805">
        <v>0</v>
      </c>
      <c r="M805" t="s">
        <v>921</v>
      </c>
    </row>
    <row r="806" spans="1:13" ht="15" customHeight="1">
      <c r="A806" s="10">
        <v>46175</v>
      </c>
      <c r="B806" t="s">
        <v>1</v>
      </c>
      <c r="C806" t="s">
        <v>89</v>
      </c>
      <c r="D806">
        <v>1</v>
      </c>
      <c r="E806">
        <v>370</v>
      </c>
      <c r="F806">
        <v>0</v>
      </c>
      <c r="G806">
        <v>0</v>
      </c>
      <c r="H806">
        <v>0</v>
      </c>
      <c r="I806">
        <v>1</v>
      </c>
      <c r="J806">
        <v>367</v>
      </c>
      <c r="K806">
        <v>0</v>
      </c>
      <c r="L806">
        <v>0</v>
      </c>
      <c r="M806" t="s">
        <v>922</v>
      </c>
    </row>
    <row r="807" spans="1:13" ht="15" customHeight="1">
      <c r="A807" s="10">
        <v>46175</v>
      </c>
      <c r="B807" t="s">
        <v>1</v>
      </c>
      <c r="C807" t="s">
        <v>90</v>
      </c>
      <c r="D807">
        <v>1</v>
      </c>
      <c r="E807">
        <v>975</v>
      </c>
      <c r="F807">
        <v>0</v>
      </c>
      <c r="G807">
        <v>0</v>
      </c>
      <c r="H807">
        <v>0</v>
      </c>
      <c r="I807">
        <v>1</v>
      </c>
      <c r="J807">
        <v>975</v>
      </c>
      <c r="K807">
        <v>0</v>
      </c>
      <c r="L807">
        <v>0</v>
      </c>
      <c r="M807" t="s">
        <v>923</v>
      </c>
    </row>
    <row r="808" spans="1:13" ht="15" customHeight="1">
      <c r="A808" s="10">
        <v>46175</v>
      </c>
      <c r="B808" t="s">
        <v>1</v>
      </c>
      <c r="C808" t="s">
        <v>92</v>
      </c>
      <c r="D808">
        <v>1</v>
      </c>
      <c r="E808">
        <v>850</v>
      </c>
      <c r="F808">
        <v>0</v>
      </c>
      <c r="G808">
        <v>0</v>
      </c>
      <c r="H808">
        <v>0</v>
      </c>
      <c r="I808">
        <v>1</v>
      </c>
      <c r="J808">
        <v>850</v>
      </c>
      <c r="K808">
        <v>0</v>
      </c>
      <c r="L808">
        <v>0</v>
      </c>
      <c r="M808" t="s">
        <v>924</v>
      </c>
    </row>
    <row r="809" spans="1:13" ht="15" customHeight="1">
      <c r="A809" s="10">
        <v>46175</v>
      </c>
      <c r="B809" t="s">
        <v>1</v>
      </c>
      <c r="C809" t="s">
        <v>94</v>
      </c>
      <c r="D809">
        <v>1</v>
      </c>
      <c r="E809">
        <v>56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79</v>
      </c>
      <c r="L809">
        <v>0</v>
      </c>
      <c r="M809" t="s">
        <v>925</v>
      </c>
    </row>
    <row r="810" spans="1:13" ht="15" customHeight="1">
      <c r="A810" s="10">
        <v>46175</v>
      </c>
      <c r="B810" t="s">
        <v>1</v>
      </c>
      <c r="C810" t="s">
        <v>96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261</v>
      </c>
      <c r="K810">
        <v>0</v>
      </c>
      <c r="L810">
        <v>0</v>
      </c>
      <c r="M810" t="s">
        <v>926</v>
      </c>
    </row>
    <row r="811" spans="1:13" ht="15" customHeight="1">
      <c r="A811" s="10">
        <v>46175</v>
      </c>
      <c r="B811" t="s">
        <v>1</v>
      </c>
      <c r="C811" t="s">
        <v>98</v>
      </c>
      <c r="D811">
        <v>0</v>
      </c>
      <c r="E811">
        <v>189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88</v>
      </c>
      <c r="L811">
        <v>0</v>
      </c>
      <c r="M811" t="s">
        <v>927</v>
      </c>
    </row>
    <row r="812" spans="1:13" ht="15" customHeight="1">
      <c r="A812" s="10">
        <v>46175</v>
      </c>
      <c r="B812" t="s">
        <v>1</v>
      </c>
      <c r="C812" t="s">
        <v>203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928</v>
      </c>
      <c r="M812" t="s">
        <v>929</v>
      </c>
    </row>
    <row r="813" spans="1:13" ht="15" customHeight="1">
      <c r="A813" s="10">
        <v>46175</v>
      </c>
      <c r="B813" t="s">
        <v>1</v>
      </c>
      <c r="C813" t="s">
        <v>100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527</v>
      </c>
      <c r="K813">
        <v>0</v>
      </c>
      <c r="L813">
        <v>0</v>
      </c>
      <c r="M813" t="s">
        <v>930</v>
      </c>
    </row>
    <row r="814" spans="1:13" ht="15" customHeight="1">
      <c r="A814" s="10">
        <v>46175</v>
      </c>
      <c r="B814" t="s">
        <v>1</v>
      </c>
      <c r="C814" t="s">
        <v>101</v>
      </c>
      <c r="D814">
        <v>0</v>
      </c>
      <c r="E814">
        <v>314</v>
      </c>
      <c r="F814">
        <v>0</v>
      </c>
      <c r="G814">
        <v>0</v>
      </c>
      <c r="H814">
        <v>0</v>
      </c>
      <c r="I814">
        <v>0</v>
      </c>
      <c r="J814">
        <v>243</v>
      </c>
      <c r="K814">
        <v>0</v>
      </c>
      <c r="L814">
        <v>0</v>
      </c>
      <c r="M814" t="s">
        <v>931</v>
      </c>
    </row>
    <row r="815" spans="1:13" ht="15" customHeight="1">
      <c r="A815" s="10">
        <v>46175</v>
      </c>
      <c r="B815" t="s">
        <v>1</v>
      </c>
      <c r="C815" t="s">
        <v>103</v>
      </c>
      <c r="D815">
        <v>0</v>
      </c>
      <c r="E815">
        <v>5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4</v>
      </c>
      <c r="L815">
        <v>0</v>
      </c>
      <c r="M815" t="s">
        <v>932</v>
      </c>
    </row>
    <row r="816" spans="1:13" ht="15" customHeight="1">
      <c r="A816" s="10">
        <v>46175</v>
      </c>
      <c r="B816" t="s">
        <v>1</v>
      </c>
      <c r="C816" t="s">
        <v>106</v>
      </c>
      <c r="D816">
        <v>1</v>
      </c>
      <c r="E816">
        <v>508</v>
      </c>
      <c r="F816">
        <v>0</v>
      </c>
      <c r="G816">
        <v>0</v>
      </c>
      <c r="H816">
        <v>0</v>
      </c>
      <c r="I816">
        <v>1</v>
      </c>
      <c r="J816">
        <v>418</v>
      </c>
      <c r="K816">
        <v>0</v>
      </c>
      <c r="L816">
        <v>0</v>
      </c>
      <c r="M816" t="s">
        <v>933</v>
      </c>
    </row>
    <row r="817" spans="1:13" ht="15" customHeight="1">
      <c r="A817" s="10">
        <v>46175</v>
      </c>
      <c r="B817" t="s">
        <v>1</v>
      </c>
      <c r="C817" t="s">
        <v>108</v>
      </c>
      <c r="D817">
        <v>1</v>
      </c>
      <c r="E817">
        <v>555</v>
      </c>
      <c r="F817">
        <v>0</v>
      </c>
      <c r="G817">
        <v>0</v>
      </c>
      <c r="H817">
        <v>0</v>
      </c>
      <c r="I817">
        <v>1</v>
      </c>
      <c r="J817">
        <v>536</v>
      </c>
      <c r="K817">
        <v>0</v>
      </c>
      <c r="L817">
        <v>0</v>
      </c>
      <c r="M817" t="s">
        <v>934</v>
      </c>
    </row>
    <row r="818" spans="1:13" ht="15" customHeight="1">
      <c r="A818" s="10">
        <v>46175</v>
      </c>
      <c r="B818" t="s">
        <v>1</v>
      </c>
      <c r="C818" t="s">
        <v>109</v>
      </c>
      <c r="D818">
        <v>1</v>
      </c>
      <c r="E818">
        <v>552</v>
      </c>
      <c r="F818">
        <v>0</v>
      </c>
      <c r="G818">
        <v>0</v>
      </c>
      <c r="H818">
        <v>0</v>
      </c>
      <c r="I818">
        <v>1</v>
      </c>
      <c r="J818">
        <v>757</v>
      </c>
      <c r="K818">
        <v>0</v>
      </c>
      <c r="L818">
        <v>0</v>
      </c>
      <c r="M818" t="s">
        <v>935</v>
      </c>
    </row>
    <row r="819" spans="1:13" ht="15" customHeight="1">
      <c r="A819" s="10">
        <v>46175</v>
      </c>
      <c r="B819" t="s">
        <v>1</v>
      </c>
      <c r="C819" t="s">
        <v>112</v>
      </c>
      <c r="D819">
        <v>1</v>
      </c>
      <c r="E819">
        <v>38</v>
      </c>
      <c r="F819">
        <v>0</v>
      </c>
      <c r="G819">
        <v>0</v>
      </c>
      <c r="H819">
        <v>0</v>
      </c>
      <c r="I819">
        <v>1</v>
      </c>
      <c r="J819">
        <v>34</v>
      </c>
      <c r="K819">
        <v>0</v>
      </c>
      <c r="L819">
        <v>0</v>
      </c>
      <c r="M819" t="s">
        <v>936</v>
      </c>
    </row>
    <row r="820" spans="1:13" ht="15" customHeight="1">
      <c r="A820" s="10">
        <v>46175</v>
      </c>
      <c r="B820" t="s">
        <v>1</v>
      </c>
      <c r="C820" t="s">
        <v>114</v>
      </c>
      <c r="D820">
        <v>1</v>
      </c>
      <c r="E820">
        <v>46</v>
      </c>
      <c r="F820">
        <v>0</v>
      </c>
      <c r="G820">
        <v>0</v>
      </c>
      <c r="H820">
        <v>0</v>
      </c>
      <c r="I820">
        <v>1</v>
      </c>
      <c r="J820">
        <v>42</v>
      </c>
      <c r="K820">
        <v>0</v>
      </c>
      <c r="L820">
        <v>0</v>
      </c>
      <c r="M820" t="s">
        <v>937</v>
      </c>
    </row>
    <row r="821" spans="1:13" ht="15" customHeight="1">
      <c r="A821" s="10">
        <v>46175</v>
      </c>
      <c r="B821" t="s">
        <v>1</v>
      </c>
      <c r="C821" t="s">
        <v>115</v>
      </c>
      <c r="D821">
        <v>1</v>
      </c>
      <c r="E821">
        <v>44</v>
      </c>
      <c r="F821">
        <v>0</v>
      </c>
      <c r="G821">
        <v>0</v>
      </c>
      <c r="H821">
        <v>0</v>
      </c>
      <c r="I821">
        <v>1</v>
      </c>
      <c r="J821">
        <v>38</v>
      </c>
      <c r="K821">
        <v>0</v>
      </c>
      <c r="L821">
        <v>0</v>
      </c>
      <c r="M821" t="s">
        <v>938</v>
      </c>
    </row>
    <row r="822" spans="1:13" ht="15" customHeight="1">
      <c r="A822" s="10">
        <v>46175</v>
      </c>
      <c r="B822" t="s">
        <v>1</v>
      </c>
      <c r="C822" t="s">
        <v>116</v>
      </c>
      <c r="D822">
        <v>1</v>
      </c>
      <c r="E822">
        <v>34</v>
      </c>
      <c r="F822">
        <v>0</v>
      </c>
      <c r="G822">
        <v>0</v>
      </c>
      <c r="H822">
        <v>0</v>
      </c>
      <c r="I822">
        <v>1</v>
      </c>
      <c r="J822">
        <v>26</v>
      </c>
      <c r="K822">
        <v>0</v>
      </c>
      <c r="L822">
        <v>0</v>
      </c>
      <c r="M822" t="s">
        <v>939</v>
      </c>
    </row>
    <row r="823" spans="1:13" ht="15" customHeight="1">
      <c r="A823" s="10">
        <v>46175</v>
      </c>
      <c r="B823" t="s">
        <v>1</v>
      </c>
      <c r="C823" t="s">
        <v>119</v>
      </c>
      <c r="D823">
        <v>2</v>
      </c>
      <c r="E823">
        <v>0</v>
      </c>
      <c r="F823">
        <v>0</v>
      </c>
      <c r="G823">
        <v>0</v>
      </c>
      <c r="H823">
        <v>0</v>
      </c>
      <c r="I823">
        <v>2</v>
      </c>
      <c r="J823">
        <v>0</v>
      </c>
      <c r="K823">
        <v>0</v>
      </c>
      <c r="L823">
        <v>0</v>
      </c>
      <c r="M823" t="s">
        <v>940</v>
      </c>
    </row>
    <row r="824" spans="1:13" ht="15" customHeight="1">
      <c r="A824" s="10">
        <v>46175</v>
      </c>
      <c r="B824" t="s">
        <v>1</v>
      </c>
      <c r="C824" t="s">
        <v>120</v>
      </c>
      <c r="D824">
        <v>2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 t="s">
        <v>941</v>
      </c>
    </row>
    <row r="825" spans="1:13" ht="15" customHeight="1">
      <c r="A825" s="10">
        <v>46175</v>
      </c>
      <c r="B825" t="s">
        <v>1</v>
      </c>
      <c r="C825" t="s">
        <v>121</v>
      </c>
      <c r="D825">
        <v>2</v>
      </c>
      <c r="E825">
        <v>0</v>
      </c>
      <c r="F825">
        <v>0</v>
      </c>
      <c r="G825">
        <v>0</v>
      </c>
      <c r="H825">
        <v>0</v>
      </c>
      <c r="I825">
        <v>2</v>
      </c>
      <c r="J825">
        <v>0</v>
      </c>
      <c r="K825">
        <v>0</v>
      </c>
      <c r="L825">
        <v>0</v>
      </c>
      <c r="M825" t="s">
        <v>942</v>
      </c>
    </row>
    <row r="826" spans="1:13" ht="15" customHeight="1">
      <c r="A826" s="10">
        <v>46175</v>
      </c>
      <c r="B826" t="s">
        <v>1</v>
      </c>
      <c r="C826" t="s">
        <v>123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 t="s">
        <v>943</v>
      </c>
    </row>
    <row r="827" spans="1:13" ht="15" customHeight="1">
      <c r="A827" s="10">
        <v>46175</v>
      </c>
      <c r="B827" t="s">
        <v>1</v>
      </c>
      <c r="C827" t="s">
        <v>124</v>
      </c>
      <c r="D827">
        <v>2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 t="s">
        <v>944</v>
      </c>
    </row>
    <row r="828" spans="1:13" ht="15" customHeight="1">
      <c r="A828" s="10">
        <v>46175</v>
      </c>
      <c r="B828" t="s">
        <v>1</v>
      </c>
      <c r="C828" t="s">
        <v>125</v>
      </c>
      <c r="D828">
        <v>2</v>
      </c>
      <c r="E828">
        <v>0</v>
      </c>
      <c r="F828">
        <v>0</v>
      </c>
      <c r="G828">
        <v>0</v>
      </c>
      <c r="H828">
        <v>0</v>
      </c>
      <c r="I828">
        <v>2</v>
      </c>
      <c r="J828">
        <v>0</v>
      </c>
      <c r="K828">
        <v>0</v>
      </c>
      <c r="L828">
        <v>0</v>
      </c>
      <c r="M828" t="s">
        <v>945</v>
      </c>
    </row>
    <row r="829" spans="1:13" ht="15" customHeight="1">
      <c r="A829" s="10">
        <v>46175</v>
      </c>
      <c r="B829" t="s">
        <v>1</v>
      </c>
      <c r="C829" t="s">
        <v>126</v>
      </c>
      <c r="D829">
        <v>2</v>
      </c>
      <c r="E829">
        <v>0</v>
      </c>
      <c r="F829">
        <v>0</v>
      </c>
      <c r="G829">
        <v>0</v>
      </c>
      <c r="H829">
        <v>0</v>
      </c>
      <c r="I829">
        <v>2</v>
      </c>
      <c r="J829">
        <v>0</v>
      </c>
      <c r="K829">
        <v>0</v>
      </c>
      <c r="L829">
        <v>0</v>
      </c>
      <c r="M829" t="s">
        <v>946</v>
      </c>
    </row>
    <row r="830" spans="1:13" ht="15" customHeight="1">
      <c r="A830" s="10">
        <v>46175</v>
      </c>
      <c r="B830" t="s">
        <v>1</v>
      </c>
      <c r="C830" t="s">
        <v>128</v>
      </c>
      <c r="D830">
        <v>2</v>
      </c>
      <c r="E830">
        <v>0</v>
      </c>
      <c r="F830">
        <v>0</v>
      </c>
      <c r="G830">
        <v>0</v>
      </c>
      <c r="H830">
        <v>0</v>
      </c>
      <c r="I830">
        <v>2</v>
      </c>
      <c r="J830">
        <v>0</v>
      </c>
      <c r="K830">
        <v>0</v>
      </c>
      <c r="L830">
        <v>0</v>
      </c>
      <c r="M830" t="s">
        <v>947</v>
      </c>
    </row>
    <row r="831" spans="1:13" ht="15" customHeight="1">
      <c r="A831" s="10">
        <v>46175</v>
      </c>
      <c r="B831" t="s">
        <v>1</v>
      </c>
      <c r="C831" t="s">
        <v>130</v>
      </c>
      <c r="D831">
        <v>5</v>
      </c>
      <c r="E831">
        <v>0</v>
      </c>
      <c r="F831">
        <v>0</v>
      </c>
      <c r="G831">
        <v>0</v>
      </c>
      <c r="H831">
        <v>0</v>
      </c>
      <c r="I831">
        <v>5</v>
      </c>
      <c r="J831">
        <v>0</v>
      </c>
      <c r="K831">
        <v>0</v>
      </c>
      <c r="L831">
        <v>0</v>
      </c>
      <c r="M831" t="s">
        <v>948</v>
      </c>
    </row>
    <row r="832" spans="1:13" ht="15" customHeight="1">
      <c r="A832" s="10">
        <v>46175</v>
      </c>
      <c r="B832" t="s">
        <v>1</v>
      </c>
      <c r="C832" t="s">
        <v>285</v>
      </c>
      <c r="D832">
        <v>2</v>
      </c>
      <c r="E832">
        <v>0</v>
      </c>
      <c r="F832">
        <v>0</v>
      </c>
      <c r="G832">
        <v>0</v>
      </c>
      <c r="H832">
        <v>0</v>
      </c>
      <c r="I832">
        <v>2</v>
      </c>
      <c r="J832">
        <v>0</v>
      </c>
      <c r="K832">
        <v>0</v>
      </c>
      <c r="L832">
        <v>0</v>
      </c>
      <c r="M832" t="s">
        <v>949</v>
      </c>
    </row>
    <row r="833" spans="1:13" ht="15" customHeight="1">
      <c r="A833" s="10">
        <v>46175</v>
      </c>
      <c r="B833" t="s">
        <v>1</v>
      </c>
      <c r="C833" t="s">
        <v>287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2</v>
      </c>
      <c r="J833">
        <v>0</v>
      </c>
      <c r="K833">
        <v>0</v>
      </c>
      <c r="L833">
        <v>0</v>
      </c>
      <c r="M833" t="s">
        <v>950</v>
      </c>
    </row>
    <row r="834" spans="1:13" ht="15" customHeight="1">
      <c r="A834" s="10">
        <v>46175</v>
      </c>
      <c r="B834" t="s">
        <v>1</v>
      </c>
      <c r="C834" t="s">
        <v>289</v>
      </c>
      <c r="D834">
        <v>3</v>
      </c>
      <c r="E834">
        <v>0</v>
      </c>
      <c r="F834">
        <v>0</v>
      </c>
      <c r="G834">
        <v>0</v>
      </c>
      <c r="H834">
        <v>0</v>
      </c>
      <c r="I834">
        <v>3</v>
      </c>
      <c r="J834">
        <v>0</v>
      </c>
      <c r="K834">
        <v>0</v>
      </c>
      <c r="L834">
        <v>0</v>
      </c>
      <c r="M834" t="s">
        <v>951</v>
      </c>
    </row>
    <row r="835" spans="1:13" ht="15" customHeight="1">
      <c r="A835" s="10">
        <v>46175</v>
      </c>
      <c r="B835" t="s">
        <v>1</v>
      </c>
      <c r="C835" t="s">
        <v>291</v>
      </c>
      <c r="D835">
        <v>2</v>
      </c>
      <c r="E835">
        <v>0</v>
      </c>
      <c r="F835">
        <v>0</v>
      </c>
      <c r="G835">
        <v>0</v>
      </c>
      <c r="H835">
        <v>0</v>
      </c>
      <c r="I835">
        <v>2</v>
      </c>
      <c r="J835">
        <v>0</v>
      </c>
      <c r="K835">
        <v>0</v>
      </c>
      <c r="L835">
        <v>0</v>
      </c>
      <c r="M835" t="s">
        <v>952</v>
      </c>
    </row>
    <row r="836" spans="1:13" ht="15" customHeight="1">
      <c r="A836" s="10">
        <v>46175</v>
      </c>
      <c r="B836" t="s">
        <v>1</v>
      </c>
      <c r="C836" t="s">
        <v>293</v>
      </c>
      <c r="D836">
        <v>3</v>
      </c>
      <c r="E836">
        <v>0</v>
      </c>
      <c r="F836">
        <v>0</v>
      </c>
      <c r="G836">
        <v>0</v>
      </c>
      <c r="H836">
        <v>0</v>
      </c>
      <c r="I836">
        <v>2</v>
      </c>
      <c r="J836">
        <v>0</v>
      </c>
      <c r="K836">
        <v>0</v>
      </c>
      <c r="L836">
        <v>0</v>
      </c>
      <c r="M836" t="s">
        <v>953</v>
      </c>
    </row>
    <row r="837" spans="1:13" ht="15" customHeight="1">
      <c r="A837" s="10">
        <v>46175</v>
      </c>
      <c r="B837" t="s">
        <v>1</v>
      </c>
      <c r="C837" s="135" t="s">
        <v>138</v>
      </c>
      <c r="D837">
        <v>0</v>
      </c>
      <c r="E837">
        <v>20</v>
      </c>
      <c r="F837">
        <v>0</v>
      </c>
      <c r="G837">
        <v>0</v>
      </c>
      <c r="H837">
        <v>0</v>
      </c>
      <c r="I837">
        <v>0</v>
      </c>
      <c r="J837">
        <v>22</v>
      </c>
      <c r="K837">
        <v>0</v>
      </c>
      <c r="L837">
        <v>0</v>
      </c>
      <c r="M837" t="s">
        <v>954</v>
      </c>
    </row>
    <row r="838" spans="1:13" ht="15" customHeight="1">
      <c r="A838" s="10">
        <v>46175</v>
      </c>
      <c r="B838" t="s">
        <v>1</v>
      </c>
      <c r="C838" s="135" t="s">
        <v>139</v>
      </c>
      <c r="D838">
        <v>0</v>
      </c>
      <c r="E838">
        <v>18</v>
      </c>
      <c r="F838">
        <v>0</v>
      </c>
      <c r="G838">
        <v>0</v>
      </c>
      <c r="H838">
        <v>0</v>
      </c>
      <c r="I838">
        <v>0</v>
      </c>
      <c r="J838">
        <v>16</v>
      </c>
      <c r="K838">
        <v>0</v>
      </c>
      <c r="L838">
        <v>0</v>
      </c>
      <c r="M838" t="s">
        <v>955</v>
      </c>
    </row>
    <row r="839" spans="1:13" ht="15" customHeight="1">
      <c r="A839" s="10">
        <v>46175</v>
      </c>
      <c r="B839" t="s">
        <v>1</v>
      </c>
      <c r="C839" s="135" t="s">
        <v>140</v>
      </c>
      <c r="D839">
        <v>0</v>
      </c>
      <c r="E839">
        <v>15</v>
      </c>
      <c r="F839">
        <v>0</v>
      </c>
      <c r="G839">
        <v>0</v>
      </c>
      <c r="H839">
        <v>0</v>
      </c>
      <c r="I839">
        <v>0</v>
      </c>
      <c r="J839">
        <v>9</v>
      </c>
      <c r="K839">
        <v>0</v>
      </c>
      <c r="L839">
        <v>0</v>
      </c>
      <c r="M839" t="s">
        <v>956</v>
      </c>
    </row>
    <row r="840" spans="1:13" ht="15" customHeight="1">
      <c r="A840" s="10">
        <v>46175</v>
      </c>
      <c r="B840" t="s">
        <v>1</v>
      </c>
      <c r="C840" s="135" t="s">
        <v>143</v>
      </c>
      <c r="D840">
        <v>0</v>
      </c>
      <c r="E840">
        <v>30</v>
      </c>
      <c r="F840">
        <v>0</v>
      </c>
      <c r="G840">
        <v>0</v>
      </c>
      <c r="H840">
        <v>0</v>
      </c>
      <c r="I840">
        <v>0</v>
      </c>
      <c r="J840">
        <v>29</v>
      </c>
      <c r="K840">
        <v>0</v>
      </c>
      <c r="L840">
        <v>0</v>
      </c>
      <c r="M840" t="s">
        <v>957</v>
      </c>
    </row>
    <row r="841" spans="1:13" ht="15" customHeight="1">
      <c r="A841" s="10">
        <v>46175</v>
      </c>
      <c r="B841" t="s">
        <v>1</v>
      </c>
      <c r="C841" s="135" t="s">
        <v>145</v>
      </c>
      <c r="D841">
        <v>0</v>
      </c>
      <c r="E841">
        <v>25</v>
      </c>
      <c r="F841">
        <v>0</v>
      </c>
      <c r="G841">
        <v>0</v>
      </c>
      <c r="H841">
        <v>0</v>
      </c>
      <c r="I841">
        <v>0</v>
      </c>
      <c r="J841">
        <v>24</v>
      </c>
      <c r="K841">
        <v>0</v>
      </c>
      <c r="L841">
        <v>0</v>
      </c>
      <c r="M841" t="s">
        <v>958</v>
      </c>
    </row>
    <row r="842" spans="1:13" ht="15" customHeight="1">
      <c r="A842" s="10">
        <v>46175</v>
      </c>
      <c r="B842" t="s">
        <v>1</v>
      </c>
      <c r="C842" s="135" t="s">
        <v>147</v>
      </c>
      <c r="D842">
        <v>0</v>
      </c>
      <c r="E842">
        <v>35</v>
      </c>
      <c r="F842">
        <v>0</v>
      </c>
      <c r="G842">
        <v>0</v>
      </c>
      <c r="H842">
        <v>0</v>
      </c>
      <c r="I842">
        <v>0</v>
      </c>
      <c r="J842">
        <v>35</v>
      </c>
      <c r="K842">
        <v>0</v>
      </c>
      <c r="L842">
        <v>0</v>
      </c>
      <c r="M842" t="s">
        <v>959</v>
      </c>
    </row>
    <row r="843" spans="1:13" ht="15" customHeight="1">
      <c r="A843" s="10">
        <v>46175</v>
      </c>
      <c r="B843" t="s">
        <v>1</v>
      </c>
      <c r="C843" t="s">
        <v>302</v>
      </c>
      <c r="D843">
        <v>2</v>
      </c>
      <c r="E843">
        <v>0</v>
      </c>
      <c r="F843">
        <v>0</v>
      </c>
      <c r="G843">
        <v>0</v>
      </c>
      <c r="H843">
        <v>0</v>
      </c>
      <c r="I843">
        <v>2</v>
      </c>
      <c r="J843">
        <v>0</v>
      </c>
      <c r="K843">
        <v>0</v>
      </c>
      <c r="L843">
        <v>0</v>
      </c>
      <c r="M843" t="s">
        <v>960</v>
      </c>
    </row>
    <row r="844" spans="1:13" ht="15" customHeight="1">
      <c r="A844" s="10">
        <v>46175</v>
      </c>
      <c r="B844" t="s">
        <v>1</v>
      </c>
      <c r="C844" t="s">
        <v>150</v>
      </c>
      <c r="D844">
        <v>2</v>
      </c>
      <c r="E844">
        <v>0</v>
      </c>
      <c r="F844">
        <v>0</v>
      </c>
      <c r="G844">
        <v>0</v>
      </c>
      <c r="H844">
        <v>0</v>
      </c>
      <c r="I844">
        <v>2</v>
      </c>
      <c r="J844">
        <v>0</v>
      </c>
      <c r="K844">
        <v>0</v>
      </c>
      <c r="L844">
        <v>0</v>
      </c>
      <c r="M844" t="s">
        <v>961</v>
      </c>
    </row>
    <row r="845" spans="1:13" ht="15" customHeight="1">
      <c r="A845" s="10">
        <v>46175</v>
      </c>
      <c r="B845" t="s">
        <v>1</v>
      </c>
      <c r="C845" t="s">
        <v>151</v>
      </c>
      <c r="D845">
        <v>2</v>
      </c>
      <c r="E845">
        <v>0</v>
      </c>
      <c r="F845">
        <v>0</v>
      </c>
      <c r="G845">
        <v>0</v>
      </c>
      <c r="H845">
        <v>0</v>
      </c>
      <c r="I845">
        <v>2</v>
      </c>
      <c r="J845">
        <v>0</v>
      </c>
      <c r="K845">
        <v>0</v>
      </c>
      <c r="L845">
        <v>0</v>
      </c>
      <c r="M845" t="s">
        <v>962</v>
      </c>
    </row>
    <row r="846" spans="1:13" ht="15" customHeight="1">
      <c r="A846" s="10">
        <v>46175</v>
      </c>
      <c r="B846" t="s">
        <v>1</v>
      </c>
      <c r="C846" t="s">
        <v>152</v>
      </c>
      <c r="D846">
        <v>2</v>
      </c>
      <c r="E846">
        <v>0</v>
      </c>
      <c r="F846">
        <v>0</v>
      </c>
      <c r="G846">
        <v>0</v>
      </c>
      <c r="H846">
        <v>0</v>
      </c>
      <c r="I846">
        <v>2</v>
      </c>
      <c r="J846">
        <v>0</v>
      </c>
      <c r="K846">
        <v>0</v>
      </c>
      <c r="L846">
        <v>0</v>
      </c>
      <c r="M846" t="s">
        <v>963</v>
      </c>
    </row>
    <row r="847" spans="1:13" ht="15" customHeight="1">
      <c r="A847" s="10">
        <v>46175</v>
      </c>
      <c r="B847" t="s">
        <v>1</v>
      </c>
      <c r="C847" t="s">
        <v>153</v>
      </c>
      <c r="D847">
        <v>2</v>
      </c>
      <c r="E847">
        <v>0</v>
      </c>
      <c r="F847">
        <v>0</v>
      </c>
      <c r="G847">
        <v>0</v>
      </c>
      <c r="H847">
        <v>0</v>
      </c>
      <c r="I847">
        <v>2</v>
      </c>
      <c r="J847">
        <v>0</v>
      </c>
      <c r="K847">
        <v>0</v>
      </c>
      <c r="L847">
        <v>0</v>
      </c>
      <c r="M847" t="s">
        <v>964</v>
      </c>
    </row>
    <row r="848" spans="1:13" ht="15" customHeight="1">
      <c r="A848" s="10">
        <v>46175</v>
      </c>
      <c r="B848" t="s">
        <v>1</v>
      </c>
      <c r="C848" t="s">
        <v>308</v>
      </c>
      <c r="D848">
        <v>0</v>
      </c>
      <c r="E848">
        <v>4</v>
      </c>
      <c r="F848">
        <v>0</v>
      </c>
      <c r="G848">
        <v>0</v>
      </c>
      <c r="H848">
        <v>0</v>
      </c>
      <c r="I848">
        <v>0</v>
      </c>
      <c r="J848">
        <v>3</v>
      </c>
      <c r="K848">
        <v>0</v>
      </c>
      <c r="L848">
        <v>0</v>
      </c>
      <c r="M848" t="s">
        <v>965</v>
      </c>
    </row>
    <row r="849" spans="1:13" ht="15" customHeight="1">
      <c r="A849" s="10">
        <v>46175</v>
      </c>
      <c r="B849" t="s">
        <v>1</v>
      </c>
      <c r="C849" t="s">
        <v>310</v>
      </c>
      <c r="D849">
        <v>0</v>
      </c>
      <c r="E849">
        <v>2</v>
      </c>
      <c r="F849">
        <v>0</v>
      </c>
      <c r="G849">
        <v>0</v>
      </c>
      <c r="H849">
        <v>0</v>
      </c>
      <c r="I849">
        <v>0</v>
      </c>
      <c r="J849">
        <v>2</v>
      </c>
      <c r="K849">
        <v>0</v>
      </c>
      <c r="L849">
        <v>0</v>
      </c>
      <c r="M849" t="s">
        <v>966</v>
      </c>
    </row>
    <row r="850" spans="1:13" ht="15" customHeight="1">
      <c r="A850" s="10">
        <v>46175</v>
      </c>
      <c r="B850" t="s">
        <v>1</v>
      </c>
      <c r="C850" t="s">
        <v>312</v>
      </c>
      <c r="D850">
        <v>0</v>
      </c>
      <c r="E850">
        <v>2</v>
      </c>
      <c r="F850">
        <v>0</v>
      </c>
      <c r="G850">
        <v>0</v>
      </c>
      <c r="H850">
        <v>0</v>
      </c>
      <c r="I850">
        <v>0</v>
      </c>
      <c r="J850">
        <v>2</v>
      </c>
      <c r="K850">
        <v>0</v>
      </c>
      <c r="L850">
        <v>0</v>
      </c>
      <c r="M850" t="s">
        <v>967</v>
      </c>
    </row>
    <row r="851" spans="1:13" ht="15" customHeight="1">
      <c r="A851" s="10">
        <v>46175</v>
      </c>
      <c r="B851" t="s">
        <v>1</v>
      </c>
      <c r="C851" t="s">
        <v>314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 t="s">
        <v>968</v>
      </c>
    </row>
    <row r="852" spans="1:13" ht="15" customHeight="1">
      <c r="A852" s="10">
        <v>46175</v>
      </c>
      <c r="B852" t="s">
        <v>1</v>
      </c>
      <c r="C852" t="s">
        <v>316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 t="s">
        <v>969</v>
      </c>
    </row>
    <row r="853" spans="1:13" ht="15" customHeight="1">
      <c r="A853" s="10">
        <v>46175</v>
      </c>
      <c r="B853" t="s">
        <v>1</v>
      </c>
      <c r="C853" t="s">
        <v>318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 t="s">
        <v>970</v>
      </c>
    </row>
    <row r="854" spans="1:13" ht="15" customHeight="1">
      <c r="A854" s="10">
        <v>46175</v>
      </c>
      <c r="B854" t="s">
        <v>1</v>
      </c>
      <c r="C854" t="s">
        <v>320</v>
      </c>
      <c r="D854">
        <v>3</v>
      </c>
      <c r="E854">
        <v>0</v>
      </c>
      <c r="F854">
        <v>0</v>
      </c>
      <c r="G854">
        <v>0</v>
      </c>
      <c r="H854">
        <v>0</v>
      </c>
      <c r="I854">
        <v>3</v>
      </c>
      <c r="J854">
        <v>0</v>
      </c>
      <c r="K854">
        <v>0</v>
      </c>
      <c r="L854">
        <v>0</v>
      </c>
      <c r="M854" t="s">
        <v>971</v>
      </c>
    </row>
    <row r="855" spans="1:13" ht="15" customHeight="1">
      <c r="A855" s="10">
        <v>46175</v>
      </c>
      <c r="B855" t="s">
        <v>1</v>
      </c>
      <c r="C855" s="135" t="s">
        <v>168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 t="s">
        <v>972</v>
      </c>
    </row>
    <row r="856" spans="1:13" ht="15" customHeight="1">
      <c r="A856" s="10">
        <v>46175</v>
      </c>
      <c r="B856" t="s">
        <v>1</v>
      </c>
      <c r="C856" s="135" t="s">
        <v>170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 t="s">
        <v>973</v>
      </c>
    </row>
    <row r="857" spans="1:13" ht="15" customHeight="1">
      <c r="A857" s="10">
        <v>46175</v>
      </c>
      <c r="B857" t="s">
        <v>1</v>
      </c>
      <c r="C857" s="135" t="s">
        <v>171</v>
      </c>
      <c r="D857">
        <v>2</v>
      </c>
      <c r="E857">
        <v>0</v>
      </c>
      <c r="F857">
        <v>0</v>
      </c>
      <c r="G857">
        <v>0</v>
      </c>
      <c r="H857">
        <v>0</v>
      </c>
      <c r="I857">
        <v>2</v>
      </c>
      <c r="J857">
        <v>0</v>
      </c>
      <c r="K857">
        <v>0</v>
      </c>
      <c r="L857">
        <v>0</v>
      </c>
      <c r="M857" t="s">
        <v>974</v>
      </c>
    </row>
    <row r="858" spans="1:13" ht="15" customHeight="1">
      <c r="A858" s="10">
        <v>46175</v>
      </c>
      <c r="B858" t="s">
        <v>1</v>
      </c>
      <c r="C858" s="135" t="s">
        <v>172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 t="s">
        <v>975</v>
      </c>
    </row>
    <row r="859" spans="1:13" ht="15" customHeight="1">
      <c r="A859" s="10">
        <v>46175</v>
      </c>
      <c r="B859" t="s">
        <v>1</v>
      </c>
      <c r="C859" t="s">
        <v>176</v>
      </c>
      <c r="D859">
        <v>0</v>
      </c>
      <c r="E859">
        <v>20</v>
      </c>
      <c r="F859">
        <v>0</v>
      </c>
      <c r="G859">
        <v>0</v>
      </c>
      <c r="H859">
        <v>2</v>
      </c>
      <c r="I859">
        <v>0</v>
      </c>
      <c r="J859">
        <v>20</v>
      </c>
      <c r="K859">
        <v>0</v>
      </c>
      <c r="L859">
        <v>0</v>
      </c>
      <c r="M859" t="s">
        <v>976</v>
      </c>
    </row>
    <row r="860" spans="1:13" ht="15" customHeight="1">
      <c r="A860" s="10">
        <v>46175</v>
      </c>
      <c r="B860" t="s">
        <v>1</v>
      </c>
      <c r="C860" t="s">
        <v>178</v>
      </c>
      <c r="D860">
        <v>0</v>
      </c>
      <c r="E860">
        <v>11</v>
      </c>
      <c r="F860">
        <v>0</v>
      </c>
      <c r="G860">
        <v>0</v>
      </c>
      <c r="H860">
        <v>1</v>
      </c>
      <c r="I860">
        <v>0</v>
      </c>
      <c r="J860">
        <v>9</v>
      </c>
      <c r="K860">
        <v>0</v>
      </c>
      <c r="L860">
        <v>0</v>
      </c>
      <c r="M860" t="s">
        <v>977</v>
      </c>
    </row>
    <row r="861" spans="1:13" ht="15" customHeight="1">
      <c r="A861" s="10">
        <v>46175</v>
      </c>
      <c r="B861" t="s">
        <v>1</v>
      </c>
      <c r="C861" t="s">
        <v>179</v>
      </c>
      <c r="D861">
        <v>0</v>
      </c>
      <c r="E861">
        <v>20</v>
      </c>
      <c r="F861">
        <v>0</v>
      </c>
      <c r="G861">
        <v>0</v>
      </c>
      <c r="H861">
        <v>1</v>
      </c>
      <c r="I861">
        <v>0</v>
      </c>
      <c r="J861">
        <v>19</v>
      </c>
      <c r="K861">
        <v>0</v>
      </c>
      <c r="L861">
        <v>0</v>
      </c>
      <c r="M861" t="s">
        <v>978</v>
      </c>
    </row>
    <row r="862" spans="1:13" ht="15" customHeight="1">
      <c r="A862" s="10">
        <v>46175</v>
      </c>
      <c r="B862" t="s">
        <v>1</v>
      </c>
      <c r="C862" t="s">
        <v>180</v>
      </c>
      <c r="D862">
        <v>0</v>
      </c>
      <c r="E862">
        <v>17</v>
      </c>
      <c r="F862">
        <v>0</v>
      </c>
      <c r="G862">
        <v>0</v>
      </c>
      <c r="H862">
        <v>2</v>
      </c>
      <c r="I862">
        <v>0</v>
      </c>
      <c r="J862">
        <v>15</v>
      </c>
      <c r="K862">
        <v>0</v>
      </c>
      <c r="L862">
        <v>0</v>
      </c>
      <c r="M862" t="s">
        <v>979</v>
      </c>
    </row>
    <row r="863" spans="1:13" ht="15" customHeight="1">
      <c r="A863" s="10">
        <v>46175</v>
      </c>
      <c r="B863" t="s">
        <v>1</v>
      </c>
      <c r="C863" s="135" t="s">
        <v>182</v>
      </c>
      <c r="D863">
        <v>0</v>
      </c>
      <c r="E863">
        <v>319</v>
      </c>
      <c r="F863">
        <v>0</v>
      </c>
      <c r="G863">
        <v>0</v>
      </c>
      <c r="H863">
        <v>0</v>
      </c>
      <c r="I863">
        <v>0</v>
      </c>
      <c r="J863">
        <v>319</v>
      </c>
      <c r="K863">
        <v>0</v>
      </c>
      <c r="L863">
        <v>0</v>
      </c>
      <c r="M863" t="s">
        <v>980</v>
      </c>
    </row>
    <row r="864" spans="1:13" ht="15" customHeight="1">
      <c r="A864" s="10">
        <v>46175</v>
      </c>
      <c r="B864" t="s">
        <v>1</v>
      </c>
      <c r="C864" s="135" t="s">
        <v>184</v>
      </c>
      <c r="D864">
        <v>1</v>
      </c>
      <c r="E864">
        <v>35</v>
      </c>
      <c r="F864">
        <v>0</v>
      </c>
      <c r="G864">
        <v>0</v>
      </c>
      <c r="H864">
        <v>0</v>
      </c>
      <c r="I864">
        <v>1</v>
      </c>
      <c r="J864">
        <v>28</v>
      </c>
      <c r="K864">
        <v>0</v>
      </c>
      <c r="L864">
        <v>0</v>
      </c>
      <c r="M864" t="s">
        <v>981</v>
      </c>
    </row>
    <row r="865" spans="1:13" ht="15" customHeight="1">
      <c r="A865" s="10">
        <v>46175</v>
      </c>
      <c r="B865" t="s">
        <v>1</v>
      </c>
      <c r="C865" s="135" t="s">
        <v>185</v>
      </c>
      <c r="D865">
        <v>1</v>
      </c>
      <c r="E865">
        <v>65</v>
      </c>
      <c r="F865">
        <v>0</v>
      </c>
      <c r="G865">
        <v>0</v>
      </c>
      <c r="H865">
        <v>0</v>
      </c>
      <c r="I865">
        <v>1</v>
      </c>
      <c r="J865">
        <v>60</v>
      </c>
      <c r="K865">
        <v>0</v>
      </c>
      <c r="L865">
        <v>0</v>
      </c>
      <c r="M865" t="s">
        <v>982</v>
      </c>
    </row>
    <row r="866" spans="1:13" ht="15" customHeight="1">
      <c r="A866" s="10">
        <v>46175</v>
      </c>
      <c r="B866" t="s">
        <v>1</v>
      </c>
      <c r="C866" s="135" t="s">
        <v>186</v>
      </c>
      <c r="D866">
        <v>1</v>
      </c>
      <c r="E866">
        <v>87</v>
      </c>
      <c r="F866">
        <v>0</v>
      </c>
      <c r="G866">
        <v>0</v>
      </c>
      <c r="H866">
        <v>0</v>
      </c>
      <c r="I866">
        <v>1</v>
      </c>
      <c r="J866">
        <v>118</v>
      </c>
      <c r="K866">
        <v>0</v>
      </c>
      <c r="L866">
        <v>0</v>
      </c>
      <c r="M866" t="s">
        <v>983</v>
      </c>
    </row>
    <row r="867" spans="1:13" ht="15" customHeight="1">
      <c r="A867" s="10">
        <v>46175</v>
      </c>
      <c r="B867" t="s">
        <v>1</v>
      </c>
      <c r="C867" t="s">
        <v>337</v>
      </c>
      <c r="D867">
        <v>2</v>
      </c>
      <c r="E867">
        <v>229</v>
      </c>
      <c r="F867">
        <v>0</v>
      </c>
      <c r="G867">
        <v>0</v>
      </c>
      <c r="H867">
        <v>0</v>
      </c>
      <c r="I867">
        <v>2</v>
      </c>
      <c r="J867">
        <v>172</v>
      </c>
      <c r="K867">
        <v>0</v>
      </c>
      <c r="L867">
        <v>0</v>
      </c>
      <c r="M867" t="s">
        <v>984</v>
      </c>
    </row>
    <row r="868" spans="1:13" ht="15" customHeight="1">
      <c r="A868" s="10">
        <v>46175</v>
      </c>
      <c r="B868" t="s">
        <v>1</v>
      </c>
      <c r="C868" s="135" t="s">
        <v>191</v>
      </c>
      <c r="D868">
        <v>1</v>
      </c>
      <c r="E868">
        <v>340</v>
      </c>
      <c r="F868">
        <v>0</v>
      </c>
      <c r="G868">
        <v>0</v>
      </c>
      <c r="H868">
        <v>0</v>
      </c>
      <c r="I868">
        <v>1</v>
      </c>
      <c r="J868">
        <v>340</v>
      </c>
      <c r="K868">
        <v>0</v>
      </c>
      <c r="L868">
        <v>0</v>
      </c>
      <c r="M868" t="s">
        <v>985</v>
      </c>
    </row>
    <row r="869" spans="1:13" ht="15" customHeight="1">
      <c r="A869" s="10">
        <v>46175</v>
      </c>
      <c r="B869" t="s">
        <v>1</v>
      </c>
      <c r="C869" s="135" t="s">
        <v>193</v>
      </c>
      <c r="D869">
        <v>1</v>
      </c>
      <c r="E869">
        <v>504</v>
      </c>
      <c r="F869">
        <v>0</v>
      </c>
      <c r="G869">
        <v>0</v>
      </c>
      <c r="H869">
        <v>0</v>
      </c>
      <c r="I869">
        <v>1</v>
      </c>
      <c r="J869">
        <v>504</v>
      </c>
      <c r="K869">
        <v>0</v>
      </c>
      <c r="L869">
        <v>0</v>
      </c>
      <c r="M869" t="s">
        <v>986</v>
      </c>
    </row>
    <row r="870" spans="1:13" ht="15" customHeight="1">
      <c r="A870" s="10">
        <v>46175</v>
      </c>
      <c r="B870" t="s">
        <v>1</v>
      </c>
      <c r="C870" s="135" t="s">
        <v>194</v>
      </c>
      <c r="D870">
        <v>1</v>
      </c>
      <c r="E870">
        <v>32</v>
      </c>
      <c r="F870">
        <v>0</v>
      </c>
      <c r="G870">
        <v>0</v>
      </c>
      <c r="H870">
        <v>0</v>
      </c>
      <c r="I870">
        <v>1</v>
      </c>
      <c r="J870">
        <v>32</v>
      </c>
      <c r="K870">
        <v>0</v>
      </c>
      <c r="L870">
        <v>0</v>
      </c>
      <c r="M870" t="s">
        <v>987</v>
      </c>
    </row>
    <row r="871" spans="1:13" ht="15" customHeight="1">
      <c r="A871" s="10">
        <v>46175</v>
      </c>
      <c r="B871" t="s">
        <v>1</v>
      </c>
      <c r="C871" s="135" t="s">
        <v>196</v>
      </c>
      <c r="D871">
        <v>1</v>
      </c>
      <c r="E871">
        <v>120</v>
      </c>
      <c r="F871">
        <v>0</v>
      </c>
      <c r="G871">
        <v>0</v>
      </c>
      <c r="H871">
        <v>0</v>
      </c>
      <c r="I871">
        <v>1</v>
      </c>
      <c r="J871">
        <v>120</v>
      </c>
      <c r="K871">
        <v>0</v>
      </c>
      <c r="L871">
        <v>0</v>
      </c>
      <c r="M871" t="s">
        <v>988</v>
      </c>
    </row>
    <row r="872" spans="1:13" ht="15" customHeight="1">
      <c r="A872" s="10">
        <v>46176</v>
      </c>
      <c r="B872" t="s">
        <v>1</v>
      </c>
      <c r="C872" t="s">
        <v>23</v>
      </c>
      <c r="D872">
        <v>5</v>
      </c>
      <c r="E872">
        <v>617</v>
      </c>
      <c r="F872">
        <v>2</v>
      </c>
      <c r="I872">
        <v>5</v>
      </c>
      <c r="J872">
        <v>1050</v>
      </c>
      <c r="M872" t="s">
        <v>989</v>
      </c>
    </row>
    <row r="873" spans="1:13" ht="15" customHeight="1">
      <c r="A873" s="10">
        <v>46176</v>
      </c>
      <c r="B873" t="s">
        <v>1</v>
      </c>
      <c r="C873" t="s">
        <v>26</v>
      </c>
      <c r="D873">
        <v>0</v>
      </c>
      <c r="E873">
        <v>981</v>
      </c>
      <c r="J873">
        <v>974</v>
      </c>
      <c r="M873" t="s">
        <v>990</v>
      </c>
    </row>
    <row r="874" spans="1:13" ht="15" customHeight="1">
      <c r="A874" s="10">
        <v>46176</v>
      </c>
      <c r="B874" t="s">
        <v>1</v>
      </c>
      <c r="C874" t="s">
        <v>27</v>
      </c>
      <c r="D874">
        <v>1</v>
      </c>
      <c r="E874">
        <v>642</v>
      </c>
      <c r="I874">
        <v>1</v>
      </c>
      <c r="J874">
        <v>638</v>
      </c>
      <c r="M874" t="s">
        <v>991</v>
      </c>
    </row>
    <row r="875" spans="1:13" ht="15" customHeight="1">
      <c r="A875" s="10">
        <v>46176</v>
      </c>
      <c r="B875" t="s">
        <v>1</v>
      </c>
      <c r="C875" t="s">
        <v>29</v>
      </c>
      <c r="D875">
        <v>0</v>
      </c>
      <c r="E875">
        <v>771</v>
      </c>
      <c r="J875">
        <v>682</v>
      </c>
      <c r="M875" t="s">
        <v>992</v>
      </c>
    </row>
    <row r="876" spans="1:13" ht="15" customHeight="1">
      <c r="A876" s="10">
        <v>46176</v>
      </c>
      <c r="B876" t="s">
        <v>1</v>
      </c>
      <c r="C876" t="s">
        <v>30</v>
      </c>
      <c r="D876">
        <v>1</v>
      </c>
      <c r="E876">
        <v>880</v>
      </c>
      <c r="I876">
        <v>1</v>
      </c>
      <c r="J876">
        <v>874</v>
      </c>
      <c r="M876" t="s">
        <v>993</v>
      </c>
    </row>
    <row r="877" spans="1:13" ht="15" customHeight="1">
      <c r="A877" s="10">
        <v>46176</v>
      </c>
      <c r="B877" t="s">
        <v>1</v>
      </c>
      <c r="C877" t="s">
        <v>31</v>
      </c>
      <c r="D877">
        <v>1</v>
      </c>
      <c r="E877">
        <v>214</v>
      </c>
      <c r="F877">
        <v>1</v>
      </c>
      <c r="I877">
        <v>2</v>
      </c>
      <c r="J877">
        <v>30</v>
      </c>
      <c r="M877" t="s">
        <v>994</v>
      </c>
    </row>
    <row r="878" spans="1:13" ht="15" customHeight="1">
      <c r="A878" s="10">
        <v>46176</v>
      </c>
      <c r="B878" t="s">
        <v>1</v>
      </c>
      <c r="C878" t="s">
        <v>32</v>
      </c>
      <c r="D878">
        <v>0</v>
      </c>
      <c r="E878">
        <v>0</v>
      </c>
      <c r="F878">
        <v>1</v>
      </c>
      <c r="I878">
        <v>1</v>
      </c>
      <c r="M878" t="s">
        <v>995</v>
      </c>
    </row>
    <row r="879" spans="1:13" ht="15" customHeight="1">
      <c r="A879" s="10">
        <v>46176</v>
      </c>
      <c r="B879" t="s">
        <v>1</v>
      </c>
      <c r="C879" t="s">
        <v>223</v>
      </c>
      <c r="D879">
        <v>3</v>
      </c>
      <c r="E879">
        <v>95</v>
      </c>
      <c r="F879">
        <v>3</v>
      </c>
      <c r="G879">
        <v>500</v>
      </c>
      <c r="I879">
        <v>6</v>
      </c>
      <c r="J879">
        <v>490</v>
      </c>
      <c r="M879" t="s">
        <v>996</v>
      </c>
    </row>
    <row r="880" spans="1:13" ht="15" customHeight="1">
      <c r="A880" s="10">
        <v>46176</v>
      </c>
      <c r="B880" t="s">
        <v>1</v>
      </c>
      <c r="C880" t="s">
        <v>35</v>
      </c>
      <c r="D880">
        <v>5</v>
      </c>
      <c r="E880">
        <v>0</v>
      </c>
      <c r="H880">
        <v>3</v>
      </c>
      <c r="I880">
        <v>2</v>
      </c>
      <c r="M880" t="s">
        <v>997</v>
      </c>
    </row>
    <row r="881" spans="1:13" ht="15" customHeight="1">
      <c r="A881" s="10">
        <v>46176</v>
      </c>
      <c r="B881" t="s">
        <v>1</v>
      </c>
      <c r="C881" t="s">
        <v>37</v>
      </c>
      <c r="D881">
        <v>3</v>
      </c>
      <c r="E881">
        <v>0</v>
      </c>
      <c r="I881">
        <v>2</v>
      </c>
      <c r="K881">
        <v>1</v>
      </c>
      <c r="M881" t="s">
        <v>998</v>
      </c>
    </row>
    <row r="882" spans="1:13" ht="15" customHeight="1">
      <c r="A882" s="10">
        <v>46176</v>
      </c>
      <c r="B882" t="s">
        <v>1</v>
      </c>
      <c r="C882" t="s">
        <v>39</v>
      </c>
      <c r="D882">
        <v>14</v>
      </c>
      <c r="E882">
        <v>0</v>
      </c>
      <c r="I882">
        <v>14</v>
      </c>
      <c r="J882">
        <v>0</v>
      </c>
      <c r="M882" t="s">
        <v>999</v>
      </c>
    </row>
    <row r="883" spans="1:13" ht="15" customHeight="1">
      <c r="A883" s="10">
        <v>46176</v>
      </c>
      <c r="B883" t="s">
        <v>1</v>
      </c>
      <c r="C883" t="s">
        <v>41</v>
      </c>
      <c r="D883">
        <v>18</v>
      </c>
      <c r="E883">
        <v>0</v>
      </c>
      <c r="I883">
        <v>18</v>
      </c>
      <c r="J883">
        <v>0</v>
      </c>
      <c r="M883" t="s">
        <v>1000</v>
      </c>
    </row>
    <row r="884" spans="1:13" ht="15" customHeight="1">
      <c r="A884" s="10">
        <v>46176</v>
      </c>
      <c r="B884" t="s">
        <v>1</v>
      </c>
      <c r="C884" t="s">
        <v>232</v>
      </c>
      <c r="D884">
        <v>20</v>
      </c>
      <c r="E884">
        <v>0</v>
      </c>
      <c r="I884">
        <v>20</v>
      </c>
      <c r="J884">
        <v>0</v>
      </c>
      <c r="M884" t="s">
        <v>1001</v>
      </c>
    </row>
    <row r="885" spans="1:13" ht="15" customHeight="1">
      <c r="A885" s="10">
        <v>46176</v>
      </c>
      <c r="B885" t="s">
        <v>1</v>
      </c>
      <c r="C885" t="s">
        <v>234</v>
      </c>
      <c r="D885">
        <v>60</v>
      </c>
      <c r="E885">
        <v>0</v>
      </c>
      <c r="H885">
        <v>2</v>
      </c>
      <c r="I885">
        <v>58</v>
      </c>
      <c r="J885">
        <v>0</v>
      </c>
      <c r="M885" t="s">
        <v>1002</v>
      </c>
    </row>
    <row r="886" spans="1:13" ht="15" customHeight="1">
      <c r="A886" s="10">
        <v>46176</v>
      </c>
      <c r="B886" t="s">
        <v>1</v>
      </c>
      <c r="C886" t="s">
        <v>237</v>
      </c>
      <c r="D886">
        <v>14</v>
      </c>
      <c r="E886">
        <v>0</v>
      </c>
      <c r="I886">
        <v>14</v>
      </c>
      <c r="J886">
        <v>0</v>
      </c>
      <c r="M886" t="s">
        <v>1003</v>
      </c>
    </row>
    <row r="887" spans="1:13" ht="15" customHeight="1">
      <c r="A887" s="10">
        <v>46176</v>
      </c>
      <c r="B887" t="s">
        <v>1</v>
      </c>
      <c r="C887" s="135" t="s">
        <v>58</v>
      </c>
      <c r="F887">
        <v>6</v>
      </c>
      <c r="I887">
        <v>6</v>
      </c>
      <c r="J887">
        <v>0</v>
      </c>
      <c r="M887" t="s">
        <v>1004</v>
      </c>
    </row>
    <row r="888" spans="1:13" ht="15" customHeight="1">
      <c r="A888" s="10">
        <v>46176</v>
      </c>
      <c r="B888" t="s">
        <v>1</v>
      </c>
      <c r="C888" s="135" t="s">
        <v>60</v>
      </c>
      <c r="D888">
        <v>0</v>
      </c>
      <c r="E888">
        <v>0</v>
      </c>
      <c r="F888">
        <v>6</v>
      </c>
      <c r="I888">
        <v>6</v>
      </c>
      <c r="J888">
        <v>0</v>
      </c>
      <c r="M888" t="s">
        <v>1005</v>
      </c>
    </row>
    <row r="889" spans="1:13" ht="15" customHeight="1">
      <c r="A889" s="10">
        <v>46176</v>
      </c>
      <c r="B889" t="s">
        <v>1</v>
      </c>
      <c r="C889" s="135" t="s">
        <v>61</v>
      </c>
      <c r="D889">
        <v>5</v>
      </c>
      <c r="E889">
        <v>0</v>
      </c>
      <c r="I889">
        <v>5</v>
      </c>
      <c r="J889">
        <v>0</v>
      </c>
      <c r="M889" t="s">
        <v>1006</v>
      </c>
    </row>
    <row r="890" spans="1:13" ht="15" customHeight="1">
      <c r="A890" s="10">
        <v>46176</v>
      </c>
      <c r="B890" t="s">
        <v>1</v>
      </c>
      <c r="C890" s="135" t="s">
        <v>62</v>
      </c>
      <c r="D890">
        <v>0</v>
      </c>
      <c r="E890">
        <v>0</v>
      </c>
      <c r="F890">
        <v>3</v>
      </c>
      <c r="I890">
        <v>3</v>
      </c>
      <c r="J890">
        <v>0</v>
      </c>
      <c r="M890" t="s">
        <v>1007</v>
      </c>
    </row>
    <row r="891" spans="1:13" ht="15" customHeight="1">
      <c r="A891" s="10">
        <v>46176</v>
      </c>
      <c r="B891" t="s">
        <v>1</v>
      </c>
      <c r="C891" s="135" t="s">
        <v>63</v>
      </c>
      <c r="D891">
        <v>0</v>
      </c>
      <c r="E891">
        <v>0</v>
      </c>
      <c r="F891">
        <v>3</v>
      </c>
      <c r="I891">
        <v>3</v>
      </c>
      <c r="J891">
        <v>0</v>
      </c>
      <c r="M891" t="s">
        <v>1008</v>
      </c>
    </row>
    <row r="892" spans="1:13" ht="15" customHeight="1">
      <c r="A892" s="10">
        <v>46176</v>
      </c>
      <c r="B892" t="s">
        <v>1</v>
      </c>
      <c r="C892" s="135" t="s">
        <v>64</v>
      </c>
      <c r="D892">
        <v>0</v>
      </c>
      <c r="E892">
        <v>0</v>
      </c>
      <c r="F892">
        <v>3</v>
      </c>
      <c r="I892">
        <v>3</v>
      </c>
      <c r="J892">
        <v>0</v>
      </c>
      <c r="M892" t="s">
        <v>1009</v>
      </c>
    </row>
    <row r="893" spans="1:13" ht="15" customHeight="1">
      <c r="A893" s="10">
        <v>46176</v>
      </c>
      <c r="B893" t="s">
        <v>1</v>
      </c>
      <c r="C893" t="s">
        <v>66</v>
      </c>
      <c r="D893">
        <v>3</v>
      </c>
      <c r="E893">
        <v>0</v>
      </c>
      <c r="I893">
        <v>3</v>
      </c>
      <c r="J893">
        <v>0</v>
      </c>
      <c r="M893" t="s">
        <v>1010</v>
      </c>
    </row>
    <row r="894" spans="1:13" ht="15" customHeight="1">
      <c r="A894" s="10">
        <v>46176</v>
      </c>
      <c r="B894" t="s">
        <v>1</v>
      </c>
      <c r="C894" t="s">
        <v>67</v>
      </c>
      <c r="D894">
        <v>4</v>
      </c>
      <c r="E894">
        <v>0</v>
      </c>
      <c r="I894">
        <v>4</v>
      </c>
      <c r="J894">
        <v>0</v>
      </c>
      <c r="M894" t="s">
        <v>1011</v>
      </c>
    </row>
    <row r="895" spans="1:13" ht="15" customHeight="1">
      <c r="A895" s="10">
        <v>46176</v>
      </c>
      <c r="B895" t="s">
        <v>1</v>
      </c>
      <c r="C895" t="s">
        <v>71</v>
      </c>
      <c r="D895">
        <v>1</v>
      </c>
      <c r="E895">
        <v>72</v>
      </c>
      <c r="F895">
        <v>1</v>
      </c>
      <c r="I895">
        <v>2</v>
      </c>
      <c r="J895">
        <v>64</v>
      </c>
      <c r="M895" t="s">
        <v>1012</v>
      </c>
    </row>
    <row r="896" spans="1:13" ht="15" customHeight="1">
      <c r="A896" s="10">
        <v>46176</v>
      </c>
      <c r="B896" t="s">
        <v>1</v>
      </c>
      <c r="C896" t="s">
        <v>73</v>
      </c>
      <c r="D896">
        <v>2</v>
      </c>
      <c r="E896">
        <v>134</v>
      </c>
      <c r="I896">
        <v>2</v>
      </c>
      <c r="J896">
        <v>121</v>
      </c>
      <c r="M896" t="s">
        <v>1013</v>
      </c>
    </row>
    <row r="897" spans="1:13" ht="15" customHeight="1">
      <c r="A897" s="10">
        <v>46176</v>
      </c>
      <c r="B897" t="s">
        <v>1</v>
      </c>
      <c r="C897" t="s">
        <v>75</v>
      </c>
      <c r="D897">
        <v>1</v>
      </c>
      <c r="E897">
        <v>152</v>
      </c>
      <c r="I897">
        <v>1</v>
      </c>
      <c r="J897">
        <v>147</v>
      </c>
      <c r="M897" t="s">
        <v>1014</v>
      </c>
    </row>
    <row r="898" spans="1:13" ht="15" customHeight="1">
      <c r="A898" s="10">
        <v>46176</v>
      </c>
      <c r="B898" t="s">
        <v>1</v>
      </c>
      <c r="C898" t="s">
        <v>77</v>
      </c>
      <c r="D898">
        <v>1</v>
      </c>
      <c r="E898">
        <v>0</v>
      </c>
      <c r="I898">
        <v>1</v>
      </c>
      <c r="M898" t="s">
        <v>1015</v>
      </c>
    </row>
    <row r="899" spans="1:13" ht="15" customHeight="1">
      <c r="A899" s="10">
        <v>46176</v>
      </c>
      <c r="B899" t="s">
        <v>1</v>
      </c>
      <c r="C899" t="s">
        <v>79</v>
      </c>
      <c r="D899">
        <v>0</v>
      </c>
      <c r="E899">
        <v>1549</v>
      </c>
      <c r="J899">
        <v>1442</v>
      </c>
      <c r="M899" t="s">
        <v>1016</v>
      </c>
    </row>
    <row r="900" spans="1:13" ht="15" customHeight="1">
      <c r="A900" s="10">
        <v>46176</v>
      </c>
      <c r="B900" t="s">
        <v>1</v>
      </c>
      <c r="C900" t="s">
        <v>81</v>
      </c>
      <c r="D900">
        <v>1</v>
      </c>
      <c r="E900">
        <v>0</v>
      </c>
      <c r="I900">
        <v>1</v>
      </c>
      <c r="M900" t="s">
        <v>1017</v>
      </c>
    </row>
    <row r="901" spans="1:13" ht="15" customHeight="1">
      <c r="A901" s="10">
        <v>46176</v>
      </c>
      <c r="B901" t="s">
        <v>1</v>
      </c>
      <c r="C901" t="s">
        <v>83</v>
      </c>
      <c r="D901">
        <v>1</v>
      </c>
      <c r="E901">
        <v>350</v>
      </c>
      <c r="I901">
        <v>1</v>
      </c>
      <c r="J901">
        <v>350</v>
      </c>
      <c r="M901" t="s">
        <v>1018</v>
      </c>
    </row>
    <row r="902" spans="1:13" ht="15" customHeight="1">
      <c r="A902" s="10">
        <v>46176</v>
      </c>
      <c r="B902" t="s">
        <v>1</v>
      </c>
      <c r="C902" t="s">
        <v>84</v>
      </c>
      <c r="D902">
        <v>1</v>
      </c>
      <c r="E902">
        <v>346</v>
      </c>
      <c r="J902">
        <v>346</v>
      </c>
      <c r="M902" t="s">
        <v>1019</v>
      </c>
    </row>
    <row r="903" spans="1:13" ht="15" customHeight="1">
      <c r="A903" s="10">
        <v>46176</v>
      </c>
      <c r="B903" t="s">
        <v>1</v>
      </c>
      <c r="C903" t="s">
        <v>85</v>
      </c>
      <c r="D903">
        <v>0</v>
      </c>
      <c r="E903">
        <v>170</v>
      </c>
      <c r="J903">
        <v>170</v>
      </c>
      <c r="M903" t="s">
        <v>1020</v>
      </c>
    </row>
    <row r="904" spans="1:13" ht="15" customHeight="1">
      <c r="A904" s="10">
        <v>46176</v>
      </c>
      <c r="B904" t="s">
        <v>1</v>
      </c>
      <c r="C904" t="s">
        <v>87</v>
      </c>
      <c r="D904">
        <v>2</v>
      </c>
      <c r="E904">
        <v>188</v>
      </c>
      <c r="I904">
        <v>2</v>
      </c>
      <c r="J904">
        <v>185</v>
      </c>
      <c r="M904" t="s">
        <v>1021</v>
      </c>
    </row>
    <row r="905" spans="1:13" ht="15" customHeight="1">
      <c r="A905" s="10">
        <v>46176</v>
      </c>
      <c r="B905" t="s">
        <v>1</v>
      </c>
      <c r="C905" t="s">
        <v>88</v>
      </c>
      <c r="D905">
        <v>1</v>
      </c>
      <c r="E905">
        <v>278</v>
      </c>
      <c r="I905">
        <v>1</v>
      </c>
      <c r="J905">
        <v>278</v>
      </c>
      <c r="M905" t="s">
        <v>1022</v>
      </c>
    </row>
    <row r="906" spans="1:13" ht="15" customHeight="1">
      <c r="A906" s="10">
        <v>46176</v>
      </c>
      <c r="B906" t="s">
        <v>1</v>
      </c>
      <c r="C906" t="s">
        <v>89</v>
      </c>
      <c r="D906">
        <v>1</v>
      </c>
      <c r="E906">
        <v>367</v>
      </c>
      <c r="I906">
        <v>1</v>
      </c>
      <c r="J906">
        <v>367</v>
      </c>
      <c r="M906" t="s">
        <v>1023</v>
      </c>
    </row>
    <row r="907" spans="1:13" ht="15" customHeight="1">
      <c r="A907" s="10">
        <v>46176</v>
      </c>
      <c r="B907" t="s">
        <v>1</v>
      </c>
      <c r="C907" t="s">
        <v>90</v>
      </c>
      <c r="D907">
        <v>1</v>
      </c>
      <c r="E907">
        <v>975</v>
      </c>
      <c r="I907">
        <v>1</v>
      </c>
      <c r="J907">
        <v>975</v>
      </c>
      <c r="M907" t="s">
        <v>1024</v>
      </c>
    </row>
    <row r="908" spans="1:13" ht="15" customHeight="1">
      <c r="A908" s="10">
        <v>46176</v>
      </c>
      <c r="B908" t="s">
        <v>1</v>
      </c>
      <c r="C908" t="s">
        <v>92</v>
      </c>
      <c r="D908">
        <v>1</v>
      </c>
      <c r="E908">
        <v>850</v>
      </c>
      <c r="I908">
        <v>1</v>
      </c>
      <c r="J908">
        <v>850</v>
      </c>
      <c r="M908" t="s">
        <v>1025</v>
      </c>
    </row>
    <row r="909" spans="1:13" ht="15" customHeight="1">
      <c r="A909" s="10">
        <v>46176</v>
      </c>
      <c r="B909" t="s">
        <v>1</v>
      </c>
      <c r="C909" t="s">
        <v>94</v>
      </c>
      <c r="D909">
        <v>0</v>
      </c>
      <c r="E909">
        <v>0</v>
      </c>
      <c r="F909">
        <v>2</v>
      </c>
      <c r="I909">
        <v>3</v>
      </c>
      <c r="M909" t="s">
        <v>1026</v>
      </c>
    </row>
    <row r="910" spans="1:13" ht="15" customHeight="1">
      <c r="A910" s="10">
        <v>46176</v>
      </c>
      <c r="B910" t="s">
        <v>1</v>
      </c>
      <c r="C910" t="s">
        <v>96</v>
      </c>
      <c r="D910">
        <v>0</v>
      </c>
      <c r="E910">
        <v>261</v>
      </c>
      <c r="J910">
        <v>261</v>
      </c>
      <c r="M910" t="s">
        <v>1027</v>
      </c>
    </row>
    <row r="911" spans="1:13" ht="15" customHeight="1">
      <c r="A911" s="10">
        <v>46176</v>
      </c>
      <c r="B911" t="s">
        <v>1</v>
      </c>
      <c r="C911" t="s">
        <v>98</v>
      </c>
      <c r="D911">
        <v>0</v>
      </c>
      <c r="E911">
        <v>0</v>
      </c>
      <c r="M911" t="s">
        <v>1028</v>
      </c>
    </row>
    <row r="912" spans="1:13" ht="15" customHeight="1">
      <c r="A912" s="10">
        <v>46176</v>
      </c>
      <c r="B912" t="s">
        <v>1</v>
      </c>
      <c r="C912" t="s">
        <v>203</v>
      </c>
      <c r="D912">
        <v>0</v>
      </c>
      <c r="E912">
        <v>0</v>
      </c>
      <c r="F912">
        <v>2</v>
      </c>
      <c r="I912">
        <v>2</v>
      </c>
      <c r="J912">
        <v>527</v>
      </c>
      <c r="M912" t="s">
        <v>1029</v>
      </c>
    </row>
    <row r="913" spans="1:13" ht="15" customHeight="1">
      <c r="A913" s="10">
        <v>46176</v>
      </c>
      <c r="B913" t="s">
        <v>1</v>
      </c>
      <c r="C913" t="s">
        <v>100</v>
      </c>
      <c r="D913">
        <v>0</v>
      </c>
      <c r="E913">
        <v>527</v>
      </c>
      <c r="M913" t="s">
        <v>1030</v>
      </c>
    </row>
    <row r="914" spans="1:13" ht="15" customHeight="1">
      <c r="A914" s="10">
        <v>46176</v>
      </c>
      <c r="B914" t="s">
        <v>1</v>
      </c>
      <c r="C914" t="s">
        <v>101</v>
      </c>
      <c r="D914">
        <v>0</v>
      </c>
      <c r="E914">
        <v>243</v>
      </c>
      <c r="F914">
        <v>1</v>
      </c>
      <c r="I914">
        <v>1</v>
      </c>
      <c r="J914">
        <v>39</v>
      </c>
      <c r="M914" t="s">
        <v>1031</v>
      </c>
    </row>
    <row r="915" spans="1:13" ht="15" customHeight="1">
      <c r="A915" s="10">
        <v>46176</v>
      </c>
      <c r="B915" t="s">
        <v>1</v>
      </c>
      <c r="C915" t="s">
        <v>103</v>
      </c>
      <c r="D915">
        <v>0</v>
      </c>
      <c r="E915">
        <v>1</v>
      </c>
      <c r="F915">
        <v>7</v>
      </c>
      <c r="I915">
        <v>0</v>
      </c>
      <c r="J915">
        <v>7</v>
      </c>
      <c r="M915" t="s">
        <v>1032</v>
      </c>
    </row>
    <row r="916" spans="1:13" ht="15" customHeight="1">
      <c r="A916" s="10">
        <v>46176</v>
      </c>
      <c r="B916" t="s">
        <v>1</v>
      </c>
      <c r="C916" t="s">
        <v>106</v>
      </c>
      <c r="D916">
        <v>1</v>
      </c>
      <c r="E916">
        <v>418</v>
      </c>
      <c r="I916">
        <v>1</v>
      </c>
      <c r="J916">
        <v>418</v>
      </c>
      <c r="M916" t="s">
        <v>1033</v>
      </c>
    </row>
    <row r="917" spans="1:13" ht="15" customHeight="1">
      <c r="A917" s="10">
        <v>46176</v>
      </c>
      <c r="B917" t="s">
        <v>1</v>
      </c>
      <c r="C917" t="s">
        <v>108</v>
      </c>
      <c r="D917">
        <v>1</v>
      </c>
      <c r="E917">
        <v>536</v>
      </c>
      <c r="I917">
        <v>1</v>
      </c>
      <c r="J917">
        <v>430</v>
      </c>
      <c r="M917" t="s">
        <v>1034</v>
      </c>
    </row>
    <row r="918" spans="1:13" ht="15" customHeight="1">
      <c r="A918" s="10">
        <v>46176</v>
      </c>
      <c r="B918" t="s">
        <v>1</v>
      </c>
      <c r="C918" t="s">
        <v>109</v>
      </c>
      <c r="D918">
        <v>1</v>
      </c>
      <c r="E918">
        <v>757</v>
      </c>
      <c r="I918">
        <v>1</v>
      </c>
      <c r="J918">
        <v>735</v>
      </c>
      <c r="M918" t="s">
        <v>1035</v>
      </c>
    </row>
    <row r="919" spans="1:13" ht="15" customHeight="1">
      <c r="A919" s="10">
        <v>46176</v>
      </c>
      <c r="B919" t="s">
        <v>1</v>
      </c>
      <c r="C919" t="s">
        <v>112</v>
      </c>
      <c r="D919">
        <v>1</v>
      </c>
      <c r="E919">
        <v>34</v>
      </c>
      <c r="I919">
        <v>1</v>
      </c>
      <c r="J919">
        <v>32</v>
      </c>
      <c r="M919" t="s">
        <v>1036</v>
      </c>
    </row>
    <row r="920" spans="1:13" ht="15" customHeight="1">
      <c r="A920" s="10">
        <v>46176</v>
      </c>
      <c r="B920" t="s">
        <v>1</v>
      </c>
      <c r="C920" t="s">
        <v>114</v>
      </c>
      <c r="D920">
        <v>1</v>
      </c>
      <c r="E920">
        <v>42</v>
      </c>
      <c r="I920">
        <v>1</v>
      </c>
      <c r="J920">
        <v>42</v>
      </c>
      <c r="M920" t="s">
        <v>1037</v>
      </c>
    </row>
    <row r="921" spans="1:13" ht="15" customHeight="1">
      <c r="A921" s="10">
        <v>46176</v>
      </c>
      <c r="B921" t="s">
        <v>1</v>
      </c>
      <c r="C921" t="s">
        <v>115</v>
      </c>
      <c r="D921">
        <v>1</v>
      </c>
      <c r="E921">
        <v>38</v>
      </c>
      <c r="I921">
        <v>1</v>
      </c>
      <c r="J921">
        <v>34</v>
      </c>
      <c r="M921" t="s">
        <v>1038</v>
      </c>
    </row>
    <row r="922" spans="1:13" ht="15" customHeight="1">
      <c r="A922" s="10">
        <v>46176</v>
      </c>
      <c r="B922" t="s">
        <v>1</v>
      </c>
      <c r="C922" t="s">
        <v>116</v>
      </c>
      <c r="D922">
        <v>1</v>
      </c>
      <c r="E922">
        <v>26</v>
      </c>
      <c r="H922">
        <v>1</v>
      </c>
      <c r="I922">
        <v>2</v>
      </c>
      <c r="J922">
        <v>24</v>
      </c>
      <c r="M922" t="s">
        <v>1039</v>
      </c>
    </row>
    <row r="923" spans="1:13" ht="15" customHeight="1">
      <c r="A923" s="10">
        <v>46176</v>
      </c>
      <c r="B923" t="s">
        <v>1</v>
      </c>
      <c r="C923" t="s">
        <v>119</v>
      </c>
      <c r="D923">
        <v>2</v>
      </c>
      <c r="E923">
        <v>0</v>
      </c>
      <c r="I923">
        <v>2</v>
      </c>
      <c r="M923" t="s">
        <v>1040</v>
      </c>
    </row>
    <row r="924" spans="1:13" ht="15" customHeight="1">
      <c r="A924" s="10">
        <v>46176</v>
      </c>
      <c r="B924" t="s">
        <v>1</v>
      </c>
      <c r="C924" t="s">
        <v>120</v>
      </c>
      <c r="D924">
        <v>1</v>
      </c>
      <c r="E924">
        <v>0</v>
      </c>
      <c r="I924">
        <v>1</v>
      </c>
      <c r="M924" t="s">
        <v>1041</v>
      </c>
    </row>
    <row r="925" spans="1:13" ht="15" customHeight="1">
      <c r="A925" s="10">
        <v>46176</v>
      </c>
      <c r="B925" t="s">
        <v>1</v>
      </c>
      <c r="C925" t="s">
        <v>121</v>
      </c>
      <c r="D925">
        <v>2</v>
      </c>
      <c r="E925">
        <v>0</v>
      </c>
      <c r="I925">
        <v>2</v>
      </c>
      <c r="M925" t="s">
        <v>1042</v>
      </c>
    </row>
    <row r="926" spans="1:13" ht="15" customHeight="1">
      <c r="A926" s="10">
        <v>46176</v>
      </c>
      <c r="B926" t="s">
        <v>1</v>
      </c>
      <c r="C926" t="s">
        <v>123</v>
      </c>
      <c r="D926">
        <v>1</v>
      </c>
      <c r="E926">
        <v>0</v>
      </c>
      <c r="I926">
        <v>2</v>
      </c>
      <c r="M926" t="s">
        <v>1043</v>
      </c>
    </row>
    <row r="927" spans="1:13" ht="15" customHeight="1">
      <c r="A927" s="10">
        <v>46176</v>
      </c>
      <c r="B927" t="s">
        <v>1</v>
      </c>
      <c r="C927" t="s">
        <v>124</v>
      </c>
      <c r="D927">
        <v>1</v>
      </c>
      <c r="E927">
        <v>0</v>
      </c>
      <c r="F927">
        <v>1</v>
      </c>
      <c r="I927">
        <v>1</v>
      </c>
      <c r="M927" t="s">
        <v>1044</v>
      </c>
    </row>
    <row r="928" spans="1:13" ht="15" customHeight="1">
      <c r="A928" s="10">
        <v>46176</v>
      </c>
      <c r="B928" t="s">
        <v>1</v>
      </c>
      <c r="C928" t="s">
        <v>125</v>
      </c>
      <c r="D928">
        <v>2</v>
      </c>
      <c r="E928">
        <v>0</v>
      </c>
      <c r="I928">
        <v>2</v>
      </c>
      <c r="M928" t="s">
        <v>1045</v>
      </c>
    </row>
    <row r="929" spans="1:13" ht="15" customHeight="1">
      <c r="A929" s="10">
        <v>46176</v>
      </c>
      <c r="B929" t="s">
        <v>1</v>
      </c>
      <c r="C929" t="s">
        <v>126</v>
      </c>
      <c r="D929">
        <v>2</v>
      </c>
      <c r="E929">
        <v>0</v>
      </c>
      <c r="I929">
        <v>2</v>
      </c>
      <c r="M929" t="s">
        <v>1046</v>
      </c>
    </row>
    <row r="930" spans="1:13" ht="15" customHeight="1">
      <c r="A930" s="10">
        <v>46176</v>
      </c>
      <c r="B930" t="s">
        <v>1</v>
      </c>
      <c r="C930" t="s">
        <v>128</v>
      </c>
      <c r="D930">
        <v>2</v>
      </c>
      <c r="E930">
        <v>0</v>
      </c>
      <c r="I930">
        <v>2</v>
      </c>
      <c r="M930" t="s">
        <v>1047</v>
      </c>
    </row>
    <row r="931" spans="1:13" ht="15" customHeight="1">
      <c r="A931" s="10">
        <v>46176</v>
      </c>
      <c r="B931" t="s">
        <v>1</v>
      </c>
      <c r="C931" t="s">
        <v>130</v>
      </c>
      <c r="D931">
        <v>5</v>
      </c>
      <c r="E931">
        <v>0</v>
      </c>
      <c r="I931">
        <v>5</v>
      </c>
      <c r="M931" t="s">
        <v>1048</v>
      </c>
    </row>
    <row r="932" spans="1:13" ht="15" customHeight="1">
      <c r="A932" s="10">
        <v>46176</v>
      </c>
      <c r="B932" t="s">
        <v>1</v>
      </c>
      <c r="C932" t="s">
        <v>285</v>
      </c>
      <c r="D932">
        <v>2</v>
      </c>
      <c r="E932">
        <v>0</v>
      </c>
      <c r="I932">
        <v>2</v>
      </c>
      <c r="M932" t="s">
        <v>1049</v>
      </c>
    </row>
    <row r="933" spans="1:13" ht="15" customHeight="1">
      <c r="A933" s="10">
        <v>46176</v>
      </c>
      <c r="B933" t="s">
        <v>1</v>
      </c>
      <c r="C933" t="s">
        <v>287</v>
      </c>
      <c r="D933">
        <v>2</v>
      </c>
      <c r="E933">
        <v>0</v>
      </c>
      <c r="I933">
        <v>2</v>
      </c>
      <c r="M933" t="s">
        <v>1050</v>
      </c>
    </row>
    <row r="934" spans="1:13" ht="15" customHeight="1">
      <c r="A934" s="10">
        <v>46176</v>
      </c>
      <c r="B934" t="s">
        <v>1</v>
      </c>
      <c r="C934" t="s">
        <v>289</v>
      </c>
      <c r="D934">
        <v>3</v>
      </c>
      <c r="E934">
        <v>0</v>
      </c>
      <c r="I934">
        <v>3</v>
      </c>
      <c r="M934" t="s">
        <v>1051</v>
      </c>
    </row>
    <row r="935" spans="1:13" ht="15" customHeight="1">
      <c r="A935" s="10">
        <v>46176</v>
      </c>
      <c r="B935" t="s">
        <v>1</v>
      </c>
      <c r="C935" t="s">
        <v>291</v>
      </c>
      <c r="D935">
        <v>2</v>
      </c>
      <c r="E935">
        <v>0</v>
      </c>
      <c r="I935">
        <v>2</v>
      </c>
      <c r="M935" t="s">
        <v>1052</v>
      </c>
    </row>
    <row r="936" spans="1:13" ht="15" customHeight="1">
      <c r="A936" s="10">
        <v>46176</v>
      </c>
      <c r="B936" t="s">
        <v>1</v>
      </c>
      <c r="C936" t="s">
        <v>293</v>
      </c>
      <c r="D936">
        <v>2</v>
      </c>
      <c r="E936">
        <v>0</v>
      </c>
      <c r="F936">
        <v>2</v>
      </c>
      <c r="I936">
        <v>2</v>
      </c>
      <c r="M936" t="s">
        <v>1053</v>
      </c>
    </row>
    <row r="937" spans="1:13" ht="15" customHeight="1">
      <c r="A937" s="10">
        <v>46176</v>
      </c>
      <c r="B937" t="s">
        <v>1</v>
      </c>
      <c r="C937" s="135" t="s">
        <v>138</v>
      </c>
      <c r="D937">
        <v>0</v>
      </c>
      <c r="E937">
        <v>22</v>
      </c>
      <c r="G937">
        <v>25</v>
      </c>
      <c r="I937">
        <v>0</v>
      </c>
      <c r="J937">
        <v>45</v>
      </c>
      <c r="M937" t="s">
        <v>1054</v>
      </c>
    </row>
    <row r="938" spans="1:13" ht="15" customHeight="1">
      <c r="A938" s="10">
        <v>46176</v>
      </c>
      <c r="B938" t="s">
        <v>1</v>
      </c>
      <c r="C938" s="135" t="s">
        <v>139</v>
      </c>
      <c r="D938">
        <v>0</v>
      </c>
      <c r="E938">
        <v>16</v>
      </c>
      <c r="G938">
        <v>10</v>
      </c>
      <c r="I938">
        <v>0</v>
      </c>
      <c r="J938">
        <v>23</v>
      </c>
      <c r="M938" t="s">
        <v>1055</v>
      </c>
    </row>
    <row r="939" spans="1:13" ht="15" customHeight="1">
      <c r="A939" s="10">
        <v>46176</v>
      </c>
      <c r="B939" t="s">
        <v>1</v>
      </c>
      <c r="C939" s="135" t="s">
        <v>140</v>
      </c>
      <c r="D939">
        <v>0</v>
      </c>
      <c r="E939">
        <v>9</v>
      </c>
      <c r="G939">
        <v>10</v>
      </c>
      <c r="I939">
        <v>0</v>
      </c>
      <c r="J939">
        <v>17</v>
      </c>
      <c r="M939" t="s">
        <v>1056</v>
      </c>
    </row>
    <row r="940" spans="1:13" ht="15" customHeight="1">
      <c r="A940" s="10">
        <v>46176</v>
      </c>
      <c r="B940" t="s">
        <v>1</v>
      </c>
      <c r="C940" s="135" t="s">
        <v>143</v>
      </c>
      <c r="D940">
        <v>0</v>
      </c>
      <c r="E940">
        <v>29</v>
      </c>
      <c r="I940">
        <v>0</v>
      </c>
      <c r="J940">
        <v>27</v>
      </c>
      <c r="M940" t="s">
        <v>1057</v>
      </c>
    </row>
    <row r="941" spans="1:13" ht="15" customHeight="1">
      <c r="A941" s="10">
        <v>46176</v>
      </c>
      <c r="B941" t="s">
        <v>1</v>
      </c>
      <c r="C941" s="135" t="s">
        <v>145</v>
      </c>
      <c r="D941">
        <v>0</v>
      </c>
      <c r="E941">
        <v>24</v>
      </c>
      <c r="G941">
        <v>20</v>
      </c>
      <c r="I941">
        <v>0</v>
      </c>
      <c r="J941">
        <v>42</v>
      </c>
      <c r="M941" t="s">
        <v>1058</v>
      </c>
    </row>
    <row r="942" spans="1:13" ht="15" customHeight="1">
      <c r="A942" s="10">
        <v>46176</v>
      </c>
      <c r="B942" t="s">
        <v>1</v>
      </c>
      <c r="C942" s="135" t="s">
        <v>147</v>
      </c>
      <c r="D942">
        <v>0</v>
      </c>
      <c r="E942">
        <v>35</v>
      </c>
      <c r="I942">
        <v>0</v>
      </c>
      <c r="J942">
        <v>35</v>
      </c>
      <c r="M942" t="s">
        <v>1059</v>
      </c>
    </row>
    <row r="943" spans="1:13" ht="15" customHeight="1">
      <c r="A943" s="10">
        <v>46176</v>
      </c>
      <c r="B943" t="s">
        <v>1</v>
      </c>
      <c r="C943" t="s">
        <v>302</v>
      </c>
      <c r="D943">
        <v>2</v>
      </c>
      <c r="E943">
        <v>0</v>
      </c>
      <c r="I943">
        <v>2</v>
      </c>
      <c r="M943" t="s">
        <v>1060</v>
      </c>
    </row>
    <row r="944" spans="1:13" ht="15" customHeight="1">
      <c r="A944" s="10">
        <v>46176</v>
      </c>
      <c r="B944" t="s">
        <v>1</v>
      </c>
      <c r="C944" t="s">
        <v>150</v>
      </c>
      <c r="D944">
        <v>2</v>
      </c>
      <c r="E944">
        <v>0</v>
      </c>
      <c r="I944">
        <v>2</v>
      </c>
      <c r="M944" t="s">
        <v>1061</v>
      </c>
    </row>
    <row r="945" spans="1:13" ht="15" customHeight="1">
      <c r="A945" s="10">
        <v>46176</v>
      </c>
      <c r="B945" t="s">
        <v>1</v>
      </c>
      <c r="C945" t="s">
        <v>151</v>
      </c>
      <c r="D945">
        <v>2</v>
      </c>
      <c r="E945">
        <v>0</v>
      </c>
      <c r="I945">
        <v>2</v>
      </c>
      <c r="M945" t="s">
        <v>1062</v>
      </c>
    </row>
    <row r="946" spans="1:13" ht="15" customHeight="1">
      <c r="A946" s="10">
        <v>46176</v>
      </c>
      <c r="B946" t="s">
        <v>1</v>
      </c>
      <c r="C946" t="s">
        <v>152</v>
      </c>
      <c r="D946">
        <v>2</v>
      </c>
      <c r="E946">
        <v>0</v>
      </c>
      <c r="I946">
        <v>2</v>
      </c>
      <c r="M946" t="s">
        <v>1063</v>
      </c>
    </row>
    <row r="947" spans="1:13" ht="15" customHeight="1">
      <c r="A947" s="10">
        <v>46176</v>
      </c>
      <c r="B947" t="s">
        <v>1</v>
      </c>
      <c r="C947" t="s">
        <v>153</v>
      </c>
      <c r="D947">
        <v>2</v>
      </c>
      <c r="E947">
        <v>0</v>
      </c>
      <c r="I947">
        <v>2</v>
      </c>
      <c r="M947" t="s">
        <v>1064</v>
      </c>
    </row>
    <row r="948" spans="1:13" ht="15" customHeight="1">
      <c r="A948" s="10">
        <v>46176</v>
      </c>
      <c r="B948" t="s">
        <v>1</v>
      </c>
      <c r="C948" t="s">
        <v>308</v>
      </c>
      <c r="D948">
        <v>0</v>
      </c>
      <c r="E948">
        <v>3</v>
      </c>
      <c r="I948">
        <v>0</v>
      </c>
      <c r="J948">
        <v>3</v>
      </c>
      <c r="M948" t="s">
        <v>1065</v>
      </c>
    </row>
    <row r="949" spans="1:13" ht="15" customHeight="1">
      <c r="A949" s="10">
        <v>46176</v>
      </c>
      <c r="B949" t="s">
        <v>1</v>
      </c>
      <c r="C949" t="s">
        <v>310</v>
      </c>
      <c r="D949">
        <v>0</v>
      </c>
      <c r="E949">
        <v>2</v>
      </c>
      <c r="I949">
        <v>0</v>
      </c>
      <c r="J949">
        <v>2</v>
      </c>
      <c r="M949" t="s">
        <v>1066</v>
      </c>
    </row>
    <row r="950" spans="1:13" ht="15" customHeight="1">
      <c r="A950" s="10">
        <v>46176</v>
      </c>
      <c r="B950" t="s">
        <v>1</v>
      </c>
      <c r="C950" t="s">
        <v>312</v>
      </c>
      <c r="D950">
        <v>0</v>
      </c>
      <c r="E950">
        <v>2</v>
      </c>
      <c r="I950">
        <v>0</v>
      </c>
      <c r="J950">
        <v>2</v>
      </c>
      <c r="M950" t="s">
        <v>1067</v>
      </c>
    </row>
    <row r="951" spans="1:13" ht="15" customHeight="1">
      <c r="A951" s="10">
        <v>46176</v>
      </c>
      <c r="B951" t="s">
        <v>1</v>
      </c>
      <c r="C951" t="s">
        <v>314</v>
      </c>
      <c r="D951">
        <v>1</v>
      </c>
      <c r="E951">
        <v>0</v>
      </c>
      <c r="I951">
        <v>1</v>
      </c>
      <c r="M951" t="s">
        <v>1068</v>
      </c>
    </row>
    <row r="952" spans="1:13" ht="15" customHeight="1">
      <c r="A952" s="10">
        <v>46176</v>
      </c>
      <c r="B952" t="s">
        <v>1</v>
      </c>
      <c r="C952" t="s">
        <v>316</v>
      </c>
      <c r="D952">
        <v>1</v>
      </c>
      <c r="E952">
        <v>0</v>
      </c>
      <c r="I952">
        <v>1</v>
      </c>
      <c r="M952" t="s">
        <v>1069</v>
      </c>
    </row>
    <row r="953" spans="1:13" ht="15" customHeight="1">
      <c r="A953" s="10">
        <v>46176</v>
      </c>
      <c r="B953" t="s">
        <v>1</v>
      </c>
      <c r="C953" t="s">
        <v>318</v>
      </c>
      <c r="D953">
        <v>1</v>
      </c>
      <c r="E953">
        <v>0</v>
      </c>
      <c r="I953">
        <v>1</v>
      </c>
      <c r="M953" t="s">
        <v>1070</v>
      </c>
    </row>
    <row r="954" spans="1:13" ht="15" customHeight="1">
      <c r="A954" s="10">
        <v>46176</v>
      </c>
      <c r="B954" t="s">
        <v>1</v>
      </c>
      <c r="C954" t="s">
        <v>320</v>
      </c>
      <c r="D954">
        <v>3</v>
      </c>
      <c r="E954">
        <v>0</v>
      </c>
      <c r="I954">
        <v>3</v>
      </c>
      <c r="M954" t="s">
        <v>1071</v>
      </c>
    </row>
    <row r="955" spans="1:13" ht="15" customHeight="1">
      <c r="A955" s="10">
        <v>46176</v>
      </c>
      <c r="B955" t="s">
        <v>1</v>
      </c>
      <c r="C955" s="135" t="s">
        <v>168</v>
      </c>
      <c r="D955">
        <v>1</v>
      </c>
      <c r="E955">
        <v>0</v>
      </c>
      <c r="I955">
        <v>1</v>
      </c>
      <c r="M955" t="s">
        <v>1072</v>
      </c>
    </row>
    <row r="956" spans="1:13" ht="15" customHeight="1">
      <c r="A956" s="10">
        <v>46176</v>
      </c>
      <c r="B956" t="s">
        <v>1</v>
      </c>
      <c r="C956" s="135" t="s">
        <v>170</v>
      </c>
      <c r="D956">
        <v>1</v>
      </c>
      <c r="E956">
        <v>0</v>
      </c>
      <c r="I956">
        <v>1</v>
      </c>
      <c r="M956" t="s">
        <v>1073</v>
      </c>
    </row>
    <row r="957" spans="1:13" ht="15" customHeight="1">
      <c r="A957" s="10">
        <v>46176</v>
      </c>
      <c r="B957" t="s">
        <v>1</v>
      </c>
      <c r="C957" s="135" t="s">
        <v>171</v>
      </c>
      <c r="D957">
        <v>2</v>
      </c>
      <c r="E957">
        <v>0</v>
      </c>
      <c r="I957">
        <v>2</v>
      </c>
      <c r="M957" t="s">
        <v>1074</v>
      </c>
    </row>
    <row r="958" spans="1:13" ht="15" customHeight="1">
      <c r="A958" s="10">
        <v>46176</v>
      </c>
      <c r="B958" t="s">
        <v>1</v>
      </c>
      <c r="C958" s="135" t="s">
        <v>172</v>
      </c>
      <c r="D958">
        <v>1</v>
      </c>
      <c r="E958">
        <v>0</v>
      </c>
      <c r="I958">
        <v>1</v>
      </c>
      <c r="M958" t="s">
        <v>1075</v>
      </c>
    </row>
    <row r="959" spans="1:13" ht="15" customHeight="1">
      <c r="A959" s="10">
        <v>46176</v>
      </c>
      <c r="B959" t="s">
        <v>1</v>
      </c>
      <c r="C959" t="s">
        <v>176</v>
      </c>
      <c r="D959">
        <v>0</v>
      </c>
      <c r="E959">
        <v>20</v>
      </c>
      <c r="I959">
        <v>0</v>
      </c>
      <c r="J959">
        <v>20</v>
      </c>
      <c r="M959" t="s">
        <v>1076</v>
      </c>
    </row>
    <row r="960" spans="1:13" ht="15" customHeight="1">
      <c r="A960" s="10">
        <v>46176</v>
      </c>
      <c r="B960" t="s">
        <v>1</v>
      </c>
      <c r="C960" t="s">
        <v>178</v>
      </c>
      <c r="D960">
        <v>0</v>
      </c>
      <c r="E960">
        <v>9</v>
      </c>
      <c r="I960">
        <v>0</v>
      </c>
      <c r="J960">
        <v>9</v>
      </c>
      <c r="M960" t="s">
        <v>1077</v>
      </c>
    </row>
    <row r="961" spans="1:13" ht="15" customHeight="1">
      <c r="A961" s="10">
        <v>46176</v>
      </c>
      <c r="B961" t="s">
        <v>1</v>
      </c>
      <c r="C961" t="s">
        <v>179</v>
      </c>
      <c r="D961">
        <v>0</v>
      </c>
      <c r="E961">
        <v>19</v>
      </c>
      <c r="I961">
        <v>0</v>
      </c>
      <c r="J961">
        <v>19</v>
      </c>
      <c r="M961" t="s">
        <v>1078</v>
      </c>
    </row>
    <row r="962" spans="1:13" ht="15" customHeight="1">
      <c r="A962" s="10">
        <v>46176</v>
      </c>
      <c r="B962" t="s">
        <v>1</v>
      </c>
      <c r="C962" t="s">
        <v>180</v>
      </c>
      <c r="D962">
        <v>0</v>
      </c>
      <c r="E962">
        <v>15</v>
      </c>
      <c r="I962">
        <v>0</v>
      </c>
      <c r="J962">
        <v>15</v>
      </c>
      <c r="M962" t="s">
        <v>1079</v>
      </c>
    </row>
    <row r="963" spans="1:13" ht="15" customHeight="1">
      <c r="A963" s="10">
        <v>46176</v>
      </c>
      <c r="B963" t="s">
        <v>1</v>
      </c>
      <c r="C963" s="135" t="s">
        <v>182</v>
      </c>
      <c r="D963">
        <v>0</v>
      </c>
      <c r="E963">
        <v>319</v>
      </c>
      <c r="J963">
        <v>319</v>
      </c>
      <c r="M963" t="s">
        <v>1080</v>
      </c>
    </row>
    <row r="964" spans="1:13" ht="15" customHeight="1">
      <c r="A964" s="10">
        <v>46176</v>
      </c>
      <c r="B964" t="s">
        <v>1</v>
      </c>
      <c r="C964" s="135" t="s">
        <v>184</v>
      </c>
      <c r="D964">
        <v>1</v>
      </c>
      <c r="E964">
        <v>28</v>
      </c>
      <c r="I964">
        <v>1</v>
      </c>
      <c r="J964">
        <v>28</v>
      </c>
      <c r="M964" t="s">
        <v>1081</v>
      </c>
    </row>
    <row r="965" spans="1:13" ht="15" customHeight="1">
      <c r="A965" s="10">
        <v>46176</v>
      </c>
      <c r="B965" t="s">
        <v>1</v>
      </c>
      <c r="C965" s="135" t="s">
        <v>185</v>
      </c>
      <c r="D965">
        <v>1</v>
      </c>
      <c r="E965">
        <v>60</v>
      </c>
      <c r="I965">
        <v>1</v>
      </c>
      <c r="J965">
        <v>60</v>
      </c>
      <c r="M965" t="s">
        <v>1082</v>
      </c>
    </row>
    <row r="966" spans="1:13" ht="15" customHeight="1">
      <c r="A966" s="10">
        <v>46176</v>
      </c>
      <c r="B966" t="s">
        <v>1</v>
      </c>
      <c r="C966" s="135" t="s">
        <v>186</v>
      </c>
      <c r="D966">
        <v>1</v>
      </c>
      <c r="E966">
        <v>118</v>
      </c>
      <c r="I966">
        <v>1</v>
      </c>
      <c r="J966">
        <v>118</v>
      </c>
      <c r="M966" t="s">
        <v>1083</v>
      </c>
    </row>
    <row r="967" spans="1:13" ht="15" customHeight="1">
      <c r="A967" s="10">
        <v>46176</v>
      </c>
      <c r="B967" t="s">
        <v>1</v>
      </c>
      <c r="C967" t="s">
        <v>337</v>
      </c>
      <c r="D967">
        <v>2</v>
      </c>
      <c r="E967">
        <v>172</v>
      </c>
      <c r="I967">
        <v>2</v>
      </c>
      <c r="J967">
        <v>164</v>
      </c>
      <c r="M967" t="s">
        <v>1084</v>
      </c>
    </row>
    <row r="968" spans="1:13" ht="15" customHeight="1">
      <c r="A968" s="10">
        <v>46176</v>
      </c>
      <c r="B968" t="s">
        <v>1</v>
      </c>
      <c r="C968" s="135" t="s">
        <v>191</v>
      </c>
      <c r="D968">
        <v>1</v>
      </c>
      <c r="E968">
        <v>340</v>
      </c>
      <c r="I968">
        <v>1</v>
      </c>
      <c r="J968">
        <v>340</v>
      </c>
      <c r="M968" t="s">
        <v>1085</v>
      </c>
    </row>
    <row r="969" spans="1:13" ht="15" customHeight="1">
      <c r="A969" s="10">
        <v>46176</v>
      </c>
      <c r="B969" t="s">
        <v>1</v>
      </c>
      <c r="C969" s="135" t="s">
        <v>193</v>
      </c>
      <c r="D969">
        <v>1</v>
      </c>
      <c r="E969">
        <v>504</v>
      </c>
      <c r="I969">
        <v>1</v>
      </c>
      <c r="J969">
        <v>504</v>
      </c>
      <c r="M969" t="s">
        <v>1086</v>
      </c>
    </row>
    <row r="970" spans="1:13" ht="15" customHeight="1">
      <c r="A970" s="10">
        <v>46176</v>
      </c>
      <c r="B970" t="s">
        <v>1</v>
      </c>
      <c r="C970" s="135" t="s">
        <v>194</v>
      </c>
      <c r="D970">
        <v>1</v>
      </c>
      <c r="E970">
        <v>32</v>
      </c>
      <c r="I970">
        <v>1</v>
      </c>
      <c r="J970">
        <v>32</v>
      </c>
      <c r="M970" t="s">
        <v>1087</v>
      </c>
    </row>
    <row r="971" spans="1:13" ht="15" customHeight="1">
      <c r="A971" s="10">
        <v>46176</v>
      </c>
      <c r="B971" t="s">
        <v>1</v>
      </c>
      <c r="C971" s="135" t="s">
        <v>196</v>
      </c>
      <c r="D971">
        <v>1</v>
      </c>
      <c r="E971">
        <v>120</v>
      </c>
      <c r="I971">
        <v>1</v>
      </c>
      <c r="J971">
        <v>120</v>
      </c>
      <c r="M971" t="s">
        <v>1088</v>
      </c>
    </row>
    <row r="972" spans="1:13" ht="15" customHeight="1">
      <c r="A972" s="10">
        <v>46177</v>
      </c>
      <c r="B972" t="s">
        <v>1</v>
      </c>
      <c r="C972" t="s">
        <v>23</v>
      </c>
      <c r="D972">
        <v>5</v>
      </c>
      <c r="E972">
        <v>1050</v>
      </c>
      <c r="I972">
        <v>5</v>
      </c>
      <c r="J972">
        <v>371</v>
      </c>
      <c r="M972" t="s">
        <v>1089</v>
      </c>
    </row>
    <row r="973" spans="1:13" ht="15" customHeight="1">
      <c r="A973" s="10">
        <v>46177</v>
      </c>
      <c r="B973" t="s">
        <v>1</v>
      </c>
      <c r="C973" t="s">
        <v>26</v>
      </c>
      <c r="D973">
        <v>0</v>
      </c>
      <c r="E973">
        <v>974</v>
      </c>
      <c r="J973">
        <v>952</v>
      </c>
      <c r="M973" t="s">
        <v>1090</v>
      </c>
    </row>
    <row r="974" spans="1:13" ht="15" customHeight="1">
      <c r="A974" s="10">
        <v>46177</v>
      </c>
      <c r="B974" t="s">
        <v>1</v>
      </c>
      <c r="C974" t="s">
        <v>27</v>
      </c>
      <c r="D974">
        <v>1</v>
      </c>
      <c r="E974">
        <v>638</v>
      </c>
      <c r="I974">
        <v>1</v>
      </c>
      <c r="J974">
        <v>632</v>
      </c>
      <c r="M974" t="s">
        <v>1091</v>
      </c>
    </row>
    <row r="975" spans="1:13" ht="15" customHeight="1">
      <c r="A975" s="10">
        <v>46177</v>
      </c>
      <c r="B975" t="s">
        <v>1</v>
      </c>
      <c r="C975" t="s">
        <v>29</v>
      </c>
      <c r="D975">
        <v>0</v>
      </c>
      <c r="E975">
        <v>682</v>
      </c>
      <c r="J975">
        <v>589</v>
      </c>
      <c r="M975" t="s">
        <v>1092</v>
      </c>
    </row>
    <row r="976" spans="1:13" ht="15" customHeight="1">
      <c r="A976" s="10">
        <v>46177</v>
      </c>
      <c r="B976" t="s">
        <v>1</v>
      </c>
      <c r="C976" t="s">
        <v>30</v>
      </c>
      <c r="D976">
        <v>1</v>
      </c>
      <c r="E976">
        <v>874</v>
      </c>
      <c r="I976">
        <v>1</v>
      </c>
      <c r="J976">
        <v>772</v>
      </c>
      <c r="M976" t="s">
        <v>1093</v>
      </c>
    </row>
    <row r="977" spans="1:13" ht="15" customHeight="1">
      <c r="A977" s="10">
        <v>46177</v>
      </c>
      <c r="B977" t="s">
        <v>1</v>
      </c>
      <c r="C977" t="s">
        <v>31</v>
      </c>
      <c r="D977">
        <v>2</v>
      </c>
      <c r="E977">
        <v>30</v>
      </c>
      <c r="I977">
        <v>1</v>
      </c>
      <c r="J977">
        <v>383</v>
      </c>
      <c r="M977" t="s">
        <v>1094</v>
      </c>
    </row>
    <row r="978" spans="1:13" ht="15" customHeight="1">
      <c r="A978" s="10">
        <v>46177</v>
      </c>
      <c r="B978" t="s">
        <v>1</v>
      </c>
      <c r="C978" t="s">
        <v>32</v>
      </c>
      <c r="D978">
        <v>1</v>
      </c>
      <c r="E978">
        <v>0</v>
      </c>
      <c r="J978">
        <v>671</v>
      </c>
      <c r="M978" t="s">
        <v>1095</v>
      </c>
    </row>
    <row r="979" spans="1:13" ht="15" customHeight="1">
      <c r="A979" s="10">
        <v>46177</v>
      </c>
      <c r="B979" t="s">
        <v>1</v>
      </c>
      <c r="C979" t="s">
        <v>223</v>
      </c>
      <c r="D979">
        <v>6</v>
      </c>
      <c r="E979">
        <v>490</v>
      </c>
      <c r="I979">
        <v>5</v>
      </c>
      <c r="J979">
        <v>668</v>
      </c>
      <c r="M979" t="s">
        <v>1096</v>
      </c>
    </row>
    <row r="980" spans="1:13" ht="15" customHeight="1">
      <c r="A980" s="10">
        <v>46177</v>
      </c>
      <c r="B980" t="s">
        <v>1</v>
      </c>
      <c r="C980" t="s">
        <v>35</v>
      </c>
      <c r="D980">
        <v>2</v>
      </c>
      <c r="E980">
        <v>0</v>
      </c>
      <c r="H980">
        <v>2</v>
      </c>
      <c r="I980">
        <v>0</v>
      </c>
      <c r="M980" t="s">
        <v>1097</v>
      </c>
    </row>
    <row r="981" spans="1:13" ht="15" customHeight="1">
      <c r="A981" s="10">
        <v>46177</v>
      </c>
      <c r="B981" t="s">
        <v>1</v>
      </c>
      <c r="C981" t="s">
        <v>37</v>
      </c>
      <c r="D981">
        <v>2</v>
      </c>
      <c r="E981">
        <v>0</v>
      </c>
      <c r="I981">
        <v>2</v>
      </c>
      <c r="M981" t="s">
        <v>1098</v>
      </c>
    </row>
    <row r="982" spans="1:13" ht="15" customHeight="1">
      <c r="A982" s="10">
        <v>46177</v>
      </c>
      <c r="B982" t="s">
        <v>1</v>
      </c>
      <c r="C982" t="s">
        <v>39</v>
      </c>
      <c r="D982">
        <v>14</v>
      </c>
      <c r="E982">
        <v>0</v>
      </c>
      <c r="H982">
        <v>1</v>
      </c>
      <c r="I982">
        <v>13</v>
      </c>
      <c r="J982">
        <v>0</v>
      </c>
      <c r="M982" t="s">
        <v>1099</v>
      </c>
    </row>
    <row r="983" spans="1:13" ht="15" customHeight="1">
      <c r="A983" s="10">
        <v>46177</v>
      </c>
      <c r="B983" t="s">
        <v>1</v>
      </c>
      <c r="C983" t="s">
        <v>41</v>
      </c>
      <c r="D983">
        <v>18</v>
      </c>
      <c r="E983">
        <v>0</v>
      </c>
      <c r="H983">
        <v>1</v>
      </c>
      <c r="I983">
        <v>17</v>
      </c>
      <c r="J983">
        <v>0</v>
      </c>
      <c r="M983" t="s">
        <v>1100</v>
      </c>
    </row>
    <row r="984" spans="1:13" ht="15" customHeight="1">
      <c r="A984" s="10">
        <v>46177</v>
      </c>
      <c r="B984" t="s">
        <v>1</v>
      </c>
      <c r="C984" t="s">
        <v>232</v>
      </c>
      <c r="D984">
        <v>20</v>
      </c>
      <c r="E984">
        <v>0</v>
      </c>
      <c r="I984">
        <v>20</v>
      </c>
      <c r="J984">
        <v>0</v>
      </c>
      <c r="M984" t="s">
        <v>1101</v>
      </c>
    </row>
    <row r="985" spans="1:13" ht="15" customHeight="1">
      <c r="A985" s="10">
        <v>46177</v>
      </c>
      <c r="B985" t="s">
        <v>1</v>
      </c>
      <c r="C985" t="s">
        <v>234</v>
      </c>
      <c r="D985">
        <v>58</v>
      </c>
      <c r="E985">
        <v>0</v>
      </c>
      <c r="H985">
        <v>4</v>
      </c>
      <c r="I985">
        <v>54</v>
      </c>
      <c r="J985">
        <v>0</v>
      </c>
      <c r="M985" t="s">
        <v>1102</v>
      </c>
    </row>
    <row r="986" spans="1:13" ht="15" customHeight="1">
      <c r="A986" s="10">
        <v>46177</v>
      </c>
      <c r="B986" t="s">
        <v>1</v>
      </c>
      <c r="C986" t="s">
        <v>237</v>
      </c>
      <c r="D986">
        <v>14</v>
      </c>
      <c r="E986">
        <v>0</v>
      </c>
      <c r="H986">
        <v>1</v>
      </c>
      <c r="I986">
        <v>13</v>
      </c>
      <c r="J986">
        <v>0</v>
      </c>
      <c r="M986" t="s">
        <v>1103</v>
      </c>
    </row>
    <row r="987" spans="1:13" ht="15" customHeight="1">
      <c r="A987" s="10">
        <v>46177</v>
      </c>
      <c r="B987" t="s">
        <v>1</v>
      </c>
      <c r="C987" s="135" t="s">
        <v>58</v>
      </c>
      <c r="D987">
        <v>6</v>
      </c>
      <c r="E987">
        <v>0</v>
      </c>
      <c r="I987">
        <v>6</v>
      </c>
      <c r="J987">
        <v>0</v>
      </c>
      <c r="M987" t="s">
        <v>1104</v>
      </c>
    </row>
    <row r="988" spans="1:13" ht="15" customHeight="1">
      <c r="A988" s="10">
        <v>46177</v>
      </c>
      <c r="B988" t="s">
        <v>1</v>
      </c>
      <c r="C988" s="135" t="s">
        <v>60</v>
      </c>
      <c r="D988">
        <v>6</v>
      </c>
      <c r="E988">
        <v>0</v>
      </c>
      <c r="I988">
        <v>6</v>
      </c>
      <c r="J988">
        <v>0</v>
      </c>
      <c r="M988" t="s">
        <v>1105</v>
      </c>
    </row>
    <row r="989" spans="1:13" ht="15" customHeight="1">
      <c r="A989" s="10">
        <v>46177</v>
      </c>
      <c r="B989" t="s">
        <v>1</v>
      </c>
      <c r="C989" s="135" t="s">
        <v>61</v>
      </c>
      <c r="D989">
        <v>5</v>
      </c>
      <c r="E989">
        <v>0</v>
      </c>
      <c r="I989">
        <v>5</v>
      </c>
      <c r="J989">
        <v>0</v>
      </c>
      <c r="M989" t="s">
        <v>1106</v>
      </c>
    </row>
    <row r="990" spans="1:13" ht="15" customHeight="1">
      <c r="A990" s="10">
        <v>46177</v>
      </c>
      <c r="B990" t="s">
        <v>1</v>
      </c>
      <c r="C990" s="135" t="s">
        <v>62</v>
      </c>
      <c r="D990">
        <v>3</v>
      </c>
      <c r="E990">
        <v>0</v>
      </c>
      <c r="I990">
        <v>3</v>
      </c>
      <c r="J990">
        <v>0</v>
      </c>
      <c r="M990" t="s">
        <v>1107</v>
      </c>
    </row>
    <row r="991" spans="1:13" ht="15" customHeight="1">
      <c r="A991" s="10">
        <v>46177</v>
      </c>
      <c r="B991" t="s">
        <v>1</v>
      </c>
      <c r="C991" s="135" t="s">
        <v>63</v>
      </c>
      <c r="D991">
        <v>3</v>
      </c>
      <c r="E991">
        <v>0</v>
      </c>
      <c r="I991">
        <v>3</v>
      </c>
      <c r="J991">
        <v>0</v>
      </c>
      <c r="M991" t="s">
        <v>1108</v>
      </c>
    </row>
    <row r="992" spans="1:13" ht="15" customHeight="1">
      <c r="A992" s="10">
        <v>46177</v>
      </c>
      <c r="B992" t="s">
        <v>1</v>
      </c>
      <c r="C992" s="135" t="s">
        <v>64</v>
      </c>
      <c r="D992">
        <v>3</v>
      </c>
      <c r="E992">
        <v>0</v>
      </c>
      <c r="I992">
        <v>3</v>
      </c>
      <c r="J992">
        <v>0</v>
      </c>
      <c r="M992" t="s">
        <v>1109</v>
      </c>
    </row>
    <row r="993" spans="1:13" ht="15" customHeight="1">
      <c r="A993" s="10">
        <v>46177</v>
      </c>
      <c r="B993" t="s">
        <v>1</v>
      </c>
      <c r="C993" t="s">
        <v>66</v>
      </c>
      <c r="D993">
        <v>3</v>
      </c>
      <c r="E993">
        <v>0</v>
      </c>
      <c r="I993">
        <v>3</v>
      </c>
      <c r="J993">
        <v>0</v>
      </c>
      <c r="M993" t="s">
        <v>1110</v>
      </c>
    </row>
    <row r="994" spans="1:13" ht="15" customHeight="1">
      <c r="A994" s="10">
        <v>46177</v>
      </c>
      <c r="B994" t="s">
        <v>1</v>
      </c>
      <c r="C994" t="s">
        <v>67</v>
      </c>
      <c r="D994">
        <v>4</v>
      </c>
      <c r="E994">
        <v>0</v>
      </c>
      <c r="I994">
        <v>4</v>
      </c>
      <c r="J994">
        <v>0</v>
      </c>
      <c r="M994" t="s">
        <v>1111</v>
      </c>
    </row>
    <row r="995" spans="1:13" ht="15" customHeight="1">
      <c r="A995" s="10">
        <v>46177</v>
      </c>
      <c r="B995" t="s">
        <v>1</v>
      </c>
      <c r="C995" t="s">
        <v>71</v>
      </c>
      <c r="D995">
        <v>2</v>
      </c>
      <c r="E995">
        <v>64</v>
      </c>
      <c r="I995">
        <v>1</v>
      </c>
      <c r="J995">
        <v>73</v>
      </c>
      <c r="M995" t="s">
        <v>1112</v>
      </c>
    </row>
    <row r="996" spans="1:13" ht="15" customHeight="1">
      <c r="A996" s="10">
        <v>46177</v>
      </c>
      <c r="B996" t="s">
        <v>1</v>
      </c>
      <c r="C996" t="s">
        <v>73</v>
      </c>
      <c r="D996">
        <v>2</v>
      </c>
      <c r="E996">
        <v>121</v>
      </c>
      <c r="I996">
        <v>2</v>
      </c>
      <c r="J996">
        <v>62</v>
      </c>
      <c r="M996" t="s">
        <v>1113</v>
      </c>
    </row>
    <row r="997" spans="1:13" ht="15" customHeight="1">
      <c r="A997" s="10">
        <v>46177</v>
      </c>
      <c r="B997" t="s">
        <v>1</v>
      </c>
      <c r="C997" t="s">
        <v>75</v>
      </c>
      <c r="D997">
        <v>1</v>
      </c>
      <c r="E997">
        <v>147</v>
      </c>
      <c r="I997">
        <v>1</v>
      </c>
      <c r="J997">
        <v>81</v>
      </c>
      <c r="M997" t="s">
        <v>1114</v>
      </c>
    </row>
    <row r="998" spans="1:13" ht="15" customHeight="1">
      <c r="A998" s="10">
        <v>46177</v>
      </c>
      <c r="B998" t="s">
        <v>1</v>
      </c>
      <c r="C998" t="s">
        <v>77</v>
      </c>
      <c r="D998">
        <v>1</v>
      </c>
      <c r="E998">
        <v>0</v>
      </c>
      <c r="J998">
        <v>986</v>
      </c>
      <c r="M998" t="s">
        <v>1115</v>
      </c>
    </row>
    <row r="999" spans="1:13" ht="15" customHeight="1">
      <c r="A999" s="10">
        <v>46177</v>
      </c>
      <c r="B999" t="s">
        <v>1</v>
      </c>
      <c r="C999" t="s">
        <v>79</v>
      </c>
      <c r="D999">
        <v>0</v>
      </c>
      <c r="E999">
        <v>1442</v>
      </c>
      <c r="J999">
        <v>1326</v>
      </c>
      <c r="M999" t="s">
        <v>1116</v>
      </c>
    </row>
    <row r="1000" spans="1:13" ht="15" customHeight="1">
      <c r="A1000" s="10">
        <v>46177</v>
      </c>
      <c r="B1000" t="s">
        <v>1</v>
      </c>
      <c r="C1000" t="s">
        <v>81</v>
      </c>
      <c r="D1000">
        <v>1</v>
      </c>
      <c r="E1000">
        <v>0</v>
      </c>
      <c r="I1000">
        <v>1</v>
      </c>
      <c r="M1000" t="s">
        <v>1117</v>
      </c>
    </row>
    <row r="1001" spans="1:13" ht="15" customHeight="1">
      <c r="A1001" s="10">
        <v>46177</v>
      </c>
      <c r="B1001" t="s">
        <v>1</v>
      </c>
      <c r="C1001" t="s">
        <v>83</v>
      </c>
      <c r="D1001">
        <v>1</v>
      </c>
      <c r="E1001">
        <v>350</v>
      </c>
      <c r="I1001">
        <v>1</v>
      </c>
      <c r="J1001">
        <v>350</v>
      </c>
      <c r="M1001" t="s">
        <v>1118</v>
      </c>
    </row>
    <row r="1002" spans="1:13" ht="15" customHeight="1">
      <c r="A1002" s="10">
        <v>46177</v>
      </c>
      <c r="B1002" t="s">
        <v>1</v>
      </c>
      <c r="C1002" t="s">
        <v>84</v>
      </c>
      <c r="D1002">
        <v>0</v>
      </c>
      <c r="E1002">
        <v>346</v>
      </c>
      <c r="J1002">
        <v>320</v>
      </c>
      <c r="M1002" t="s">
        <v>1119</v>
      </c>
    </row>
    <row r="1003" spans="1:13" ht="15" customHeight="1">
      <c r="A1003" s="10">
        <v>46177</v>
      </c>
      <c r="B1003" t="s">
        <v>1</v>
      </c>
      <c r="C1003" t="s">
        <v>85</v>
      </c>
      <c r="D1003">
        <v>0</v>
      </c>
      <c r="E1003">
        <v>170</v>
      </c>
      <c r="J1003">
        <v>170</v>
      </c>
      <c r="M1003" t="s">
        <v>1120</v>
      </c>
    </row>
    <row r="1004" spans="1:13" ht="15" customHeight="1">
      <c r="A1004" s="10">
        <v>46177</v>
      </c>
      <c r="B1004" t="s">
        <v>1</v>
      </c>
      <c r="C1004" t="s">
        <v>87</v>
      </c>
      <c r="D1004">
        <v>2</v>
      </c>
      <c r="E1004">
        <v>185</v>
      </c>
      <c r="I1004">
        <v>2</v>
      </c>
      <c r="J1004">
        <v>180</v>
      </c>
      <c r="M1004" t="s">
        <v>1121</v>
      </c>
    </row>
    <row r="1005" spans="1:13" ht="15" customHeight="1">
      <c r="A1005" s="10">
        <v>46177</v>
      </c>
      <c r="B1005" t="s">
        <v>1</v>
      </c>
      <c r="C1005" t="s">
        <v>88</v>
      </c>
      <c r="D1005">
        <v>1</v>
      </c>
      <c r="E1005">
        <v>278</v>
      </c>
      <c r="I1005">
        <v>1</v>
      </c>
      <c r="J1005">
        <v>274</v>
      </c>
      <c r="M1005" t="s">
        <v>1122</v>
      </c>
    </row>
    <row r="1006" spans="1:13" ht="15" customHeight="1">
      <c r="A1006" s="10">
        <v>46177</v>
      </c>
      <c r="B1006" t="s">
        <v>1</v>
      </c>
      <c r="C1006" t="s">
        <v>89</v>
      </c>
      <c r="D1006">
        <v>1</v>
      </c>
      <c r="E1006">
        <v>367</v>
      </c>
      <c r="I1006">
        <v>1</v>
      </c>
      <c r="J1006">
        <v>367</v>
      </c>
      <c r="M1006" t="s">
        <v>1123</v>
      </c>
    </row>
    <row r="1007" spans="1:13" ht="15" customHeight="1">
      <c r="A1007" s="10">
        <v>46177</v>
      </c>
      <c r="B1007" t="s">
        <v>1</v>
      </c>
      <c r="C1007" t="s">
        <v>90</v>
      </c>
      <c r="D1007">
        <v>1</v>
      </c>
      <c r="E1007">
        <v>975</v>
      </c>
      <c r="I1007">
        <v>1</v>
      </c>
      <c r="J1007">
        <v>970</v>
      </c>
      <c r="M1007" t="s">
        <v>1124</v>
      </c>
    </row>
    <row r="1008" spans="1:13" ht="15" customHeight="1">
      <c r="A1008" s="10">
        <v>46177</v>
      </c>
      <c r="B1008" t="s">
        <v>1</v>
      </c>
      <c r="C1008" t="s">
        <v>92</v>
      </c>
      <c r="D1008">
        <v>1</v>
      </c>
      <c r="E1008">
        <v>850</v>
      </c>
      <c r="I1008">
        <v>1</v>
      </c>
      <c r="J1008">
        <v>841</v>
      </c>
      <c r="M1008" t="s">
        <v>1125</v>
      </c>
    </row>
    <row r="1009" spans="1:13" ht="15" customHeight="1">
      <c r="A1009" s="10">
        <v>46177</v>
      </c>
      <c r="B1009" t="s">
        <v>1</v>
      </c>
      <c r="C1009" t="s">
        <v>94</v>
      </c>
      <c r="D1009">
        <v>3</v>
      </c>
      <c r="E1009">
        <v>0</v>
      </c>
      <c r="I1009">
        <v>2</v>
      </c>
      <c r="J1009">
        <v>151</v>
      </c>
      <c r="K1009">
        <v>85</v>
      </c>
      <c r="M1009" t="s">
        <v>1126</v>
      </c>
    </row>
    <row r="1010" spans="1:13" ht="15" customHeight="1">
      <c r="A1010" s="10">
        <v>46177</v>
      </c>
      <c r="B1010" t="s">
        <v>1</v>
      </c>
      <c r="C1010" t="s">
        <v>96</v>
      </c>
      <c r="D1010">
        <v>0</v>
      </c>
      <c r="E1010">
        <v>261</v>
      </c>
      <c r="M1010" t="s">
        <v>1127</v>
      </c>
    </row>
    <row r="1011" spans="1:13" ht="15" customHeight="1">
      <c r="A1011" s="10">
        <v>46177</v>
      </c>
      <c r="B1011" t="s">
        <v>1</v>
      </c>
      <c r="C1011" t="s">
        <v>98</v>
      </c>
      <c r="D1011">
        <v>0</v>
      </c>
      <c r="E1011">
        <v>0</v>
      </c>
      <c r="M1011" t="s">
        <v>1128</v>
      </c>
    </row>
    <row r="1012" spans="1:13" ht="15" customHeight="1">
      <c r="A1012" s="10">
        <v>46177</v>
      </c>
      <c r="B1012" t="s">
        <v>1</v>
      </c>
      <c r="C1012" t="s">
        <v>203</v>
      </c>
      <c r="D1012">
        <v>2</v>
      </c>
      <c r="E1012">
        <v>527</v>
      </c>
      <c r="I1012">
        <v>2</v>
      </c>
      <c r="J1012">
        <v>427</v>
      </c>
      <c r="M1012" t="s">
        <v>1129</v>
      </c>
    </row>
    <row r="1013" spans="1:13" ht="15" customHeight="1">
      <c r="A1013" s="10">
        <v>46177</v>
      </c>
      <c r="B1013" t="s">
        <v>1</v>
      </c>
      <c r="C1013" t="s">
        <v>100</v>
      </c>
      <c r="D1013">
        <v>0</v>
      </c>
      <c r="E1013">
        <v>0</v>
      </c>
      <c r="M1013" t="s">
        <v>1130</v>
      </c>
    </row>
    <row r="1014" spans="1:13" ht="15" customHeight="1">
      <c r="A1014" s="10">
        <v>46177</v>
      </c>
      <c r="B1014" t="s">
        <v>1</v>
      </c>
      <c r="C1014" t="s">
        <v>101</v>
      </c>
      <c r="D1014">
        <v>1</v>
      </c>
      <c r="E1014">
        <v>39</v>
      </c>
      <c r="J1014">
        <v>538</v>
      </c>
      <c r="M1014" t="s">
        <v>1131</v>
      </c>
    </row>
    <row r="1015" spans="1:13" ht="15" customHeight="1">
      <c r="A1015" s="10">
        <v>46177</v>
      </c>
      <c r="B1015" t="s">
        <v>1</v>
      </c>
      <c r="C1015" t="s">
        <v>103</v>
      </c>
      <c r="D1015">
        <v>0</v>
      </c>
      <c r="E1015">
        <v>7</v>
      </c>
      <c r="I1015">
        <v>0</v>
      </c>
      <c r="J1015">
        <v>5</v>
      </c>
      <c r="M1015" t="s">
        <v>1132</v>
      </c>
    </row>
    <row r="1016" spans="1:13" ht="15" customHeight="1">
      <c r="A1016" s="10">
        <v>46177</v>
      </c>
      <c r="B1016" t="s">
        <v>1</v>
      </c>
      <c r="C1016" t="s">
        <v>106</v>
      </c>
      <c r="D1016">
        <v>1</v>
      </c>
      <c r="E1016">
        <v>418</v>
      </c>
      <c r="I1016">
        <v>1</v>
      </c>
      <c r="J1016">
        <v>342</v>
      </c>
      <c r="M1016" t="s">
        <v>1133</v>
      </c>
    </row>
    <row r="1017" spans="1:13" ht="15" customHeight="1">
      <c r="A1017" s="10">
        <v>46177</v>
      </c>
      <c r="B1017" t="s">
        <v>1</v>
      </c>
      <c r="C1017" t="s">
        <v>108</v>
      </c>
      <c r="D1017">
        <v>1</v>
      </c>
      <c r="E1017">
        <v>430</v>
      </c>
      <c r="I1017">
        <v>1</v>
      </c>
      <c r="J1017">
        <v>401</v>
      </c>
      <c r="M1017" t="s">
        <v>1134</v>
      </c>
    </row>
    <row r="1018" spans="1:13" ht="15" customHeight="1">
      <c r="A1018" s="10">
        <v>46177</v>
      </c>
      <c r="B1018" t="s">
        <v>1</v>
      </c>
      <c r="C1018" t="s">
        <v>109</v>
      </c>
      <c r="D1018">
        <v>1</v>
      </c>
      <c r="E1018">
        <v>735</v>
      </c>
      <c r="I1018">
        <v>1</v>
      </c>
      <c r="J1018">
        <v>538</v>
      </c>
      <c r="M1018" t="s">
        <v>1135</v>
      </c>
    </row>
    <row r="1019" spans="1:13" ht="15" customHeight="1">
      <c r="A1019" s="10">
        <v>46177</v>
      </c>
      <c r="B1019" t="s">
        <v>1</v>
      </c>
      <c r="C1019" t="s">
        <v>112</v>
      </c>
      <c r="D1019">
        <v>1</v>
      </c>
      <c r="E1019">
        <v>32</v>
      </c>
      <c r="I1019">
        <v>1</v>
      </c>
      <c r="J1019">
        <v>28</v>
      </c>
      <c r="M1019" t="s">
        <v>1136</v>
      </c>
    </row>
    <row r="1020" spans="1:13" ht="15" customHeight="1">
      <c r="A1020" s="10">
        <v>46177</v>
      </c>
      <c r="B1020" t="s">
        <v>1</v>
      </c>
      <c r="C1020" t="s">
        <v>114</v>
      </c>
      <c r="D1020">
        <v>1</v>
      </c>
      <c r="E1020">
        <v>42</v>
      </c>
      <c r="I1020">
        <v>1</v>
      </c>
      <c r="J1020">
        <v>32</v>
      </c>
      <c r="M1020" t="s">
        <v>1137</v>
      </c>
    </row>
    <row r="1021" spans="1:13" ht="15" customHeight="1">
      <c r="A1021" s="10">
        <v>46177</v>
      </c>
      <c r="B1021" t="s">
        <v>1</v>
      </c>
      <c r="C1021" t="s">
        <v>115</v>
      </c>
      <c r="D1021">
        <v>1</v>
      </c>
      <c r="E1021">
        <v>34</v>
      </c>
      <c r="I1021">
        <v>1</v>
      </c>
      <c r="J1021">
        <v>32</v>
      </c>
      <c r="M1021" t="s">
        <v>1138</v>
      </c>
    </row>
    <row r="1022" spans="1:13" ht="15" customHeight="1">
      <c r="A1022" s="10">
        <v>46177</v>
      </c>
      <c r="B1022" t="s">
        <v>1</v>
      </c>
      <c r="C1022" t="s">
        <v>116</v>
      </c>
      <c r="D1022">
        <v>2</v>
      </c>
      <c r="E1022">
        <v>24</v>
      </c>
      <c r="I1022">
        <v>2</v>
      </c>
      <c r="J1022">
        <v>16</v>
      </c>
      <c r="M1022" t="s">
        <v>1139</v>
      </c>
    </row>
    <row r="1023" spans="1:13" ht="15" customHeight="1">
      <c r="A1023" s="10">
        <v>46177</v>
      </c>
      <c r="B1023" t="s">
        <v>1</v>
      </c>
      <c r="C1023" t="s">
        <v>119</v>
      </c>
      <c r="D1023">
        <v>2</v>
      </c>
      <c r="E1023">
        <v>0</v>
      </c>
      <c r="I1023">
        <v>2</v>
      </c>
      <c r="M1023" t="s">
        <v>1140</v>
      </c>
    </row>
    <row r="1024" spans="1:13" ht="15" customHeight="1">
      <c r="A1024" s="10">
        <v>46177</v>
      </c>
      <c r="B1024" t="s">
        <v>1</v>
      </c>
      <c r="C1024" t="s">
        <v>120</v>
      </c>
      <c r="D1024">
        <v>1</v>
      </c>
      <c r="E1024">
        <v>0</v>
      </c>
      <c r="I1024">
        <v>1</v>
      </c>
      <c r="M1024" t="s">
        <v>1141</v>
      </c>
    </row>
    <row r="1025" spans="1:13" ht="15" customHeight="1">
      <c r="A1025" s="10">
        <v>46177</v>
      </c>
      <c r="B1025" t="s">
        <v>1</v>
      </c>
      <c r="C1025" t="s">
        <v>121</v>
      </c>
      <c r="D1025">
        <v>2</v>
      </c>
      <c r="E1025">
        <v>0</v>
      </c>
      <c r="I1025">
        <v>2</v>
      </c>
      <c r="M1025" t="s">
        <v>1142</v>
      </c>
    </row>
    <row r="1026" spans="1:13" ht="15" customHeight="1">
      <c r="A1026" s="10">
        <v>46177</v>
      </c>
      <c r="B1026" t="s">
        <v>1</v>
      </c>
      <c r="C1026" t="s">
        <v>123</v>
      </c>
      <c r="D1026">
        <v>2</v>
      </c>
      <c r="E1026">
        <v>0</v>
      </c>
      <c r="I1026">
        <v>2</v>
      </c>
      <c r="M1026" t="s">
        <v>1143</v>
      </c>
    </row>
    <row r="1027" spans="1:13" ht="15" customHeight="1">
      <c r="A1027" s="10">
        <v>46177</v>
      </c>
      <c r="B1027" t="s">
        <v>1</v>
      </c>
      <c r="C1027" t="s">
        <v>124</v>
      </c>
      <c r="D1027">
        <v>1</v>
      </c>
      <c r="E1027">
        <v>0</v>
      </c>
      <c r="I1027">
        <v>1</v>
      </c>
      <c r="M1027" t="s">
        <v>1144</v>
      </c>
    </row>
    <row r="1028" spans="1:13" ht="15" customHeight="1">
      <c r="A1028" s="10">
        <v>46177</v>
      </c>
      <c r="B1028" t="s">
        <v>1</v>
      </c>
      <c r="C1028" t="s">
        <v>125</v>
      </c>
      <c r="D1028">
        <v>2</v>
      </c>
      <c r="E1028">
        <v>0</v>
      </c>
      <c r="I1028">
        <v>2</v>
      </c>
      <c r="M1028" t="s">
        <v>1145</v>
      </c>
    </row>
    <row r="1029" spans="1:13" ht="15" customHeight="1">
      <c r="A1029" s="10">
        <v>46177</v>
      </c>
      <c r="B1029" t="s">
        <v>1</v>
      </c>
      <c r="C1029" t="s">
        <v>126</v>
      </c>
      <c r="D1029">
        <v>2</v>
      </c>
      <c r="E1029">
        <v>0</v>
      </c>
      <c r="I1029">
        <v>2</v>
      </c>
      <c r="M1029" t="s">
        <v>1146</v>
      </c>
    </row>
    <row r="1030" spans="1:13" ht="15" customHeight="1">
      <c r="A1030" s="10">
        <v>46177</v>
      </c>
      <c r="B1030" t="s">
        <v>1</v>
      </c>
      <c r="C1030" t="s">
        <v>128</v>
      </c>
      <c r="D1030">
        <v>2</v>
      </c>
      <c r="E1030">
        <v>0</v>
      </c>
      <c r="I1030">
        <v>2</v>
      </c>
      <c r="M1030" t="s">
        <v>1147</v>
      </c>
    </row>
    <row r="1031" spans="1:13" ht="15" customHeight="1">
      <c r="A1031" s="10">
        <v>46177</v>
      </c>
      <c r="B1031" t="s">
        <v>1</v>
      </c>
      <c r="C1031" t="s">
        <v>130</v>
      </c>
      <c r="D1031">
        <v>5</v>
      </c>
      <c r="E1031">
        <v>0</v>
      </c>
      <c r="I1031">
        <v>5</v>
      </c>
      <c r="M1031" t="s">
        <v>1148</v>
      </c>
    </row>
    <row r="1032" spans="1:13" ht="15" customHeight="1">
      <c r="A1032" s="10">
        <v>46177</v>
      </c>
      <c r="B1032" t="s">
        <v>1</v>
      </c>
      <c r="C1032" t="s">
        <v>285</v>
      </c>
      <c r="D1032">
        <v>2</v>
      </c>
      <c r="E1032">
        <v>0</v>
      </c>
      <c r="I1032">
        <v>2</v>
      </c>
      <c r="M1032" t="s">
        <v>1149</v>
      </c>
    </row>
    <row r="1033" spans="1:13" ht="15" customHeight="1">
      <c r="A1033" s="10">
        <v>46177</v>
      </c>
      <c r="B1033" t="s">
        <v>1</v>
      </c>
      <c r="C1033" t="s">
        <v>287</v>
      </c>
      <c r="D1033">
        <v>2</v>
      </c>
      <c r="E1033">
        <v>0</v>
      </c>
      <c r="I1033">
        <v>2</v>
      </c>
      <c r="M1033" t="s">
        <v>1150</v>
      </c>
    </row>
    <row r="1034" spans="1:13" ht="15" customHeight="1">
      <c r="A1034" s="10">
        <v>46177</v>
      </c>
      <c r="B1034" t="s">
        <v>1</v>
      </c>
      <c r="C1034" t="s">
        <v>289</v>
      </c>
      <c r="D1034">
        <v>3</v>
      </c>
      <c r="E1034">
        <v>0</v>
      </c>
      <c r="I1034">
        <v>3</v>
      </c>
      <c r="M1034" t="s">
        <v>1151</v>
      </c>
    </row>
    <row r="1035" spans="1:13" ht="15" customHeight="1">
      <c r="A1035" s="10">
        <v>46177</v>
      </c>
      <c r="B1035" t="s">
        <v>1</v>
      </c>
      <c r="C1035" t="s">
        <v>291</v>
      </c>
      <c r="D1035">
        <v>2</v>
      </c>
      <c r="E1035">
        <v>0</v>
      </c>
      <c r="I1035">
        <v>2</v>
      </c>
      <c r="M1035" t="s">
        <v>1152</v>
      </c>
    </row>
    <row r="1036" spans="1:13" ht="15" customHeight="1">
      <c r="A1036" s="10">
        <v>46177</v>
      </c>
      <c r="B1036" t="s">
        <v>1</v>
      </c>
      <c r="C1036" t="s">
        <v>293</v>
      </c>
      <c r="D1036">
        <v>2</v>
      </c>
      <c r="E1036">
        <v>0</v>
      </c>
      <c r="I1036">
        <v>2</v>
      </c>
      <c r="M1036" t="s">
        <v>1153</v>
      </c>
    </row>
    <row r="1037" spans="1:13" ht="15" customHeight="1">
      <c r="A1037" s="10">
        <v>46177</v>
      </c>
      <c r="B1037" t="s">
        <v>1</v>
      </c>
      <c r="C1037" s="135" t="s">
        <v>138</v>
      </c>
      <c r="D1037">
        <v>0</v>
      </c>
      <c r="E1037">
        <v>45</v>
      </c>
      <c r="I1037">
        <v>0</v>
      </c>
      <c r="J1037">
        <v>44</v>
      </c>
      <c r="M1037" t="s">
        <v>1154</v>
      </c>
    </row>
    <row r="1038" spans="1:13" ht="15" customHeight="1">
      <c r="A1038" s="10">
        <v>46177</v>
      </c>
      <c r="B1038" t="s">
        <v>1</v>
      </c>
      <c r="C1038" s="135" t="s">
        <v>139</v>
      </c>
      <c r="D1038">
        <v>0</v>
      </c>
      <c r="E1038">
        <v>23</v>
      </c>
      <c r="I1038">
        <v>0</v>
      </c>
      <c r="J1038">
        <v>19</v>
      </c>
      <c r="M1038" t="s">
        <v>1155</v>
      </c>
    </row>
    <row r="1039" spans="1:13" ht="15" customHeight="1">
      <c r="A1039" s="10">
        <v>46177</v>
      </c>
      <c r="B1039" t="s">
        <v>1</v>
      </c>
      <c r="C1039" s="135" t="s">
        <v>140</v>
      </c>
      <c r="D1039">
        <v>0</v>
      </c>
      <c r="E1039">
        <v>17</v>
      </c>
      <c r="I1039">
        <v>0</v>
      </c>
      <c r="J1039">
        <v>15</v>
      </c>
      <c r="M1039" t="s">
        <v>1156</v>
      </c>
    </row>
    <row r="1040" spans="1:13" ht="15" customHeight="1">
      <c r="A1040" s="10">
        <v>46177</v>
      </c>
      <c r="B1040" t="s">
        <v>1</v>
      </c>
      <c r="C1040" s="135" t="s">
        <v>143</v>
      </c>
      <c r="D1040">
        <v>0</v>
      </c>
      <c r="E1040">
        <v>27</v>
      </c>
      <c r="I1040">
        <v>0</v>
      </c>
      <c r="J1040">
        <v>17</v>
      </c>
      <c r="M1040" t="s">
        <v>1157</v>
      </c>
    </row>
    <row r="1041" spans="1:13" ht="15" customHeight="1">
      <c r="A1041" s="10">
        <v>46177</v>
      </c>
      <c r="B1041" t="s">
        <v>1</v>
      </c>
      <c r="C1041" s="135" t="s">
        <v>145</v>
      </c>
      <c r="D1041">
        <v>0</v>
      </c>
      <c r="E1041">
        <v>42</v>
      </c>
      <c r="I1041">
        <v>0</v>
      </c>
      <c r="J1041">
        <v>42</v>
      </c>
      <c r="M1041" t="s">
        <v>1158</v>
      </c>
    </row>
    <row r="1042" spans="1:13" ht="15" customHeight="1">
      <c r="A1042" s="10">
        <v>46177</v>
      </c>
      <c r="B1042" t="s">
        <v>1</v>
      </c>
      <c r="C1042" s="135" t="s">
        <v>147</v>
      </c>
      <c r="D1042">
        <v>0</v>
      </c>
      <c r="E1042">
        <v>35</v>
      </c>
      <c r="I1042">
        <v>0</v>
      </c>
      <c r="J1042">
        <v>35</v>
      </c>
      <c r="M1042" t="s">
        <v>1159</v>
      </c>
    </row>
    <row r="1043" spans="1:13" ht="15" customHeight="1">
      <c r="A1043" s="10">
        <v>46177</v>
      </c>
      <c r="B1043" t="s">
        <v>1</v>
      </c>
      <c r="C1043" t="s">
        <v>302</v>
      </c>
      <c r="D1043">
        <v>2</v>
      </c>
      <c r="E1043">
        <v>0</v>
      </c>
      <c r="I1043">
        <v>2</v>
      </c>
      <c r="M1043" t="s">
        <v>1160</v>
      </c>
    </row>
    <row r="1044" spans="1:13" ht="15" customHeight="1">
      <c r="A1044" s="10">
        <v>46177</v>
      </c>
      <c r="B1044" t="s">
        <v>1</v>
      </c>
      <c r="C1044" t="s">
        <v>150</v>
      </c>
      <c r="D1044">
        <v>2</v>
      </c>
      <c r="E1044">
        <v>0</v>
      </c>
      <c r="I1044">
        <v>2</v>
      </c>
      <c r="M1044" t="s">
        <v>1161</v>
      </c>
    </row>
    <row r="1045" spans="1:13" ht="15" customHeight="1">
      <c r="A1045" s="10">
        <v>46177</v>
      </c>
      <c r="B1045" t="s">
        <v>1</v>
      </c>
      <c r="C1045" t="s">
        <v>151</v>
      </c>
      <c r="D1045">
        <v>2</v>
      </c>
      <c r="E1045">
        <v>0</v>
      </c>
      <c r="I1045">
        <v>2</v>
      </c>
      <c r="M1045" t="s">
        <v>1162</v>
      </c>
    </row>
    <row r="1046" spans="1:13" ht="15" customHeight="1">
      <c r="A1046" s="10">
        <v>46177</v>
      </c>
      <c r="B1046" t="s">
        <v>1</v>
      </c>
      <c r="C1046" t="s">
        <v>152</v>
      </c>
      <c r="D1046">
        <v>2</v>
      </c>
      <c r="E1046">
        <v>0</v>
      </c>
      <c r="I1046">
        <v>2</v>
      </c>
      <c r="M1046" t="s">
        <v>1163</v>
      </c>
    </row>
    <row r="1047" spans="1:13" ht="15" customHeight="1">
      <c r="A1047" s="10">
        <v>46177</v>
      </c>
      <c r="B1047" t="s">
        <v>1</v>
      </c>
      <c r="C1047" t="s">
        <v>153</v>
      </c>
      <c r="D1047">
        <v>2</v>
      </c>
      <c r="E1047">
        <v>0</v>
      </c>
      <c r="I1047">
        <v>2</v>
      </c>
      <c r="M1047" t="s">
        <v>1164</v>
      </c>
    </row>
    <row r="1048" spans="1:13" ht="15" customHeight="1">
      <c r="A1048" s="10">
        <v>46177</v>
      </c>
      <c r="B1048" t="s">
        <v>1</v>
      </c>
      <c r="C1048" t="s">
        <v>308</v>
      </c>
      <c r="D1048">
        <v>0</v>
      </c>
      <c r="E1048">
        <v>3</v>
      </c>
      <c r="I1048">
        <v>0</v>
      </c>
      <c r="J1048">
        <v>3</v>
      </c>
      <c r="M1048" t="s">
        <v>1165</v>
      </c>
    </row>
    <row r="1049" spans="1:13" ht="15" customHeight="1">
      <c r="A1049" s="10">
        <v>46177</v>
      </c>
      <c r="B1049" t="s">
        <v>1</v>
      </c>
      <c r="C1049" t="s">
        <v>310</v>
      </c>
      <c r="D1049">
        <v>0</v>
      </c>
      <c r="E1049">
        <v>2</v>
      </c>
      <c r="I1049">
        <v>0</v>
      </c>
      <c r="J1049">
        <v>2</v>
      </c>
      <c r="M1049" t="s">
        <v>1166</v>
      </c>
    </row>
    <row r="1050" spans="1:13" ht="15" customHeight="1">
      <c r="A1050" s="10">
        <v>46177</v>
      </c>
      <c r="B1050" t="s">
        <v>1</v>
      </c>
      <c r="C1050" t="s">
        <v>312</v>
      </c>
      <c r="D1050">
        <v>0</v>
      </c>
      <c r="E1050">
        <v>2</v>
      </c>
      <c r="I1050">
        <v>0</v>
      </c>
      <c r="J1050">
        <v>2</v>
      </c>
      <c r="M1050" t="s">
        <v>1167</v>
      </c>
    </row>
    <row r="1051" spans="1:13" ht="15" customHeight="1">
      <c r="A1051" s="10">
        <v>46177</v>
      </c>
      <c r="B1051" t="s">
        <v>1</v>
      </c>
      <c r="C1051" t="s">
        <v>314</v>
      </c>
      <c r="D1051">
        <v>1</v>
      </c>
      <c r="E1051">
        <v>0</v>
      </c>
      <c r="I1051">
        <v>1</v>
      </c>
      <c r="M1051" t="s">
        <v>1168</v>
      </c>
    </row>
    <row r="1052" spans="1:13" ht="15" customHeight="1">
      <c r="A1052" s="10">
        <v>46177</v>
      </c>
      <c r="B1052" t="s">
        <v>1</v>
      </c>
      <c r="C1052" t="s">
        <v>316</v>
      </c>
      <c r="D1052">
        <v>1</v>
      </c>
      <c r="E1052">
        <v>0</v>
      </c>
      <c r="I1052">
        <v>1</v>
      </c>
      <c r="M1052" t="s">
        <v>1169</v>
      </c>
    </row>
    <row r="1053" spans="1:13" ht="15" customHeight="1">
      <c r="A1053" s="10">
        <v>46177</v>
      </c>
      <c r="B1053" t="s">
        <v>1</v>
      </c>
      <c r="C1053" t="s">
        <v>318</v>
      </c>
      <c r="D1053">
        <v>1</v>
      </c>
      <c r="E1053">
        <v>0</v>
      </c>
      <c r="I1053">
        <v>1</v>
      </c>
      <c r="M1053" t="s">
        <v>1170</v>
      </c>
    </row>
    <row r="1054" spans="1:13" ht="15" customHeight="1">
      <c r="A1054" s="10">
        <v>46177</v>
      </c>
      <c r="B1054" t="s">
        <v>1</v>
      </c>
      <c r="C1054" t="s">
        <v>320</v>
      </c>
      <c r="D1054">
        <v>3</v>
      </c>
      <c r="E1054">
        <v>0</v>
      </c>
      <c r="I1054">
        <v>3</v>
      </c>
      <c r="M1054" t="s">
        <v>1171</v>
      </c>
    </row>
    <row r="1055" spans="1:13" ht="15" customHeight="1">
      <c r="A1055" s="10">
        <v>46177</v>
      </c>
      <c r="B1055" t="s">
        <v>1</v>
      </c>
      <c r="C1055" s="135" t="s">
        <v>168</v>
      </c>
      <c r="D1055">
        <v>1</v>
      </c>
      <c r="E1055">
        <v>0</v>
      </c>
      <c r="I1055">
        <v>1</v>
      </c>
      <c r="M1055" t="s">
        <v>1172</v>
      </c>
    </row>
    <row r="1056" spans="1:13" ht="15" customHeight="1">
      <c r="A1056" s="10">
        <v>46177</v>
      </c>
      <c r="B1056" t="s">
        <v>1</v>
      </c>
      <c r="C1056" s="135" t="s">
        <v>170</v>
      </c>
      <c r="D1056">
        <v>1</v>
      </c>
      <c r="E1056">
        <v>0</v>
      </c>
      <c r="I1056">
        <v>1</v>
      </c>
      <c r="M1056" t="s">
        <v>1173</v>
      </c>
    </row>
    <row r="1057" spans="1:13" ht="15" customHeight="1">
      <c r="A1057" s="10">
        <v>46177</v>
      </c>
      <c r="B1057" t="s">
        <v>1</v>
      </c>
      <c r="C1057" s="135" t="s">
        <v>171</v>
      </c>
      <c r="D1057">
        <v>2</v>
      </c>
      <c r="E1057">
        <v>0</v>
      </c>
      <c r="I1057">
        <v>2</v>
      </c>
      <c r="M1057" t="s">
        <v>1174</v>
      </c>
    </row>
    <row r="1058" spans="1:13" ht="15" customHeight="1">
      <c r="A1058" s="10">
        <v>46177</v>
      </c>
      <c r="B1058" t="s">
        <v>1</v>
      </c>
      <c r="C1058" s="135" t="s">
        <v>172</v>
      </c>
      <c r="D1058">
        <v>1</v>
      </c>
      <c r="E1058">
        <v>0</v>
      </c>
      <c r="I1058">
        <v>1</v>
      </c>
      <c r="M1058" t="s">
        <v>1175</v>
      </c>
    </row>
    <row r="1059" spans="1:13" ht="15" customHeight="1">
      <c r="A1059" s="10">
        <v>46177</v>
      </c>
      <c r="B1059" t="s">
        <v>1</v>
      </c>
      <c r="C1059" t="s">
        <v>176</v>
      </c>
      <c r="D1059">
        <v>0</v>
      </c>
      <c r="E1059">
        <v>20</v>
      </c>
      <c r="H1059">
        <v>1</v>
      </c>
      <c r="I1059">
        <v>0</v>
      </c>
      <c r="J1059">
        <v>19</v>
      </c>
      <c r="M1059" t="s">
        <v>1176</v>
      </c>
    </row>
    <row r="1060" spans="1:13" ht="15" customHeight="1">
      <c r="A1060" s="10">
        <v>46177</v>
      </c>
      <c r="B1060" t="s">
        <v>1</v>
      </c>
      <c r="C1060" t="s">
        <v>178</v>
      </c>
      <c r="D1060">
        <v>0</v>
      </c>
      <c r="E1060">
        <v>9</v>
      </c>
      <c r="H1060">
        <v>2</v>
      </c>
      <c r="I1060">
        <v>0</v>
      </c>
      <c r="J1060">
        <v>7</v>
      </c>
      <c r="M1060" t="s">
        <v>1177</v>
      </c>
    </row>
    <row r="1061" spans="1:13" ht="15" customHeight="1">
      <c r="A1061" s="10">
        <v>46177</v>
      </c>
      <c r="B1061" t="s">
        <v>1</v>
      </c>
      <c r="C1061" t="s">
        <v>179</v>
      </c>
      <c r="D1061">
        <v>0</v>
      </c>
      <c r="E1061">
        <v>19</v>
      </c>
      <c r="I1061">
        <v>0</v>
      </c>
      <c r="J1061">
        <v>19</v>
      </c>
      <c r="M1061" t="s">
        <v>1178</v>
      </c>
    </row>
    <row r="1062" spans="1:13" ht="15" customHeight="1">
      <c r="A1062" s="10">
        <v>46177</v>
      </c>
      <c r="B1062" t="s">
        <v>1</v>
      </c>
      <c r="C1062" t="s">
        <v>180</v>
      </c>
      <c r="D1062">
        <v>0</v>
      </c>
      <c r="E1062">
        <v>15</v>
      </c>
      <c r="H1062">
        <v>1</v>
      </c>
      <c r="I1062">
        <v>0</v>
      </c>
      <c r="J1062">
        <v>14</v>
      </c>
      <c r="M1062" t="s">
        <v>1179</v>
      </c>
    </row>
    <row r="1063" spans="1:13" ht="15" customHeight="1">
      <c r="A1063" s="10">
        <v>46177</v>
      </c>
      <c r="B1063" t="s">
        <v>1</v>
      </c>
      <c r="C1063" s="135" t="s">
        <v>182</v>
      </c>
      <c r="D1063">
        <v>0</v>
      </c>
      <c r="E1063">
        <v>319</v>
      </c>
      <c r="J1063">
        <v>308</v>
      </c>
      <c r="M1063" t="s">
        <v>1180</v>
      </c>
    </row>
    <row r="1064" spans="1:13" ht="15" customHeight="1">
      <c r="A1064" s="10">
        <v>46177</v>
      </c>
      <c r="B1064" t="s">
        <v>1</v>
      </c>
      <c r="C1064" s="135" t="s">
        <v>184</v>
      </c>
      <c r="D1064">
        <v>1</v>
      </c>
      <c r="E1064">
        <v>28</v>
      </c>
      <c r="I1064">
        <v>1</v>
      </c>
      <c r="J1064">
        <v>25</v>
      </c>
      <c r="M1064" t="s">
        <v>1181</v>
      </c>
    </row>
    <row r="1065" spans="1:13" ht="15" customHeight="1">
      <c r="A1065" s="10">
        <v>46177</v>
      </c>
      <c r="B1065" t="s">
        <v>1</v>
      </c>
      <c r="C1065" s="135" t="s">
        <v>185</v>
      </c>
      <c r="D1065">
        <v>1</v>
      </c>
      <c r="E1065">
        <v>60</v>
      </c>
      <c r="I1065">
        <v>1</v>
      </c>
      <c r="J1065">
        <v>60</v>
      </c>
      <c r="M1065" t="s">
        <v>1182</v>
      </c>
    </row>
    <row r="1066" spans="1:13" ht="15" customHeight="1">
      <c r="A1066" s="10">
        <v>46177</v>
      </c>
      <c r="B1066" t="s">
        <v>1</v>
      </c>
      <c r="C1066" s="135" t="s">
        <v>186</v>
      </c>
      <c r="D1066">
        <v>1</v>
      </c>
      <c r="E1066">
        <v>118</v>
      </c>
      <c r="I1066">
        <v>1</v>
      </c>
      <c r="J1066">
        <v>107</v>
      </c>
      <c r="M1066" t="s">
        <v>1183</v>
      </c>
    </row>
    <row r="1067" spans="1:13" ht="15" customHeight="1">
      <c r="A1067" s="10">
        <v>46177</v>
      </c>
      <c r="B1067" t="s">
        <v>1</v>
      </c>
      <c r="C1067" t="s">
        <v>337</v>
      </c>
      <c r="D1067">
        <v>2</v>
      </c>
      <c r="E1067">
        <v>164</v>
      </c>
      <c r="I1067">
        <v>2</v>
      </c>
      <c r="J1067">
        <v>100</v>
      </c>
      <c r="M1067" t="s">
        <v>1184</v>
      </c>
    </row>
    <row r="1068" spans="1:13" ht="15" customHeight="1">
      <c r="A1068" s="10">
        <v>46177</v>
      </c>
      <c r="B1068" t="s">
        <v>1</v>
      </c>
      <c r="C1068" s="135" t="s">
        <v>191</v>
      </c>
      <c r="D1068">
        <v>1</v>
      </c>
      <c r="E1068">
        <v>340</v>
      </c>
      <c r="I1068">
        <v>1</v>
      </c>
      <c r="J1068">
        <v>340</v>
      </c>
      <c r="M1068" t="s">
        <v>1185</v>
      </c>
    </row>
    <row r="1069" spans="1:13" ht="15" customHeight="1">
      <c r="A1069" s="10">
        <v>46177</v>
      </c>
      <c r="B1069" t="s">
        <v>1</v>
      </c>
      <c r="C1069" s="135" t="s">
        <v>193</v>
      </c>
      <c r="D1069">
        <v>1</v>
      </c>
      <c r="E1069">
        <v>504</v>
      </c>
      <c r="I1069">
        <v>1</v>
      </c>
      <c r="J1069">
        <v>486</v>
      </c>
      <c r="M1069" t="s">
        <v>1186</v>
      </c>
    </row>
    <row r="1070" spans="1:13" ht="15" customHeight="1">
      <c r="A1070" s="10">
        <v>46177</v>
      </c>
      <c r="B1070" t="s">
        <v>1</v>
      </c>
      <c r="C1070" s="135" t="s">
        <v>194</v>
      </c>
      <c r="D1070">
        <v>1</v>
      </c>
      <c r="E1070">
        <v>32</v>
      </c>
      <c r="I1070">
        <v>1</v>
      </c>
      <c r="J1070">
        <v>32</v>
      </c>
      <c r="M1070" t="s">
        <v>1187</v>
      </c>
    </row>
    <row r="1071" spans="1:13" ht="15" customHeight="1">
      <c r="A1071" s="10">
        <v>46177</v>
      </c>
      <c r="B1071" t="s">
        <v>1</v>
      </c>
      <c r="C1071" s="135" t="s">
        <v>196</v>
      </c>
      <c r="D1071">
        <v>1</v>
      </c>
      <c r="E1071">
        <v>120</v>
      </c>
      <c r="I1071">
        <v>1</v>
      </c>
      <c r="J1071">
        <v>120</v>
      </c>
      <c r="M1071" t="s">
        <v>1188</v>
      </c>
    </row>
    <row r="1072" spans="1:13" ht="15" customHeight="1">
      <c r="A1072" s="10">
        <v>46178</v>
      </c>
      <c r="B1072" t="s">
        <v>1</v>
      </c>
      <c r="C1072" t="s">
        <v>23</v>
      </c>
      <c r="D1072">
        <v>5</v>
      </c>
      <c r="E1072">
        <v>371</v>
      </c>
      <c r="I1072">
        <v>4</v>
      </c>
      <c r="J1072">
        <v>651</v>
      </c>
      <c r="M1072" t="s">
        <v>1189</v>
      </c>
    </row>
    <row r="1073" spans="1:13" ht="15" customHeight="1">
      <c r="A1073" s="10">
        <v>46178</v>
      </c>
      <c r="B1073" t="s">
        <v>1</v>
      </c>
      <c r="C1073" t="s">
        <v>26</v>
      </c>
      <c r="D1073">
        <v>0</v>
      </c>
      <c r="E1073">
        <v>952</v>
      </c>
      <c r="J1073">
        <v>950</v>
      </c>
      <c r="M1073" t="s">
        <v>1190</v>
      </c>
    </row>
    <row r="1074" spans="1:13" ht="15" customHeight="1">
      <c r="A1074" s="10">
        <v>46178</v>
      </c>
      <c r="B1074" t="s">
        <v>1</v>
      </c>
      <c r="C1074" t="s">
        <v>27</v>
      </c>
      <c r="D1074">
        <v>1</v>
      </c>
      <c r="E1074">
        <v>632</v>
      </c>
      <c r="J1074">
        <v>537</v>
      </c>
      <c r="M1074" t="s">
        <v>1191</v>
      </c>
    </row>
    <row r="1075" spans="1:13" ht="15" customHeight="1">
      <c r="A1075" s="10">
        <v>46178</v>
      </c>
      <c r="B1075" t="s">
        <v>1</v>
      </c>
      <c r="C1075" t="s">
        <v>29</v>
      </c>
      <c r="D1075">
        <v>0</v>
      </c>
      <c r="E1075">
        <v>589</v>
      </c>
      <c r="J1075">
        <v>589</v>
      </c>
      <c r="M1075" t="s">
        <v>1192</v>
      </c>
    </row>
    <row r="1076" spans="1:13" ht="15" customHeight="1">
      <c r="A1076" s="10">
        <v>46178</v>
      </c>
      <c r="B1076" t="s">
        <v>1</v>
      </c>
      <c r="C1076" t="s">
        <v>30</v>
      </c>
      <c r="D1076">
        <v>1</v>
      </c>
      <c r="E1076">
        <v>772</v>
      </c>
      <c r="J1076">
        <v>772</v>
      </c>
      <c r="M1076" t="s">
        <v>1193</v>
      </c>
    </row>
    <row r="1077" spans="1:13" ht="15" customHeight="1">
      <c r="A1077" s="10">
        <v>46178</v>
      </c>
      <c r="B1077" t="s">
        <v>1</v>
      </c>
      <c r="C1077" t="s">
        <v>31</v>
      </c>
      <c r="D1077">
        <v>1</v>
      </c>
      <c r="E1077">
        <v>383</v>
      </c>
      <c r="J1077">
        <v>380</v>
      </c>
      <c r="M1077" t="s">
        <v>1194</v>
      </c>
    </row>
    <row r="1078" spans="1:13" ht="15" customHeight="1">
      <c r="A1078" s="10">
        <v>46178</v>
      </c>
      <c r="B1078" t="s">
        <v>1</v>
      </c>
      <c r="C1078" t="s">
        <v>32</v>
      </c>
      <c r="D1078">
        <v>0</v>
      </c>
      <c r="E1078">
        <v>671</v>
      </c>
      <c r="J1078">
        <v>491</v>
      </c>
      <c r="M1078" t="s">
        <v>1195</v>
      </c>
    </row>
    <row r="1079" spans="1:13" ht="15" customHeight="1">
      <c r="A1079" s="10">
        <v>46178</v>
      </c>
      <c r="B1079" t="s">
        <v>1</v>
      </c>
      <c r="C1079" t="s">
        <v>223</v>
      </c>
      <c r="D1079">
        <v>5</v>
      </c>
      <c r="E1079">
        <v>668</v>
      </c>
      <c r="I1079">
        <v>4</v>
      </c>
      <c r="J1079">
        <v>575</v>
      </c>
      <c r="M1079" t="s">
        <v>1196</v>
      </c>
    </row>
    <row r="1080" spans="1:13" ht="15" customHeight="1">
      <c r="A1080" s="10">
        <v>46178</v>
      </c>
      <c r="B1080" t="s">
        <v>1</v>
      </c>
      <c r="C1080" t="s">
        <v>35</v>
      </c>
      <c r="D1080">
        <v>0</v>
      </c>
      <c r="E1080">
        <v>0</v>
      </c>
      <c r="M1080" t="s">
        <v>1197</v>
      </c>
    </row>
    <row r="1081" spans="1:13" ht="15" customHeight="1">
      <c r="A1081" s="10">
        <v>46178</v>
      </c>
      <c r="B1081" t="s">
        <v>1</v>
      </c>
      <c r="C1081" t="s">
        <v>37</v>
      </c>
      <c r="D1081">
        <v>2</v>
      </c>
      <c r="E1081">
        <v>0</v>
      </c>
      <c r="H1081">
        <v>1</v>
      </c>
      <c r="I1081">
        <v>1</v>
      </c>
      <c r="M1081" t="s">
        <v>1198</v>
      </c>
    </row>
    <row r="1082" spans="1:13" ht="15" customHeight="1">
      <c r="A1082" s="10">
        <v>46178</v>
      </c>
      <c r="B1082" t="s">
        <v>1</v>
      </c>
      <c r="C1082" t="s">
        <v>39</v>
      </c>
      <c r="D1082">
        <v>13</v>
      </c>
      <c r="E1082">
        <v>0</v>
      </c>
      <c r="H1082">
        <v>2</v>
      </c>
      <c r="I1082">
        <v>11</v>
      </c>
      <c r="J1082">
        <v>0</v>
      </c>
      <c r="M1082" t="s">
        <v>1199</v>
      </c>
    </row>
    <row r="1083" spans="1:13" ht="15" customHeight="1">
      <c r="A1083" s="10">
        <v>46178</v>
      </c>
      <c r="B1083" t="s">
        <v>1</v>
      </c>
      <c r="C1083" t="s">
        <v>41</v>
      </c>
      <c r="D1083">
        <v>17</v>
      </c>
      <c r="E1083">
        <v>0</v>
      </c>
      <c r="H1083">
        <v>1</v>
      </c>
      <c r="I1083">
        <v>16</v>
      </c>
      <c r="J1083">
        <v>0</v>
      </c>
      <c r="M1083" t="s">
        <v>1200</v>
      </c>
    </row>
    <row r="1084" spans="1:13" ht="15" customHeight="1">
      <c r="A1084" s="10">
        <v>46178</v>
      </c>
      <c r="B1084" t="s">
        <v>1</v>
      </c>
      <c r="C1084" t="s">
        <v>232</v>
      </c>
      <c r="D1084">
        <v>20</v>
      </c>
      <c r="E1084">
        <v>0</v>
      </c>
      <c r="I1084">
        <v>20</v>
      </c>
      <c r="J1084">
        <v>0</v>
      </c>
      <c r="M1084" t="s">
        <v>1201</v>
      </c>
    </row>
    <row r="1085" spans="1:13" ht="15" customHeight="1">
      <c r="A1085" s="10">
        <v>46178</v>
      </c>
      <c r="B1085" t="s">
        <v>1</v>
      </c>
      <c r="C1085" t="s">
        <v>234</v>
      </c>
      <c r="D1085">
        <v>54</v>
      </c>
      <c r="E1085">
        <v>0</v>
      </c>
      <c r="H1085">
        <v>5</v>
      </c>
      <c r="I1085">
        <v>49</v>
      </c>
      <c r="J1085">
        <v>0</v>
      </c>
      <c r="M1085" t="s">
        <v>1202</v>
      </c>
    </row>
    <row r="1086" spans="1:13" ht="15" customHeight="1">
      <c r="A1086" s="10">
        <v>46178</v>
      </c>
      <c r="B1086" t="s">
        <v>1</v>
      </c>
      <c r="C1086" t="s">
        <v>237</v>
      </c>
      <c r="D1086">
        <v>13</v>
      </c>
      <c r="E1086">
        <v>0</v>
      </c>
      <c r="H1086">
        <v>2</v>
      </c>
      <c r="I1086">
        <v>11</v>
      </c>
      <c r="J1086">
        <v>0</v>
      </c>
      <c r="M1086" t="s">
        <v>1203</v>
      </c>
    </row>
    <row r="1087" spans="1:13" ht="15" customHeight="1">
      <c r="A1087" s="10">
        <v>46178</v>
      </c>
      <c r="B1087" t="s">
        <v>1</v>
      </c>
      <c r="C1087" s="135" t="s">
        <v>58</v>
      </c>
      <c r="D1087">
        <v>6</v>
      </c>
      <c r="E1087">
        <v>0</v>
      </c>
      <c r="H1087">
        <v>6</v>
      </c>
      <c r="J1087">
        <v>0</v>
      </c>
      <c r="M1087" t="s">
        <v>1204</v>
      </c>
    </row>
    <row r="1088" spans="1:13" ht="15" customHeight="1">
      <c r="A1088" s="10">
        <v>46178</v>
      </c>
      <c r="B1088" t="s">
        <v>1</v>
      </c>
      <c r="C1088" s="135" t="s">
        <v>60</v>
      </c>
      <c r="D1088">
        <v>6</v>
      </c>
      <c r="E1088">
        <v>0</v>
      </c>
      <c r="H1088">
        <v>6</v>
      </c>
      <c r="J1088">
        <v>0</v>
      </c>
      <c r="M1088" t="s">
        <v>1205</v>
      </c>
    </row>
    <row r="1089" spans="1:13" ht="15" customHeight="1">
      <c r="A1089" s="10">
        <v>46178</v>
      </c>
      <c r="B1089" t="s">
        <v>1</v>
      </c>
      <c r="C1089" s="135" t="s">
        <v>61</v>
      </c>
      <c r="D1089">
        <v>5</v>
      </c>
      <c r="E1089">
        <v>0</v>
      </c>
      <c r="H1089">
        <v>3</v>
      </c>
      <c r="J1089">
        <v>0</v>
      </c>
      <c r="K1089">
        <v>2</v>
      </c>
      <c r="M1089" t="s">
        <v>1206</v>
      </c>
    </row>
    <row r="1090" spans="1:13" ht="15" customHeight="1">
      <c r="A1090" s="10">
        <v>46178</v>
      </c>
      <c r="B1090" t="s">
        <v>1</v>
      </c>
      <c r="C1090" s="135" t="s">
        <v>62</v>
      </c>
      <c r="D1090">
        <v>3</v>
      </c>
      <c r="E1090">
        <v>0</v>
      </c>
      <c r="H1090">
        <v>3</v>
      </c>
      <c r="J1090">
        <v>0</v>
      </c>
      <c r="M1090" t="s">
        <v>1207</v>
      </c>
    </row>
    <row r="1091" spans="1:13" ht="15" customHeight="1">
      <c r="A1091" s="10">
        <v>46178</v>
      </c>
      <c r="B1091" t="s">
        <v>1</v>
      </c>
      <c r="C1091" s="135" t="s">
        <v>63</v>
      </c>
      <c r="D1091">
        <v>3</v>
      </c>
      <c r="E1091">
        <v>0</v>
      </c>
      <c r="H1091">
        <v>1</v>
      </c>
      <c r="I1091">
        <v>2</v>
      </c>
      <c r="J1091">
        <v>0</v>
      </c>
      <c r="M1091" t="s">
        <v>1208</v>
      </c>
    </row>
    <row r="1092" spans="1:13" ht="15" customHeight="1">
      <c r="A1092" s="10">
        <v>46178</v>
      </c>
      <c r="B1092" t="s">
        <v>1</v>
      </c>
      <c r="C1092" s="135" t="s">
        <v>64</v>
      </c>
      <c r="D1092">
        <v>3</v>
      </c>
      <c r="E1092">
        <v>0</v>
      </c>
      <c r="I1092">
        <v>3</v>
      </c>
      <c r="J1092">
        <v>0</v>
      </c>
      <c r="M1092" t="s">
        <v>1209</v>
      </c>
    </row>
    <row r="1093" spans="1:13" ht="15" customHeight="1">
      <c r="A1093" s="10">
        <v>46178</v>
      </c>
      <c r="B1093" t="s">
        <v>1</v>
      </c>
      <c r="C1093" t="s">
        <v>66</v>
      </c>
      <c r="D1093">
        <v>3</v>
      </c>
      <c r="E1093">
        <v>0</v>
      </c>
      <c r="I1093">
        <v>3</v>
      </c>
      <c r="J1093">
        <v>0</v>
      </c>
      <c r="M1093" t="s">
        <v>1210</v>
      </c>
    </row>
    <row r="1094" spans="1:13" ht="15" customHeight="1">
      <c r="A1094" s="10">
        <v>46178</v>
      </c>
      <c r="B1094" t="s">
        <v>1</v>
      </c>
      <c r="C1094" t="s">
        <v>67</v>
      </c>
      <c r="D1094">
        <v>4</v>
      </c>
      <c r="E1094">
        <v>0</v>
      </c>
      <c r="I1094">
        <v>4</v>
      </c>
      <c r="J1094">
        <v>0</v>
      </c>
      <c r="M1094" t="s">
        <v>1211</v>
      </c>
    </row>
    <row r="1095" spans="1:13" ht="15" customHeight="1">
      <c r="A1095" s="10">
        <v>46178</v>
      </c>
      <c r="B1095" t="s">
        <v>1</v>
      </c>
      <c r="C1095" t="s">
        <v>71</v>
      </c>
      <c r="D1095">
        <v>1</v>
      </c>
      <c r="E1095">
        <v>73</v>
      </c>
      <c r="I1095">
        <v>1</v>
      </c>
      <c r="J1095">
        <v>692</v>
      </c>
      <c r="M1095" t="s">
        <v>1212</v>
      </c>
    </row>
    <row r="1096" spans="1:13" ht="15" customHeight="1">
      <c r="A1096" s="10">
        <v>46178</v>
      </c>
      <c r="B1096" t="s">
        <v>1</v>
      </c>
      <c r="C1096" t="s">
        <v>73</v>
      </c>
      <c r="D1096">
        <v>2</v>
      </c>
      <c r="E1096">
        <v>62</v>
      </c>
      <c r="I1096">
        <v>1</v>
      </c>
      <c r="J1096">
        <v>420</v>
      </c>
      <c r="M1096" t="s">
        <v>1213</v>
      </c>
    </row>
    <row r="1097" spans="1:13" ht="15" customHeight="1">
      <c r="A1097" s="10">
        <v>46178</v>
      </c>
      <c r="B1097" t="s">
        <v>1</v>
      </c>
      <c r="C1097" t="s">
        <v>75</v>
      </c>
      <c r="D1097">
        <v>1</v>
      </c>
      <c r="E1097">
        <v>81</v>
      </c>
      <c r="I1097">
        <v>1</v>
      </c>
      <c r="J1097">
        <v>75</v>
      </c>
      <c r="M1097" t="s">
        <v>1214</v>
      </c>
    </row>
    <row r="1098" spans="1:13" ht="15" customHeight="1">
      <c r="A1098" s="10">
        <v>46178</v>
      </c>
      <c r="B1098" t="s">
        <v>1</v>
      </c>
      <c r="C1098" t="s">
        <v>77</v>
      </c>
      <c r="D1098">
        <v>0</v>
      </c>
      <c r="E1098">
        <v>986</v>
      </c>
      <c r="J1098">
        <v>961</v>
      </c>
      <c r="M1098" t="s">
        <v>1215</v>
      </c>
    </row>
    <row r="1099" spans="1:13" ht="15" customHeight="1">
      <c r="A1099" s="10">
        <v>46178</v>
      </c>
      <c r="B1099" t="s">
        <v>1</v>
      </c>
      <c r="C1099" t="s">
        <v>79</v>
      </c>
      <c r="D1099">
        <v>0</v>
      </c>
      <c r="E1099">
        <v>1326</v>
      </c>
      <c r="J1099">
        <v>1124</v>
      </c>
      <c r="M1099" t="s">
        <v>1216</v>
      </c>
    </row>
    <row r="1100" spans="1:13" ht="15" customHeight="1">
      <c r="A1100" s="10">
        <v>46178</v>
      </c>
      <c r="B1100" t="s">
        <v>1</v>
      </c>
      <c r="C1100" t="s">
        <v>81</v>
      </c>
      <c r="D1100">
        <v>1</v>
      </c>
      <c r="E1100">
        <v>0</v>
      </c>
      <c r="I1100">
        <v>1</v>
      </c>
      <c r="J1100">
        <v>394</v>
      </c>
      <c r="M1100" t="s">
        <v>1217</v>
      </c>
    </row>
    <row r="1101" spans="1:13" ht="15" customHeight="1">
      <c r="A1101" s="10">
        <v>46178</v>
      </c>
      <c r="B1101" t="s">
        <v>1</v>
      </c>
      <c r="C1101" t="s">
        <v>83</v>
      </c>
      <c r="D1101">
        <v>1</v>
      </c>
      <c r="E1101">
        <v>350</v>
      </c>
      <c r="I1101">
        <v>1</v>
      </c>
      <c r="J1101">
        <v>342</v>
      </c>
      <c r="M1101" t="s">
        <v>1218</v>
      </c>
    </row>
    <row r="1102" spans="1:13" ht="15" customHeight="1">
      <c r="A1102" s="10">
        <v>46178</v>
      </c>
      <c r="B1102" t="s">
        <v>1</v>
      </c>
      <c r="C1102" t="s">
        <v>84</v>
      </c>
      <c r="D1102">
        <v>0</v>
      </c>
      <c r="E1102">
        <v>320</v>
      </c>
      <c r="J1102">
        <v>312</v>
      </c>
      <c r="M1102" t="s">
        <v>1219</v>
      </c>
    </row>
    <row r="1103" spans="1:13" ht="15" customHeight="1">
      <c r="A1103" s="10">
        <v>46178</v>
      </c>
      <c r="B1103" t="s">
        <v>1</v>
      </c>
      <c r="C1103" t="s">
        <v>85</v>
      </c>
      <c r="D1103">
        <v>0</v>
      </c>
      <c r="E1103">
        <v>170</v>
      </c>
      <c r="J1103">
        <v>170</v>
      </c>
      <c r="M1103" t="s">
        <v>1220</v>
      </c>
    </row>
    <row r="1104" spans="1:13" ht="15" customHeight="1">
      <c r="A1104" s="10">
        <v>46178</v>
      </c>
      <c r="B1104" t="s">
        <v>1</v>
      </c>
      <c r="C1104" t="s">
        <v>87</v>
      </c>
      <c r="D1104">
        <v>2</v>
      </c>
      <c r="E1104">
        <v>180</v>
      </c>
      <c r="I1104">
        <v>2</v>
      </c>
      <c r="J1104">
        <v>177</v>
      </c>
      <c r="M1104" t="s">
        <v>1221</v>
      </c>
    </row>
    <row r="1105" spans="1:13" ht="15" customHeight="1">
      <c r="A1105" s="10">
        <v>46178</v>
      </c>
      <c r="B1105" t="s">
        <v>1</v>
      </c>
      <c r="C1105" t="s">
        <v>88</v>
      </c>
      <c r="D1105">
        <v>1</v>
      </c>
      <c r="E1105">
        <v>274</v>
      </c>
      <c r="I1105">
        <v>1</v>
      </c>
      <c r="J1105">
        <v>270</v>
      </c>
      <c r="M1105" t="s">
        <v>1222</v>
      </c>
    </row>
    <row r="1106" spans="1:13" ht="15" customHeight="1">
      <c r="A1106" s="10">
        <v>46178</v>
      </c>
      <c r="B1106" t="s">
        <v>1</v>
      </c>
      <c r="C1106" t="s">
        <v>89</v>
      </c>
      <c r="D1106">
        <v>1</v>
      </c>
      <c r="E1106">
        <v>367</v>
      </c>
      <c r="I1106">
        <v>1</v>
      </c>
      <c r="J1106">
        <v>365</v>
      </c>
      <c r="M1106" t="s">
        <v>1223</v>
      </c>
    </row>
    <row r="1107" spans="1:13" ht="15" customHeight="1">
      <c r="A1107" s="10">
        <v>46178</v>
      </c>
      <c r="B1107" t="s">
        <v>1</v>
      </c>
      <c r="C1107" t="s">
        <v>90</v>
      </c>
      <c r="D1107">
        <v>1</v>
      </c>
      <c r="E1107">
        <v>970</v>
      </c>
      <c r="I1107">
        <v>1</v>
      </c>
      <c r="J1107">
        <v>970</v>
      </c>
      <c r="M1107" t="s">
        <v>1224</v>
      </c>
    </row>
    <row r="1108" spans="1:13" ht="15" customHeight="1">
      <c r="A1108" s="10">
        <v>46178</v>
      </c>
      <c r="B1108" t="s">
        <v>1</v>
      </c>
      <c r="C1108" t="s">
        <v>92</v>
      </c>
      <c r="D1108">
        <v>1</v>
      </c>
      <c r="E1108">
        <v>841</v>
      </c>
      <c r="I1108">
        <v>1</v>
      </c>
      <c r="J1108">
        <v>841</v>
      </c>
      <c r="M1108" t="s">
        <v>1225</v>
      </c>
    </row>
    <row r="1109" spans="1:13" ht="15" customHeight="1">
      <c r="A1109" s="10">
        <v>46178</v>
      </c>
      <c r="B1109" t="s">
        <v>1</v>
      </c>
      <c r="C1109" t="s">
        <v>94</v>
      </c>
      <c r="D1109">
        <v>2</v>
      </c>
      <c r="E1109">
        <v>151</v>
      </c>
      <c r="I1109">
        <v>1</v>
      </c>
      <c r="J1109">
        <v>105</v>
      </c>
      <c r="M1109" t="s">
        <v>1226</v>
      </c>
    </row>
    <row r="1110" spans="1:13" ht="15" customHeight="1">
      <c r="A1110" s="10">
        <v>46178</v>
      </c>
      <c r="B1110" t="s">
        <v>1</v>
      </c>
      <c r="C1110" t="s">
        <v>96</v>
      </c>
      <c r="D1110">
        <v>0</v>
      </c>
      <c r="E1110">
        <v>0</v>
      </c>
      <c r="M1110" t="s">
        <v>1227</v>
      </c>
    </row>
    <row r="1111" spans="1:13" ht="15" customHeight="1">
      <c r="A1111" s="10">
        <v>46178</v>
      </c>
      <c r="B1111" t="s">
        <v>1</v>
      </c>
      <c r="C1111" t="s">
        <v>98</v>
      </c>
      <c r="D1111">
        <v>0</v>
      </c>
      <c r="E1111">
        <v>0</v>
      </c>
      <c r="M1111" t="s">
        <v>1228</v>
      </c>
    </row>
    <row r="1112" spans="1:13" ht="15" customHeight="1">
      <c r="A1112" s="10">
        <v>46178</v>
      </c>
      <c r="B1112" t="s">
        <v>1</v>
      </c>
      <c r="C1112" t="s">
        <v>203</v>
      </c>
      <c r="D1112">
        <v>2</v>
      </c>
      <c r="E1112">
        <v>427</v>
      </c>
      <c r="I1112">
        <v>2</v>
      </c>
      <c r="J1112">
        <v>402</v>
      </c>
      <c r="M1112" t="s">
        <v>1229</v>
      </c>
    </row>
    <row r="1113" spans="1:13" ht="15" customHeight="1">
      <c r="A1113" s="10">
        <v>46178</v>
      </c>
      <c r="B1113" t="s">
        <v>1</v>
      </c>
      <c r="C1113" t="s">
        <v>100</v>
      </c>
      <c r="D1113">
        <v>0</v>
      </c>
      <c r="E1113">
        <v>0</v>
      </c>
      <c r="M1113" t="s">
        <v>1230</v>
      </c>
    </row>
    <row r="1114" spans="1:13" ht="15" customHeight="1">
      <c r="A1114" s="10">
        <v>46178</v>
      </c>
      <c r="B1114" t="s">
        <v>1</v>
      </c>
      <c r="C1114" t="s">
        <v>101</v>
      </c>
      <c r="D1114">
        <v>0</v>
      </c>
      <c r="E1114">
        <v>538</v>
      </c>
      <c r="J1114">
        <v>538</v>
      </c>
      <c r="M1114" t="s">
        <v>1231</v>
      </c>
    </row>
    <row r="1115" spans="1:13" ht="15" customHeight="1">
      <c r="A1115" s="10">
        <v>46178</v>
      </c>
      <c r="B1115" t="s">
        <v>1</v>
      </c>
      <c r="C1115" t="s">
        <v>103</v>
      </c>
      <c r="D1115">
        <v>0</v>
      </c>
      <c r="E1115">
        <v>5</v>
      </c>
      <c r="I1115">
        <v>0</v>
      </c>
      <c r="J1115">
        <v>1</v>
      </c>
      <c r="M1115" t="s">
        <v>1232</v>
      </c>
    </row>
    <row r="1116" spans="1:13" ht="15" customHeight="1">
      <c r="A1116" s="10">
        <v>46178</v>
      </c>
      <c r="B1116" t="s">
        <v>1</v>
      </c>
      <c r="C1116" t="s">
        <v>106</v>
      </c>
      <c r="D1116">
        <v>1</v>
      </c>
      <c r="E1116">
        <v>342</v>
      </c>
      <c r="I1116">
        <v>1</v>
      </c>
      <c r="J1116">
        <v>297</v>
      </c>
      <c r="M1116" t="s">
        <v>1233</v>
      </c>
    </row>
    <row r="1117" spans="1:13" ht="15" customHeight="1">
      <c r="A1117" s="10">
        <v>46178</v>
      </c>
      <c r="B1117" t="s">
        <v>1</v>
      </c>
      <c r="C1117" t="s">
        <v>108</v>
      </c>
      <c r="D1117">
        <v>1</v>
      </c>
      <c r="E1117">
        <v>401</v>
      </c>
      <c r="I1117">
        <v>1</v>
      </c>
      <c r="J1117">
        <v>371</v>
      </c>
      <c r="M1117" t="s">
        <v>1234</v>
      </c>
    </row>
    <row r="1118" spans="1:13" ht="15" customHeight="1">
      <c r="A1118" s="10">
        <v>46178</v>
      </c>
      <c r="B1118" t="s">
        <v>1</v>
      </c>
      <c r="C1118" t="s">
        <v>109</v>
      </c>
      <c r="D1118">
        <v>1</v>
      </c>
      <c r="E1118">
        <v>538</v>
      </c>
      <c r="I1118">
        <v>1</v>
      </c>
      <c r="J1118">
        <v>351</v>
      </c>
      <c r="M1118" t="s">
        <v>1235</v>
      </c>
    </row>
    <row r="1119" spans="1:13" ht="15" customHeight="1">
      <c r="A1119" s="10">
        <v>46178</v>
      </c>
      <c r="B1119" t="s">
        <v>1</v>
      </c>
      <c r="C1119" t="s">
        <v>112</v>
      </c>
      <c r="D1119">
        <v>1</v>
      </c>
      <c r="E1119">
        <v>28</v>
      </c>
      <c r="I1119">
        <v>1</v>
      </c>
      <c r="J1119">
        <v>26</v>
      </c>
      <c r="M1119" t="s">
        <v>1236</v>
      </c>
    </row>
    <row r="1120" spans="1:13" ht="15" customHeight="1">
      <c r="A1120" s="10">
        <v>46178</v>
      </c>
      <c r="B1120" t="s">
        <v>1</v>
      </c>
      <c r="C1120" t="s">
        <v>114</v>
      </c>
      <c r="D1120">
        <v>1</v>
      </c>
      <c r="E1120">
        <v>32</v>
      </c>
      <c r="I1120">
        <v>1</v>
      </c>
      <c r="J1120">
        <v>27</v>
      </c>
      <c r="M1120" t="s">
        <v>1237</v>
      </c>
    </row>
    <row r="1121" spans="1:13" ht="15" customHeight="1">
      <c r="A1121" s="10">
        <v>46178</v>
      </c>
      <c r="B1121" t="s">
        <v>1</v>
      </c>
      <c r="C1121" t="s">
        <v>115</v>
      </c>
      <c r="D1121">
        <v>1</v>
      </c>
      <c r="E1121">
        <v>32</v>
      </c>
      <c r="I1121">
        <v>1</v>
      </c>
      <c r="J1121">
        <v>26</v>
      </c>
      <c r="M1121" t="s">
        <v>1238</v>
      </c>
    </row>
    <row r="1122" spans="1:13" ht="15" customHeight="1">
      <c r="A1122" s="10">
        <v>46178</v>
      </c>
      <c r="B1122" t="s">
        <v>1</v>
      </c>
      <c r="C1122" t="s">
        <v>116</v>
      </c>
      <c r="D1122">
        <v>2</v>
      </c>
      <c r="E1122">
        <v>16</v>
      </c>
      <c r="I1122">
        <v>2</v>
      </c>
      <c r="J1122">
        <v>6</v>
      </c>
      <c r="M1122" t="s">
        <v>1239</v>
      </c>
    </row>
    <row r="1123" spans="1:13" ht="15" customHeight="1">
      <c r="A1123" s="10">
        <v>46178</v>
      </c>
      <c r="B1123" t="s">
        <v>1</v>
      </c>
      <c r="C1123" t="s">
        <v>119</v>
      </c>
      <c r="D1123">
        <v>2</v>
      </c>
      <c r="E1123">
        <v>0</v>
      </c>
      <c r="I1123">
        <v>2</v>
      </c>
      <c r="M1123" t="s">
        <v>1240</v>
      </c>
    </row>
    <row r="1124" spans="1:13" ht="15" customHeight="1">
      <c r="A1124" s="10">
        <v>46178</v>
      </c>
      <c r="B1124" t="s">
        <v>1</v>
      </c>
      <c r="C1124" t="s">
        <v>120</v>
      </c>
      <c r="D1124">
        <v>1</v>
      </c>
      <c r="E1124">
        <v>0</v>
      </c>
      <c r="I1124">
        <v>1</v>
      </c>
      <c r="M1124" t="s">
        <v>1241</v>
      </c>
    </row>
    <row r="1125" spans="1:13" ht="15" customHeight="1">
      <c r="A1125" s="10">
        <v>46178</v>
      </c>
      <c r="B1125" t="s">
        <v>1</v>
      </c>
      <c r="C1125" t="s">
        <v>121</v>
      </c>
      <c r="D1125">
        <v>2</v>
      </c>
      <c r="E1125">
        <v>0</v>
      </c>
      <c r="I1125">
        <v>2</v>
      </c>
      <c r="M1125" t="s">
        <v>1242</v>
      </c>
    </row>
    <row r="1126" spans="1:13" ht="15" customHeight="1">
      <c r="A1126" s="10">
        <v>46178</v>
      </c>
      <c r="B1126" t="s">
        <v>1</v>
      </c>
      <c r="C1126" t="s">
        <v>123</v>
      </c>
      <c r="D1126">
        <v>2</v>
      </c>
      <c r="E1126">
        <v>0</v>
      </c>
      <c r="I1126">
        <v>2</v>
      </c>
      <c r="M1126" t="s">
        <v>1243</v>
      </c>
    </row>
    <row r="1127" spans="1:13" ht="15" customHeight="1">
      <c r="A1127" s="10">
        <v>46178</v>
      </c>
      <c r="B1127" t="s">
        <v>1</v>
      </c>
      <c r="C1127" t="s">
        <v>124</v>
      </c>
      <c r="D1127">
        <v>1</v>
      </c>
      <c r="E1127">
        <v>0</v>
      </c>
      <c r="I1127">
        <v>1</v>
      </c>
      <c r="M1127" t="s">
        <v>1244</v>
      </c>
    </row>
    <row r="1128" spans="1:13" ht="15" customHeight="1">
      <c r="A1128" s="10">
        <v>46178</v>
      </c>
      <c r="B1128" t="s">
        <v>1</v>
      </c>
      <c r="C1128" t="s">
        <v>125</v>
      </c>
      <c r="D1128">
        <v>2</v>
      </c>
      <c r="E1128">
        <v>0</v>
      </c>
      <c r="I1128">
        <v>2</v>
      </c>
      <c r="M1128" t="s">
        <v>1245</v>
      </c>
    </row>
    <row r="1129" spans="1:13" ht="15" customHeight="1">
      <c r="A1129" s="10">
        <v>46178</v>
      </c>
      <c r="B1129" t="s">
        <v>1</v>
      </c>
      <c r="C1129" t="s">
        <v>126</v>
      </c>
      <c r="D1129">
        <v>2</v>
      </c>
      <c r="E1129">
        <v>0</v>
      </c>
      <c r="I1129">
        <v>2</v>
      </c>
      <c r="M1129" t="s">
        <v>1246</v>
      </c>
    </row>
    <row r="1130" spans="1:13" ht="15" customHeight="1">
      <c r="A1130" s="10">
        <v>46178</v>
      </c>
      <c r="B1130" t="s">
        <v>1</v>
      </c>
      <c r="C1130" t="s">
        <v>128</v>
      </c>
      <c r="D1130">
        <v>2</v>
      </c>
      <c r="E1130">
        <v>0</v>
      </c>
      <c r="I1130">
        <v>1</v>
      </c>
      <c r="M1130" t="s">
        <v>1247</v>
      </c>
    </row>
    <row r="1131" spans="1:13" ht="15" customHeight="1">
      <c r="A1131" s="10">
        <v>46178</v>
      </c>
      <c r="B1131" t="s">
        <v>1</v>
      </c>
      <c r="C1131" t="s">
        <v>130</v>
      </c>
      <c r="D1131">
        <v>5</v>
      </c>
      <c r="E1131">
        <v>0</v>
      </c>
      <c r="I1131">
        <v>4</v>
      </c>
      <c r="M1131" t="s">
        <v>1248</v>
      </c>
    </row>
    <row r="1132" spans="1:13" ht="15" customHeight="1">
      <c r="A1132" s="10">
        <v>46178</v>
      </c>
      <c r="B1132" t="s">
        <v>1</v>
      </c>
      <c r="C1132" t="s">
        <v>285</v>
      </c>
      <c r="D1132">
        <v>2</v>
      </c>
      <c r="E1132">
        <v>0</v>
      </c>
      <c r="I1132">
        <v>2</v>
      </c>
      <c r="M1132" t="s">
        <v>1249</v>
      </c>
    </row>
    <row r="1133" spans="1:13" ht="15" customHeight="1">
      <c r="A1133" s="10">
        <v>46178</v>
      </c>
      <c r="B1133" t="s">
        <v>1</v>
      </c>
      <c r="C1133" t="s">
        <v>287</v>
      </c>
      <c r="D1133">
        <v>2</v>
      </c>
      <c r="E1133">
        <v>0</v>
      </c>
      <c r="I1133">
        <v>2</v>
      </c>
      <c r="M1133" t="s">
        <v>1250</v>
      </c>
    </row>
    <row r="1134" spans="1:13" ht="15" customHeight="1">
      <c r="A1134" s="10">
        <v>46178</v>
      </c>
      <c r="B1134" t="s">
        <v>1</v>
      </c>
      <c r="C1134" t="s">
        <v>289</v>
      </c>
      <c r="D1134">
        <v>3</v>
      </c>
      <c r="E1134">
        <v>0</v>
      </c>
      <c r="I1134">
        <v>2</v>
      </c>
      <c r="M1134" t="s">
        <v>1251</v>
      </c>
    </row>
    <row r="1135" spans="1:13" ht="15" customHeight="1">
      <c r="A1135" s="10">
        <v>46178</v>
      </c>
      <c r="B1135" t="s">
        <v>1</v>
      </c>
      <c r="C1135" t="s">
        <v>291</v>
      </c>
      <c r="D1135">
        <v>2</v>
      </c>
      <c r="E1135">
        <v>0</v>
      </c>
      <c r="I1135">
        <v>2</v>
      </c>
      <c r="M1135" t="s">
        <v>1252</v>
      </c>
    </row>
    <row r="1136" spans="1:13" ht="15" customHeight="1">
      <c r="A1136" s="10">
        <v>46178</v>
      </c>
      <c r="B1136" t="s">
        <v>1</v>
      </c>
      <c r="C1136" t="s">
        <v>293</v>
      </c>
      <c r="D1136">
        <v>2</v>
      </c>
      <c r="E1136">
        <v>0</v>
      </c>
      <c r="I1136">
        <v>2</v>
      </c>
      <c r="M1136" t="s">
        <v>1253</v>
      </c>
    </row>
    <row r="1137" spans="1:13" ht="15" customHeight="1">
      <c r="A1137" s="10">
        <v>46178</v>
      </c>
      <c r="B1137" t="s">
        <v>1</v>
      </c>
      <c r="C1137" s="135" t="s">
        <v>138</v>
      </c>
      <c r="D1137">
        <v>0</v>
      </c>
      <c r="E1137">
        <v>44</v>
      </c>
      <c r="I1137">
        <v>0</v>
      </c>
      <c r="J1137">
        <v>49</v>
      </c>
      <c r="M1137" t="s">
        <v>1254</v>
      </c>
    </row>
    <row r="1138" spans="1:13" ht="15" customHeight="1">
      <c r="A1138" s="10">
        <v>46178</v>
      </c>
      <c r="B1138" t="s">
        <v>1</v>
      </c>
      <c r="C1138" s="135" t="s">
        <v>139</v>
      </c>
      <c r="D1138">
        <v>0</v>
      </c>
      <c r="E1138">
        <v>19</v>
      </c>
      <c r="I1138">
        <v>0</v>
      </c>
      <c r="J1138">
        <v>15</v>
      </c>
      <c r="M1138" t="s">
        <v>1255</v>
      </c>
    </row>
    <row r="1139" spans="1:13" ht="15" customHeight="1">
      <c r="A1139" s="10">
        <v>46178</v>
      </c>
      <c r="B1139" t="s">
        <v>1</v>
      </c>
      <c r="C1139" s="135" t="s">
        <v>140</v>
      </c>
      <c r="D1139">
        <v>0</v>
      </c>
      <c r="E1139">
        <v>15</v>
      </c>
      <c r="I1139">
        <v>0</v>
      </c>
      <c r="J1139">
        <v>10</v>
      </c>
      <c r="M1139" t="s">
        <v>1256</v>
      </c>
    </row>
    <row r="1140" spans="1:13" ht="15" customHeight="1">
      <c r="A1140" s="10">
        <v>46178</v>
      </c>
      <c r="B1140" t="s">
        <v>1</v>
      </c>
      <c r="C1140" s="135" t="s">
        <v>143</v>
      </c>
      <c r="D1140">
        <v>0</v>
      </c>
      <c r="E1140">
        <v>17</v>
      </c>
      <c r="I1140">
        <v>0</v>
      </c>
      <c r="J1140">
        <v>15</v>
      </c>
      <c r="M1140" t="s">
        <v>1257</v>
      </c>
    </row>
    <row r="1141" spans="1:13" ht="15" customHeight="1">
      <c r="A1141" s="10">
        <v>46178</v>
      </c>
      <c r="B1141" t="s">
        <v>1</v>
      </c>
      <c r="C1141" s="135" t="s">
        <v>145</v>
      </c>
      <c r="D1141">
        <v>0</v>
      </c>
      <c r="E1141">
        <v>42</v>
      </c>
      <c r="I1141">
        <v>0</v>
      </c>
      <c r="J1141">
        <v>40</v>
      </c>
      <c r="M1141" t="s">
        <v>1258</v>
      </c>
    </row>
    <row r="1142" spans="1:13" ht="15" customHeight="1">
      <c r="A1142" s="10">
        <v>46178</v>
      </c>
      <c r="B1142" t="s">
        <v>1</v>
      </c>
      <c r="C1142" s="135" t="s">
        <v>147</v>
      </c>
      <c r="D1142">
        <v>0</v>
      </c>
      <c r="E1142">
        <v>35</v>
      </c>
      <c r="I1142">
        <v>0</v>
      </c>
      <c r="J1142">
        <v>24</v>
      </c>
      <c r="M1142" t="s">
        <v>1259</v>
      </c>
    </row>
    <row r="1143" spans="1:13" ht="15" customHeight="1">
      <c r="A1143" s="10">
        <v>46178</v>
      </c>
      <c r="B1143" t="s">
        <v>1</v>
      </c>
      <c r="C1143" t="s">
        <v>302</v>
      </c>
      <c r="D1143">
        <v>2</v>
      </c>
      <c r="E1143">
        <v>0</v>
      </c>
      <c r="I1143">
        <v>2</v>
      </c>
      <c r="M1143" t="s">
        <v>1260</v>
      </c>
    </row>
    <row r="1144" spans="1:13" ht="15" customHeight="1">
      <c r="A1144" s="10">
        <v>46178</v>
      </c>
      <c r="B1144" t="s">
        <v>1</v>
      </c>
      <c r="C1144" t="s">
        <v>150</v>
      </c>
      <c r="D1144">
        <v>2</v>
      </c>
      <c r="E1144">
        <v>0</v>
      </c>
      <c r="I1144">
        <v>2</v>
      </c>
      <c r="M1144" t="s">
        <v>1261</v>
      </c>
    </row>
    <row r="1145" spans="1:13" ht="15" customHeight="1">
      <c r="A1145" s="10">
        <v>46178</v>
      </c>
      <c r="B1145" t="s">
        <v>1</v>
      </c>
      <c r="C1145" t="s">
        <v>151</v>
      </c>
      <c r="D1145">
        <v>2</v>
      </c>
      <c r="E1145">
        <v>0</v>
      </c>
      <c r="I1145">
        <v>2</v>
      </c>
      <c r="M1145" t="s">
        <v>1262</v>
      </c>
    </row>
    <row r="1146" spans="1:13" ht="15" customHeight="1">
      <c r="A1146" s="10">
        <v>46178</v>
      </c>
      <c r="B1146" t="s">
        <v>1</v>
      </c>
      <c r="C1146" t="s">
        <v>152</v>
      </c>
      <c r="D1146">
        <v>2</v>
      </c>
      <c r="E1146">
        <v>0</v>
      </c>
      <c r="I1146">
        <v>2</v>
      </c>
      <c r="M1146" t="s">
        <v>1263</v>
      </c>
    </row>
    <row r="1147" spans="1:13" ht="15" customHeight="1">
      <c r="A1147" s="10">
        <v>46178</v>
      </c>
      <c r="B1147" t="s">
        <v>1</v>
      </c>
      <c r="C1147" t="s">
        <v>153</v>
      </c>
      <c r="D1147">
        <v>2</v>
      </c>
      <c r="E1147">
        <v>0</v>
      </c>
      <c r="I1147">
        <v>2</v>
      </c>
      <c r="M1147" t="s">
        <v>1264</v>
      </c>
    </row>
    <row r="1148" spans="1:13" ht="15" customHeight="1">
      <c r="A1148" s="10">
        <v>46178</v>
      </c>
      <c r="B1148" t="s">
        <v>1</v>
      </c>
      <c r="C1148" t="s">
        <v>308</v>
      </c>
      <c r="D1148">
        <v>0</v>
      </c>
      <c r="E1148">
        <v>3</v>
      </c>
      <c r="I1148">
        <v>0</v>
      </c>
      <c r="J1148">
        <v>3</v>
      </c>
      <c r="M1148" t="s">
        <v>1265</v>
      </c>
    </row>
    <row r="1149" spans="1:13" ht="15" customHeight="1">
      <c r="A1149" s="10">
        <v>46178</v>
      </c>
      <c r="B1149" t="s">
        <v>1</v>
      </c>
      <c r="C1149" t="s">
        <v>310</v>
      </c>
      <c r="D1149">
        <v>0</v>
      </c>
      <c r="E1149">
        <v>2</v>
      </c>
      <c r="I1149">
        <v>0</v>
      </c>
      <c r="J1149">
        <v>2</v>
      </c>
      <c r="M1149" t="s">
        <v>1266</v>
      </c>
    </row>
    <row r="1150" spans="1:13" ht="15" customHeight="1">
      <c r="A1150" s="10">
        <v>46178</v>
      </c>
      <c r="B1150" t="s">
        <v>1</v>
      </c>
      <c r="C1150" t="s">
        <v>312</v>
      </c>
      <c r="D1150">
        <v>0</v>
      </c>
      <c r="E1150">
        <v>2</v>
      </c>
      <c r="I1150">
        <v>0</v>
      </c>
      <c r="J1150">
        <v>1</v>
      </c>
      <c r="M1150" t="s">
        <v>1267</v>
      </c>
    </row>
    <row r="1151" spans="1:13" ht="15" customHeight="1">
      <c r="A1151" s="10">
        <v>46178</v>
      </c>
      <c r="B1151" t="s">
        <v>1</v>
      </c>
      <c r="C1151" t="s">
        <v>314</v>
      </c>
      <c r="D1151">
        <v>1</v>
      </c>
      <c r="E1151">
        <v>0</v>
      </c>
      <c r="I1151">
        <v>1</v>
      </c>
      <c r="M1151" t="s">
        <v>1268</v>
      </c>
    </row>
    <row r="1152" spans="1:13" ht="15" customHeight="1">
      <c r="A1152" s="10">
        <v>46178</v>
      </c>
      <c r="B1152" t="s">
        <v>1</v>
      </c>
      <c r="C1152" t="s">
        <v>316</v>
      </c>
      <c r="D1152">
        <v>1</v>
      </c>
      <c r="E1152">
        <v>0</v>
      </c>
      <c r="I1152">
        <v>1</v>
      </c>
      <c r="M1152" t="s">
        <v>1269</v>
      </c>
    </row>
    <row r="1153" spans="1:13" ht="15" customHeight="1">
      <c r="A1153" s="10">
        <v>46178</v>
      </c>
      <c r="B1153" t="s">
        <v>1</v>
      </c>
      <c r="C1153" t="s">
        <v>318</v>
      </c>
      <c r="D1153">
        <v>1</v>
      </c>
      <c r="E1153">
        <v>0</v>
      </c>
      <c r="M1153" t="s">
        <v>1270</v>
      </c>
    </row>
    <row r="1154" spans="1:13" ht="15" customHeight="1">
      <c r="A1154" s="10">
        <v>46178</v>
      </c>
      <c r="B1154" t="s">
        <v>1</v>
      </c>
      <c r="C1154" t="s">
        <v>320</v>
      </c>
      <c r="D1154">
        <v>3</v>
      </c>
      <c r="E1154">
        <v>0</v>
      </c>
      <c r="I1154">
        <v>3</v>
      </c>
      <c r="M1154" t="s">
        <v>1271</v>
      </c>
    </row>
    <row r="1155" spans="1:13" ht="15" customHeight="1">
      <c r="A1155" s="10">
        <v>46178</v>
      </c>
      <c r="B1155" t="s">
        <v>1</v>
      </c>
      <c r="C1155" s="135" t="s">
        <v>168</v>
      </c>
      <c r="D1155">
        <v>1</v>
      </c>
      <c r="E1155">
        <v>0</v>
      </c>
      <c r="I1155">
        <v>1</v>
      </c>
      <c r="M1155" t="s">
        <v>1272</v>
      </c>
    </row>
    <row r="1156" spans="1:13" ht="15" customHeight="1">
      <c r="A1156" s="10">
        <v>46178</v>
      </c>
      <c r="B1156" t="s">
        <v>1</v>
      </c>
      <c r="C1156" s="135" t="s">
        <v>170</v>
      </c>
      <c r="D1156">
        <v>1</v>
      </c>
      <c r="E1156">
        <v>0</v>
      </c>
      <c r="I1156">
        <v>1</v>
      </c>
      <c r="M1156" t="s">
        <v>1273</v>
      </c>
    </row>
    <row r="1157" spans="1:13" ht="15" customHeight="1">
      <c r="A1157" s="10">
        <v>46178</v>
      </c>
      <c r="B1157" t="s">
        <v>1</v>
      </c>
      <c r="C1157" s="135" t="s">
        <v>171</v>
      </c>
      <c r="D1157">
        <v>2</v>
      </c>
      <c r="E1157">
        <v>0</v>
      </c>
      <c r="I1157">
        <v>2</v>
      </c>
      <c r="M1157" t="s">
        <v>1274</v>
      </c>
    </row>
    <row r="1158" spans="1:13" ht="15" customHeight="1">
      <c r="A1158" s="10">
        <v>46178</v>
      </c>
      <c r="B1158" t="s">
        <v>1</v>
      </c>
      <c r="C1158" s="135" t="s">
        <v>172</v>
      </c>
      <c r="D1158">
        <v>1</v>
      </c>
      <c r="E1158">
        <v>0</v>
      </c>
      <c r="I1158">
        <v>1</v>
      </c>
      <c r="M1158" t="s">
        <v>1275</v>
      </c>
    </row>
    <row r="1159" spans="1:13" ht="15" customHeight="1">
      <c r="A1159" s="10">
        <v>46178</v>
      </c>
      <c r="B1159" t="s">
        <v>1</v>
      </c>
      <c r="C1159" t="s">
        <v>176</v>
      </c>
      <c r="D1159">
        <v>0</v>
      </c>
      <c r="E1159">
        <v>19</v>
      </c>
      <c r="H1159">
        <v>1</v>
      </c>
      <c r="I1159">
        <v>0</v>
      </c>
      <c r="J1159">
        <v>18</v>
      </c>
      <c r="M1159" t="s">
        <v>1276</v>
      </c>
    </row>
    <row r="1160" spans="1:13" ht="15" customHeight="1">
      <c r="A1160" s="10">
        <v>46178</v>
      </c>
      <c r="B1160" t="s">
        <v>1</v>
      </c>
      <c r="C1160" t="s">
        <v>178</v>
      </c>
      <c r="D1160">
        <v>0</v>
      </c>
      <c r="E1160">
        <v>7</v>
      </c>
      <c r="H1160">
        <v>3</v>
      </c>
      <c r="I1160">
        <v>0</v>
      </c>
      <c r="J1160">
        <v>4</v>
      </c>
      <c r="M1160" t="s">
        <v>1277</v>
      </c>
    </row>
    <row r="1161" spans="1:13" ht="15" customHeight="1">
      <c r="A1161" s="10">
        <v>46178</v>
      </c>
      <c r="B1161" t="s">
        <v>1</v>
      </c>
      <c r="C1161" t="s">
        <v>179</v>
      </c>
      <c r="D1161">
        <v>0</v>
      </c>
      <c r="E1161">
        <v>19</v>
      </c>
      <c r="I1161">
        <v>0</v>
      </c>
      <c r="J1161">
        <v>19</v>
      </c>
      <c r="M1161" t="s">
        <v>1278</v>
      </c>
    </row>
    <row r="1162" spans="1:13" ht="15" customHeight="1">
      <c r="A1162" s="10">
        <v>46178</v>
      </c>
      <c r="B1162" t="s">
        <v>1</v>
      </c>
      <c r="C1162" t="s">
        <v>180</v>
      </c>
      <c r="D1162">
        <v>0</v>
      </c>
      <c r="E1162">
        <v>14</v>
      </c>
      <c r="H1162">
        <v>1</v>
      </c>
      <c r="I1162">
        <v>0</v>
      </c>
      <c r="J1162">
        <v>13</v>
      </c>
      <c r="M1162" t="s">
        <v>1279</v>
      </c>
    </row>
    <row r="1163" spans="1:13" ht="15" customHeight="1">
      <c r="A1163" s="10">
        <v>46178</v>
      </c>
      <c r="B1163" t="s">
        <v>1</v>
      </c>
      <c r="C1163" s="135" t="s">
        <v>182</v>
      </c>
      <c r="D1163">
        <v>0</v>
      </c>
      <c r="E1163">
        <v>308</v>
      </c>
      <c r="J1163">
        <v>293</v>
      </c>
      <c r="M1163" t="s">
        <v>1280</v>
      </c>
    </row>
    <row r="1164" spans="1:13" ht="15" customHeight="1">
      <c r="A1164" s="10">
        <v>46178</v>
      </c>
      <c r="B1164" t="s">
        <v>1</v>
      </c>
      <c r="C1164" s="135" t="s">
        <v>184</v>
      </c>
      <c r="D1164">
        <v>1</v>
      </c>
      <c r="E1164">
        <v>25</v>
      </c>
      <c r="I1164">
        <v>1</v>
      </c>
      <c r="J1164">
        <v>25</v>
      </c>
      <c r="M1164" t="s">
        <v>1281</v>
      </c>
    </row>
    <row r="1165" spans="1:13" ht="15" customHeight="1">
      <c r="A1165" s="10">
        <v>46178</v>
      </c>
      <c r="B1165" t="s">
        <v>1</v>
      </c>
      <c r="C1165" s="135" t="s">
        <v>185</v>
      </c>
      <c r="D1165">
        <v>1</v>
      </c>
      <c r="E1165">
        <v>60</v>
      </c>
      <c r="I1165">
        <v>1</v>
      </c>
      <c r="J1165">
        <v>45</v>
      </c>
      <c r="M1165" t="s">
        <v>1282</v>
      </c>
    </row>
    <row r="1166" spans="1:13" ht="15" customHeight="1">
      <c r="A1166" s="10">
        <v>46178</v>
      </c>
      <c r="B1166" t="s">
        <v>1</v>
      </c>
      <c r="C1166" s="135" t="s">
        <v>186</v>
      </c>
      <c r="D1166">
        <v>1</v>
      </c>
      <c r="E1166">
        <v>107</v>
      </c>
      <c r="I1166">
        <v>1</v>
      </c>
      <c r="J1166">
        <v>82</v>
      </c>
      <c r="M1166" t="s">
        <v>1283</v>
      </c>
    </row>
    <row r="1167" spans="1:13" ht="15" customHeight="1">
      <c r="A1167" s="10">
        <v>46178</v>
      </c>
      <c r="B1167" t="s">
        <v>1</v>
      </c>
      <c r="C1167" t="s">
        <v>337</v>
      </c>
      <c r="D1167">
        <v>2</v>
      </c>
      <c r="E1167">
        <v>100</v>
      </c>
      <c r="I1167">
        <v>2</v>
      </c>
      <c r="J1167">
        <v>55</v>
      </c>
      <c r="M1167" t="s">
        <v>1284</v>
      </c>
    </row>
    <row r="1168" spans="1:13" ht="15" customHeight="1">
      <c r="A1168" s="10">
        <v>46178</v>
      </c>
      <c r="B1168" t="s">
        <v>1</v>
      </c>
      <c r="C1168" s="135" t="s">
        <v>191</v>
      </c>
      <c r="D1168">
        <v>1</v>
      </c>
      <c r="E1168">
        <v>340</v>
      </c>
      <c r="I1168">
        <v>1</v>
      </c>
      <c r="J1168">
        <v>340</v>
      </c>
      <c r="M1168" t="s">
        <v>1285</v>
      </c>
    </row>
    <row r="1169" spans="1:13" ht="15" customHeight="1">
      <c r="A1169" s="10">
        <v>46178</v>
      </c>
      <c r="B1169" t="s">
        <v>1</v>
      </c>
      <c r="C1169" s="135" t="s">
        <v>193</v>
      </c>
      <c r="D1169">
        <v>1</v>
      </c>
      <c r="E1169">
        <v>486</v>
      </c>
      <c r="I1169">
        <v>1</v>
      </c>
      <c r="J1169">
        <v>466</v>
      </c>
      <c r="M1169" t="s">
        <v>1286</v>
      </c>
    </row>
    <row r="1170" spans="1:13" ht="15" customHeight="1">
      <c r="A1170" s="10">
        <v>46178</v>
      </c>
      <c r="B1170" t="s">
        <v>1</v>
      </c>
      <c r="C1170" s="135" t="s">
        <v>194</v>
      </c>
      <c r="D1170">
        <v>1</v>
      </c>
      <c r="E1170">
        <v>32</v>
      </c>
      <c r="I1170">
        <v>1</v>
      </c>
      <c r="J1170">
        <v>32</v>
      </c>
      <c r="M1170" t="s">
        <v>1287</v>
      </c>
    </row>
    <row r="1171" spans="1:13" ht="15" customHeight="1">
      <c r="A1171" s="10">
        <v>46178</v>
      </c>
      <c r="B1171" t="s">
        <v>1</v>
      </c>
      <c r="C1171" s="135" t="s">
        <v>196</v>
      </c>
      <c r="D1171">
        <v>1</v>
      </c>
      <c r="E1171">
        <v>120</v>
      </c>
      <c r="I1171">
        <v>1</v>
      </c>
      <c r="J1171">
        <v>120</v>
      </c>
      <c r="M1171" t="s">
        <v>1288</v>
      </c>
    </row>
    <row r="1172" spans="1:13" ht="15" customHeight="1">
      <c r="A1172" s="10">
        <v>46179</v>
      </c>
      <c r="B1172" t="s">
        <v>1</v>
      </c>
      <c r="C1172" t="s">
        <v>23</v>
      </c>
      <c r="D1172">
        <v>4</v>
      </c>
      <c r="E1172">
        <v>651</v>
      </c>
      <c r="F1172">
        <v>4</v>
      </c>
      <c r="I1172">
        <v>8</v>
      </c>
      <c r="J1172">
        <v>350</v>
      </c>
      <c r="M1172" t="s">
        <v>1289</v>
      </c>
    </row>
    <row r="1173" spans="1:13" ht="15" customHeight="1">
      <c r="A1173" s="10">
        <v>46179</v>
      </c>
      <c r="B1173" t="s">
        <v>1</v>
      </c>
      <c r="C1173" t="s">
        <v>26</v>
      </c>
      <c r="D1173">
        <v>0</v>
      </c>
      <c r="E1173">
        <v>950</v>
      </c>
      <c r="J1173">
        <v>950</v>
      </c>
      <c r="M1173" t="s">
        <v>1290</v>
      </c>
    </row>
    <row r="1174" spans="1:13" ht="15" customHeight="1">
      <c r="A1174" s="10">
        <v>46179</v>
      </c>
      <c r="B1174" t="s">
        <v>1</v>
      </c>
      <c r="C1174" t="s">
        <v>27</v>
      </c>
      <c r="D1174">
        <v>0</v>
      </c>
      <c r="E1174">
        <v>537</v>
      </c>
      <c r="J1174">
        <v>537</v>
      </c>
      <c r="M1174" t="s">
        <v>1291</v>
      </c>
    </row>
    <row r="1175" spans="1:13" ht="15" customHeight="1">
      <c r="A1175" s="10">
        <v>46179</v>
      </c>
      <c r="B1175" t="s">
        <v>1</v>
      </c>
      <c r="C1175" t="s">
        <v>29</v>
      </c>
      <c r="D1175">
        <v>0</v>
      </c>
      <c r="E1175">
        <v>589</v>
      </c>
      <c r="J1175">
        <v>589</v>
      </c>
      <c r="M1175" t="s">
        <v>1292</v>
      </c>
    </row>
    <row r="1176" spans="1:13" ht="15" customHeight="1">
      <c r="A1176" s="10">
        <v>46179</v>
      </c>
      <c r="B1176" t="s">
        <v>1</v>
      </c>
      <c r="C1176" t="s">
        <v>30</v>
      </c>
      <c r="D1176">
        <v>0</v>
      </c>
      <c r="E1176">
        <v>772</v>
      </c>
      <c r="J1176">
        <v>772</v>
      </c>
      <c r="M1176" t="s">
        <v>1293</v>
      </c>
    </row>
    <row r="1177" spans="1:13" ht="15" customHeight="1">
      <c r="A1177" s="10">
        <v>46179</v>
      </c>
      <c r="B1177" t="s">
        <v>1</v>
      </c>
      <c r="C1177" t="s">
        <v>31</v>
      </c>
      <c r="D1177">
        <v>0</v>
      </c>
      <c r="E1177">
        <v>380</v>
      </c>
      <c r="J1177">
        <v>380</v>
      </c>
      <c r="M1177" t="s">
        <v>1294</v>
      </c>
    </row>
    <row r="1178" spans="1:13" ht="15" customHeight="1">
      <c r="A1178" s="10">
        <v>46179</v>
      </c>
      <c r="B1178" t="s">
        <v>1</v>
      </c>
      <c r="C1178" t="s">
        <v>32</v>
      </c>
      <c r="D1178">
        <v>0</v>
      </c>
      <c r="E1178">
        <v>491</v>
      </c>
      <c r="F1178">
        <v>2</v>
      </c>
      <c r="I1178">
        <v>2</v>
      </c>
      <c r="J1178">
        <v>491</v>
      </c>
      <c r="M1178" t="s">
        <v>1295</v>
      </c>
    </row>
    <row r="1179" spans="1:13" ht="15" customHeight="1">
      <c r="A1179" s="10">
        <v>46179</v>
      </c>
      <c r="B1179" t="s">
        <v>1</v>
      </c>
      <c r="C1179" t="s">
        <v>223</v>
      </c>
      <c r="D1179">
        <v>4</v>
      </c>
      <c r="E1179">
        <v>575</v>
      </c>
      <c r="F1179">
        <v>2</v>
      </c>
      <c r="I1179">
        <v>6</v>
      </c>
      <c r="J1179">
        <v>575</v>
      </c>
      <c r="M1179" t="s">
        <v>1296</v>
      </c>
    </row>
    <row r="1180" spans="1:13" ht="15" customHeight="1">
      <c r="A1180" s="10">
        <v>46179</v>
      </c>
      <c r="B1180" t="s">
        <v>1</v>
      </c>
      <c r="C1180" t="s">
        <v>35</v>
      </c>
      <c r="D1180">
        <v>0</v>
      </c>
      <c r="E1180">
        <v>0</v>
      </c>
      <c r="F1180">
        <v>8</v>
      </c>
      <c r="I1180">
        <v>8</v>
      </c>
      <c r="M1180" t="s">
        <v>1297</v>
      </c>
    </row>
    <row r="1181" spans="1:13" ht="15" customHeight="1">
      <c r="A1181" s="10">
        <v>46179</v>
      </c>
      <c r="B1181" t="s">
        <v>1</v>
      </c>
      <c r="C1181" t="s">
        <v>37</v>
      </c>
      <c r="D1181">
        <v>1</v>
      </c>
      <c r="E1181">
        <v>0</v>
      </c>
      <c r="F1181">
        <v>2</v>
      </c>
      <c r="I1181">
        <v>3</v>
      </c>
      <c r="M1181" t="s">
        <v>1298</v>
      </c>
    </row>
    <row r="1182" spans="1:13" ht="15" customHeight="1">
      <c r="A1182" s="10">
        <v>46179</v>
      </c>
      <c r="B1182" t="s">
        <v>1</v>
      </c>
      <c r="C1182" t="s">
        <v>39</v>
      </c>
      <c r="D1182">
        <v>11</v>
      </c>
      <c r="E1182">
        <v>0</v>
      </c>
      <c r="I1182">
        <v>11</v>
      </c>
      <c r="J1182">
        <v>0</v>
      </c>
      <c r="M1182" t="s">
        <v>1299</v>
      </c>
    </row>
    <row r="1183" spans="1:13" ht="15" customHeight="1">
      <c r="A1183" s="10">
        <v>46179</v>
      </c>
      <c r="B1183" t="s">
        <v>1</v>
      </c>
      <c r="C1183" t="s">
        <v>41</v>
      </c>
      <c r="D1183">
        <v>16</v>
      </c>
      <c r="E1183">
        <v>0</v>
      </c>
      <c r="F1183">
        <v>10</v>
      </c>
      <c r="I1183">
        <v>26</v>
      </c>
      <c r="J1183">
        <v>0</v>
      </c>
      <c r="M1183" t="s">
        <v>1300</v>
      </c>
    </row>
    <row r="1184" spans="1:13" ht="15" customHeight="1">
      <c r="A1184" s="10">
        <v>46179</v>
      </c>
      <c r="B1184" t="s">
        <v>1</v>
      </c>
      <c r="C1184" t="s">
        <v>232</v>
      </c>
      <c r="D1184">
        <v>20</v>
      </c>
      <c r="E1184">
        <v>0</v>
      </c>
      <c r="I1184">
        <v>20</v>
      </c>
      <c r="J1184">
        <v>0</v>
      </c>
      <c r="M1184" t="s">
        <v>1301</v>
      </c>
    </row>
    <row r="1185" spans="1:13" ht="15" customHeight="1">
      <c r="A1185" s="10">
        <v>46179</v>
      </c>
      <c r="B1185" t="s">
        <v>1</v>
      </c>
      <c r="C1185" t="s">
        <v>234</v>
      </c>
      <c r="D1185">
        <v>49</v>
      </c>
      <c r="E1185">
        <v>0</v>
      </c>
      <c r="F1185">
        <v>50</v>
      </c>
      <c r="I1185">
        <v>99</v>
      </c>
      <c r="J1185">
        <v>0</v>
      </c>
      <c r="M1185" t="s">
        <v>1302</v>
      </c>
    </row>
    <row r="1186" spans="1:13" ht="15" customHeight="1">
      <c r="A1186" s="10">
        <v>46179</v>
      </c>
      <c r="B1186" t="s">
        <v>1</v>
      </c>
      <c r="C1186" t="s">
        <v>237</v>
      </c>
      <c r="D1186">
        <v>11</v>
      </c>
      <c r="E1186">
        <v>0</v>
      </c>
      <c r="I1186">
        <v>11</v>
      </c>
      <c r="J1186">
        <v>0</v>
      </c>
      <c r="M1186" t="s">
        <v>1303</v>
      </c>
    </row>
    <row r="1187" spans="1:13" ht="15" customHeight="1">
      <c r="A1187" s="10">
        <v>46179</v>
      </c>
      <c r="B1187" t="s">
        <v>1</v>
      </c>
      <c r="C1187" s="135" t="s">
        <v>58</v>
      </c>
      <c r="D1187">
        <v>0</v>
      </c>
      <c r="E1187">
        <v>0</v>
      </c>
      <c r="J1187">
        <v>0</v>
      </c>
      <c r="M1187" t="s">
        <v>1304</v>
      </c>
    </row>
    <row r="1188" spans="1:13" ht="15" customHeight="1">
      <c r="A1188" s="10">
        <v>46179</v>
      </c>
      <c r="B1188" t="s">
        <v>1</v>
      </c>
      <c r="C1188" s="135" t="s">
        <v>60</v>
      </c>
      <c r="D1188">
        <v>0</v>
      </c>
      <c r="E1188">
        <v>0</v>
      </c>
      <c r="J1188">
        <v>0</v>
      </c>
      <c r="M1188" t="s">
        <v>1305</v>
      </c>
    </row>
    <row r="1189" spans="1:13" ht="15" customHeight="1">
      <c r="A1189" s="10">
        <v>46179</v>
      </c>
      <c r="B1189" t="s">
        <v>1</v>
      </c>
      <c r="C1189" s="135" t="s">
        <v>61</v>
      </c>
      <c r="D1189">
        <v>0</v>
      </c>
      <c r="E1189">
        <v>0</v>
      </c>
      <c r="J1189">
        <v>0</v>
      </c>
      <c r="M1189" t="s">
        <v>1306</v>
      </c>
    </row>
    <row r="1190" spans="1:13" ht="15" customHeight="1">
      <c r="A1190" s="10">
        <v>46179</v>
      </c>
      <c r="B1190" t="s">
        <v>1</v>
      </c>
      <c r="C1190" s="135" t="s">
        <v>62</v>
      </c>
      <c r="D1190">
        <v>0</v>
      </c>
      <c r="E1190">
        <v>0</v>
      </c>
      <c r="J1190">
        <v>0</v>
      </c>
      <c r="M1190" t="s">
        <v>1307</v>
      </c>
    </row>
    <row r="1191" spans="1:13" ht="15" customHeight="1">
      <c r="A1191" s="10">
        <v>46179</v>
      </c>
      <c r="B1191" t="s">
        <v>1</v>
      </c>
      <c r="C1191" s="135" t="s">
        <v>63</v>
      </c>
      <c r="D1191">
        <v>2</v>
      </c>
      <c r="E1191">
        <v>0</v>
      </c>
      <c r="I1191">
        <v>2</v>
      </c>
      <c r="J1191">
        <v>0</v>
      </c>
      <c r="M1191" t="s">
        <v>1308</v>
      </c>
    </row>
    <row r="1192" spans="1:13" ht="15" customHeight="1">
      <c r="A1192" s="10">
        <v>46179</v>
      </c>
      <c r="B1192" t="s">
        <v>1</v>
      </c>
      <c r="C1192" s="135" t="s">
        <v>64</v>
      </c>
      <c r="D1192">
        <v>3</v>
      </c>
      <c r="E1192">
        <v>0</v>
      </c>
      <c r="I1192">
        <v>3</v>
      </c>
      <c r="J1192">
        <v>0</v>
      </c>
      <c r="M1192" t="s">
        <v>1309</v>
      </c>
    </row>
    <row r="1193" spans="1:13" ht="15" customHeight="1">
      <c r="A1193" s="10">
        <v>46179</v>
      </c>
      <c r="B1193" t="s">
        <v>1</v>
      </c>
      <c r="C1193" t="s">
        <v>66</v>
      </c>
      <c r="D1193">
        <v>3</v>
      </c>
      <c r="E1193">
        <v>0</v>
      </c>
      <c r="I1193">
        <v>3</v>
      </c>
      <c r="J1193">
        <v>0</v>
      </c>
      <c r="M1193" t="s">
        <v>1310</v>
      </c>
    </row>
    <row r="1194" spans="1:13" ht="15" customHeight="1">
      <c r="A1194" s="10">
        <v>46179</v>
      </c>
      <c r="B1194" t="s">
        <v>1</v>
      </c>
      <c r="C1194" t="s">
        <v>67</v>
      </c>
      <c r="D1194">
        <v>4</v>
      </c>
      <c r="E1194">
        <v>0</v>
      </c>
      <c r="F1194">
        <v>2</v>
      </c>
      <c r="I1194">
        <v>6</v>
      </c>
      <c r="J1194">
        <v>0</v>
      </c>
      <c r="M1194" t="s">
        <v>1311</v>
      </c>
    </row>
    <row r="1195" spans="1:13" ht="15" customHeight="1">
      <c r="A1195" s="10">
        <v>46179</v>
      </c>
      <c r="B1195" t="s">
        <v>1</v>
      </c>
      <c r="C1195" t="s">
        <v>71</v>
      </c>
      <c r="D1195">
        <v>1</v>
      </c>
      <c r="E1195">
        <v>692</v>
      </c>
      <c r="I1195">
        <v>1</v>
      </c>
      <c r="J1195">
        <v>692</v>
      </c>
      <c r="M1195" t="s">
        <v>1312</v>
      </c>
    </row>
    <row r="1196" spans="1:13" ht="15" customHeight="1">
      <c r="A1196" s="10">
        <v>46179</v>
      </c>
      <c r="B1196" t="s">
        <v>1</v>
      </c>
      <c r="C1196" t="s">
        <v>73</v>
      </c>
      <c r="D1196">
        <v>1</v>
      </c>
      <c r="E1196">
        <v>420</v>
      </c>
      <c r="I1196">
        <v>1</v>
      </c>
      <c r="J1196">
        <v>420</v>
      </c>
      <c r="M1196" t="s">
        <v>1313</v>
      </c>
    </row>
    <row r="1197" spans="1:13" ht="15" customHeight="1">
      <c r="A1197" s="10">
        <v>46179</v>
      </c>
      <c r="B1197" t="s">
        <v>1</v>
      </c>
      <c r="C1197" t="s">
        <v>75</v>
      </c>
      <c r="D1197">
        <v>1</v>
      </c>
      <c r="E1197">
        <v>75</v>
      </c>
      <c r="I1197">
        <v>1</v>
      </c>
      <c r="J1197">
        <v>75</v>
      </c>
      <c r="M1197" t="s">
        <v>1314</v>
      </c>
    </row>
    <row r="1198" spans="1:13" ht="15" customHeight="1">
      <c r="A1198" s="10">
        <v>46179</v>
      </c>
      <c r="B1198" t="s">
        <v>1</v>
      </c>
      <c r="C1198" t="s">
        <v>77</v>
      </c>
      <c r="D1198">
        <v>0</v>
      </c>
      <c r="E1198">
        <v>961</v>
      </c>
      <c r="J1198">
        <v>961</v>
      </c>
      <c r="M1198" t="s">
        <v>1315</v>
      </c>
    </row>
    <row r="1199" spans="1:13" ht="15" customHeight="1">
      <c r="A1199" s="10">
        <v>46179</v>
      </c>
      <c r="B1199" t="s">
        <v>1</v>
      </c>
      <c r="C1199" t="s">
        <v>79</v>
      </c>
      <c r="D1199">
        <v>0</v>
      </c>
      <c r="E1199">
        <v>1124</v>
      </c>
      <c r="F1199">
        <v>1</v>
      </c>
      <c r="I1199">
        <v>1</v>
      </c>
      <c r="J1199">
        <v>1075</v>
      </c>
      <c r="M1199" t="s">
        <v>1316</v>
      </c>
    </row>
    <row r="1200" spans="1:13" ht="15" customHeight="1">
      <c r="A1200" s="10">
        <v>46179</v>
      </c>
      <c r="B1200" t="s">
        <v>1</v>
      </c>
      <c r="C1200" t="s">
        <v>81</v>
      </c>
      <c r="D1200">
        <v>1</v>
      </c>
      <c r="E1200">
        <v>394</v>
      </c>
      <c r="I1200">
        <v>1</v>
      </c>
      <c r="J1200">
        <v>394</v>
      </c>
      <c r="M1200" t="s">
        <v>1317</v>
      </c>
    </row>
    <row r="1201" spans="1:13" ht="15" customHeight="1">
      <c r="A1201" s="10">
        <v>46179</v>
      </c>
      <c r="B1201" t="s">
        <v>1</v>
      </c>
      <c r="C1201" t="s">
        <v>83</v>
      </c>
      <c r="D1201">
        <v>1</v>
      </c>
      <c r="E1201">
        <v>342</v>
      </c>
      <c r="I1201">
        <v>1</v>
      </c>
      <c r="J1201">
        <v>342</v>
      </c>
      <c r="M1201" t="s">
        <v>1318</v>
      </c>
    </row>
    <row r="1202" spans="1:13" ht="15" customHeight="1">
      <c r="A1202" s="10">
        <v>46179</v>
      </c>
      <c r="B1202" t="s">
        <v>1</v>
      </c>
      <c r="C1202" t="s">
        <v>84</v>
      </c>
      <c r="D1202">
        <v>0</v>
      </c>
      <c r="E1202">
        <v>312</v>
      </c>
      <c r="J1202">
        <v>312</v>
      </c>
      <c r="M1202" t="s">
        <v>1319</v>
      </c>
    </row>
    <row r="1203" spans="1:13" ht="15" customHeight="1">
      <c r="A1203" s="10">
        <v>46179</v>
      </c>
      <c r="B1203" t="s">
        <v>1</v>
      </c>
      <c r="C1203" t="s">
        <v>85</v>
      </c>
      <c r="D1203">
        <v>0</v>
      </c>
      <c r="E1203">
        <v>170</v>
      </c>
      <c r="J1203">
        <v>170</v>
      </c>
      <c r="M1203" t="s">
        <v>1320</v>
      </c>
    </row>
    <row r="1204" spans="1:13" ht="15" customHeight="1">
      <c r="A1204" s="10">
        <v>46179</v>
      </c>
      <c r="B1204" t="s">
        <v>1</v>
      </c>
      <c r="C1204" t="s">
        <v>87</v>
      </c>
      <c r="D1204">
        <v>2</v>
      </c>
      <c r="E1204">
        <v>177</v>
      </c>
      <c r="I1204">
        <v>2</v>
      </c>
      <c r="J1204">
        <v>175</v>
      </c>
      <c r="M1204" t="s">
        <v>1321</v>
      </c>
    </row>
    <row r="1205" spans="1:13" ht="15" customHeight="1">
      <c r="A1205" s="10">
        <v>46179</v>
      </c>
      <c r="B1205" t="s">
        <v>1</v>
      </c>
      <c r="C1205" t="s">
        <v>88</v>
      </c>
      <c r="D1205">
        <v>1</v>
      </c>
      <c r="E1205">
        <v>270</v>
      </c>
      <c r="I1205">
        <v>1</v>
      </c>
      <c r="J1205">
        <v>270</v>
      </c>
      <c r="M1205" t="s">
        <v>1322</v>
      </c>
    </row>
    <row r="1206" spans="1:13" ht="15" customHeight="1">
      <c r="A1206" s="10">
        <v>46179</v>
      </c>
      <c r="B1206" t="s">
        <v>1</v>
      </c>
      <c r="C1206" t="s">
        <v>89</v>
      </c>
      <c r="D1206">
        <v>1</v>
      </c>
      <c r="E1206">
        <v>365</v>
      </c>
      <c r="I1206">
        <v>1</v>
      </c>
      <c r="J1206">
        <v>360</v>
      </c>
      <c r="M1206" t="s">
        <v>1323</v>
      </c>
    </row>
    <row r="1207" spans="1:13" ht="15" customHeight="1">
      <c r="A1207" s="10">
        <v>46179</v>
      </c>
      <c r="B1207" t="s">
        <v>1</v>
      </c>
      <c r="C1207" t="s">
        <v>90</v>
      </c>
      <c r="D1207">
        <v>1</v>
      </c>
      <c r="E1207">
        <v>970</v>
      </c>
      <c r="I1207">
        <v>1</v>
      </c>
      <c r="J1207">
        <v>970</v>
      </c>
      <c r="M1207" t="s">
        <v>1324</v>
      </c>
    </row>
    <row r="1208" spans="1:13" ht="15" customHeight="1">
      <c r="A1208" s="10">
        <v>46179</v>
      </c>
      <c r="B1208" t="s">
        <v>1</v>
      </c>
      <c r="C1208" t="s">
        <v>92</v>
      </c>
      <c r="D1208">
        <v>1</v>
      </c>
      <c r="E1208">
        <v>841</v>
      </c>
      <c r="I1208">
        <v>1</v>
      </c>
      <c r="J1208">
        <v>841</v>
      </c>
      <c r="M1208" t="s">
        <v>1325</v>
      </c>
    </row>
    <row r="1209" spans="1:13" ht="15" customHeight="1">
      <c r="A1209" s="10">
        <v>46179</v>
      </c>
      <c r="B1209" t="s">
        <v>1</v>
      </c>
      <c r="C1209" t="s">
        <v>94</v>
      </c>
      <c r="D1209">
        <v>1</v>
      </c>
      <c r="E1209">
        <v>105</v>
      </c>
      <c r="F1209">
        <v>2</v>
      </c>
      <c r="I1209">
        <v>3</v>
      </c>
      <c r="J1209">
        <v>45</v>
      </c>
      <c r="M1209" t="s">
        <v>1326</v>
      </c>
    </row>
    <row r="1210" spans="1:13" ht="15" customHeight="1">
      <c r="A1210" s="10">
        <v>46179</v>
      </c>
      <c r="B1210" t="s">
        <v>1</v>
      </c>
      <c r="C1210" t="s">
        <v>96</v>
      </c>
      <c r="D1210">
        <v>0</v>
      </c>
      <c r="E1210">
        <v>0</v>
      </c>
      <c r="M1210" t="s">
        <v>1327</v>
      </c>
    </row>
    <row r="1211" spans="1:13" ht="15" customHeight="1">
      <c r="A1211" s="10">
        <v>46179</v>
      </c>
      <c r="B1211" t="s">
        <v>1</v>
      </c>
      <c r="C1211" t="s">
        <v>98</v>
      </c>
      <c r="D1211">
        <v>0</v>
      </c>
      <c r="E1211">
        <v>0</v>
      </c>
      <c r="M1211" t="s">
        <v>1328</v>
      </c>
    </row>
    <row r="1212" spans="1:13" ht="15" customHeight="1">
      <c r="A1212" s="10">
        <v>46179</v>
      </c>
      <c r="B1212" t="s">
        <v>1</v>
      </c>
      <c r="C1212" t="s">
        <v>203</v>
      </c>
      <c r="D1212">
        <v>2</v>
      </c>
      <c r="E1212">
        <v>402</v>
      </c>
      <c r="F1212">
        <v>2</v>
      </c>
      <c r="I1212">
        <v>2</v>
      </c>
      <c r="M1212" t="s">
        <v>1329</v>
      </c>
    </row>
    <row r="1213" spans="1:13" ht="15" customHeight="1">
      <c r="A1213" s="10">
        <v>46179</v>
      </c>
      <c r="B1213" t="s">
        <v>1</v>
      </c>
      <c r="C1213" t="s">
        <v>100</v>
      </c>
      <c r="D1213">
        <v>0</v>
      </c>
      <c r="E1213">
        <v>0</v>
      </c>
      <c r="I1213">
        <v>2</v>
      </c>
      <c r="J1213">
        <v>400</v>
      </c>
      <c r="M1213" t="s">
        <v>1330</v>
      </c>
    </row>
    <row r="1214" spans="1:13" ht="15" customHeight="1">
      <c r="A1214" s="10">
        <v>46179</v>
      </c>
      <c r="B1214" t="s">
        <v>1</v>
      </c>
      <c r="C1214" t="s">
        <v>101</v>
      </c>
      <c r="D1214">
        <v>0</v>
      </c>
      <c r="E1214">
        <v>538</v>
      </c>
      <c r="J1214">
        <v>538</v>
      </c>
      <c r="M1214" t="s">
        <v>1331</v>
      </c>
    </row>
    <row r="1215" spans="1:13" ht="15" customHeight="1">
      <c r="A1215" s="10">
        <v>46179</v>
      </c>
      <c r="B1215" t="s">
        <v>1</v>
      </c>
      <c r="C1215" t="s">
        <v>103</v>
      </c>
      <c r="D1215">
        <v>0</v>
      </c>
      <c r="E1215">
        <v>1</v>
      </c>
      <c r="I1215">
        <v>0</v>
      </c>
      <c r="M1215" t="s">
        <v>1332</v>
      </c>
    </row>
    <row r="1216" spans="1:13" ht="15" customHeight="1">
      <c r="A1216" s="10">
        <v>46179</v>
      </c>
      <c r="B1216" t="s">
        <v>1</v>
      </c>
      <c r="C1216" t="s">
        <v>106</v>
      </c>
      <c r="D1216">
        <v>1</v>
      </c>
      <c r="E1216">
        <v>297</v>
      </c>
      <c r="I1216">
        <v>1</v>
      </c>
      <c r="J1216">
        <v>297</v>
      </c>
      <c r="M1216" t="s">
        <v>1333</v>
      </c>
    </row>
    <row r="1217" spans="1:13" ht="15" customHeight="1">
      <c r="A1217" s="10">
        <v>46179</v>
      </c>
      <c r="B1217" t="s">
        <v>1</v>
      </c>
      <c r="C1217" t="s">
        <v>108</v>
      </c>
      <c r="D1217">
        <v>1</v>
      </c>
      <c r="E1217">
        <v>371</v>
      </c>
      <c r="I1217">
        <v>1</v>
      </c>
      <c r="J1217">
        <v>371</v>
      </c>
      <c r="M1217" t="s">
        <v>1334</v>
      </c>
    </row>
    <row r="1218" spans="1:13" ht="15" customHeight="1">
      <c r="A1218" s="10">
        <v>46179</v>
      </c>
      <c r="B1218" t="s">
        <v>1</v>
      </c>
      <c r="C1218" t="s">
        <v>109</v>
      </c>
      <c r="D1218">
        <v>1</v>
      </c>
      <c r="E1218">
        <v>351</v>
      </c>
      <c r="I1218">
        <v>1</v>
      </c>
      <c r="J1218">
        <v>321</v>
      </c>
      <c r="M1218" t="s">
        <v>1335</v>
      </c>
    </row>
    <row r="1219" spans="1:13" ht="15" customHeight="1">
      <c r="A1219" s="10">
        <v>46179</v>
      </c>
      <c r="B1219" t="s">
        <v>1</v>
      </c>
      <c r="C1219" t="s">
        <v>112</v>
      </c>
      <c r="D1219">
        <v>1</v>
      </c>
      <c r="E1219">
        <v>26</v>
      </c>
      <c r="I1219">
        <v>1</v>
      </c>
      <c r="J1219">
        <v>26</v>
      </c>
      <c r="M1219" t="s">
        <v>1336</v>
      </c>
    </row>
    <row r="1220" spans="1:13" ht="15" customHeight="1">
      <c r="A1220" s="10">
        <v>46179</v>
      </c>
      <c r="B1220" t="s">
        <v>1</v>
      </c>
      <c r="C1220" t="s">
        <v>114</v>
      </c>
      <c r="D1220">
        <v>1</v>
      </c>
      <c r="E1220">
        <v>27</v>
      </c>
      <c r="F1220">
        <v>1</v>
      </c>
      <c r="I1220">
        <v>2</v>
      </c>
      <c r="J1220">
        <v>27</v>
      </c>
      <c r="M1220" t="s">
        <v>1337</v>
      </c>
    </row>
    <row r="1221" spans="1:13" ht="15" customHeight="1">
      <c r="A1221" s="10">
        <v>46179</v>
      </c>
      <c r="B1221" t="s">
        <v>1</v>
      </c>
      <c r="C1221" t="s">
        <v>115</v>
      </c>
      <c r="D1221">
        <v>1</v>
      </c>
      <c r="E1221">
        <v>26</v>
      </c>
      <c r="I1221">
        <v>1</v>
      </c>
      <c r="J1221">
        <v>24</v>
      </c>
      <c r="M1221" t="s">
        <v>1338</v>
      </c>
    </row>
    <row r="1222" spans="1:13" ht="15" customHeight="1">
      <c r="A1222" s="10">
        <v>46179</v>
      </c>
      <c r="B1222" t="s">
        <v>1</v>
      </c>
      <c r="C1222" t="s">
        <v>116</v>
      </c>
      <c r="D1222">
        <v>2</v>
      </c>
      <c r="E1222">
        <v>6</v>
      </c>
      <c r="F1222">
        <v>1</v>
      </c>
      <c r="I1222">
        <v>3</v>
      </c>
      <c r="J1222">
        <v>6</v>
      </c>
      <c r="M1222" t="s">
        <v>1339</v>
      </c>
    </row>
    <row r="1223" spans="1:13" ht="15" customHeight="1">
      <c r="A1223" s="10">
        <v>46179</v>
      </c>
      <c r="B1223" t="s">
        <v>1</v>
      </c>
      <c r="C1223" t="s">
        <v>119</v>
      </c>
      <c r="D1223">
        <v>2</v>
      </c>
      <c r="E1223">
        <v>0</v>
      </c>
      <c r="I1223">
        <v>2</v>
      </c>
      <c r="M1223" t="s">
        <v>1340</v>
      </c>
    </row>
    <row r="1224" spans="1:13" ht="15" customHeight="1">
      <c r="A1224" s="10">
        <v>46179</v>
      </c>
      <c r="B1224" t="s">
        <v>1</v>
      </c>
      <c r="C1224" t="s">
        <v>120</v>
      </c>
      <c r="D1224">
        <v>1</v>
      </c>
      <c r="E1224">
        <v>0</v>
      </c>
      <c r="I1224">
        <v>1</v>
      </c>
      <c r="M1224" t="s">
        <v>1341</v>
      </c>
    </row>
    <row r="1225" spans="1:13" ht="15" customHeight="1">
      <c r="A1225" s="10">
        <v>46179</v>
      </c>
      <c r="B1225" t="s">
        <v>1</v>
      </c>
      <c r="C1225" t="s">
        <v>121</v>
      </c>
      <c r="D1225">
        <v>2</v>
      </c>
      <c r="E1225">
        <v>0</v>
      </c>
      <c r="I1225">
        <v>2</v>
      </c>
      <c r="M1225" t="s">
        <v>1342</v>
      </c>
    </row>
    <row r="1226" spans="1:13" ht="15" customHeight="1">
      <c r="A1226" s="10">
        <v>46179</v>
      </c>
      <c r="B1226" t="s">
        <v>1</v>
      </c>
      <c r="C1226" t="s">
        <v>123</v>
      </c>
      <c r="D1226">
        <v>2</v>
      </c>
      <c r="E1226">
        <v>0</v>
      </c>
      <c r="I1226">
        <v>2</v>
      </c>
      <c r="M1226" t="s">
        <v>1343</v>
      </c>
    </row>
    <row r="1227" spans="1:13" ht="15" customHeight="1">
      <c r="A1227" s="10">
        <v>46179</v>
      </c>
      <c r="B1227" t="s">
        <v>1</v>
      </c>
      <c r="C1227" t="s">
        <v>124</v>
      </c>
      <c r="D1227">
        <v>1</v>
      </c>
      <c r="E1227">
        <v>0</v>
      </c>
      <c r="F1227">
        <v>2</v>
      </c>
      <c r="I1227">
        <v>3</v>
      </c>
      <c r="M1227" t="s">
        <v>1344</v>
      </c>
    </row>
    <row r="1228" spans="1:13" ht="15" customHeight="1">
      <c r="A1228" s="10">
        <v>46179</v>
      </c>
      <c r="B1228" t="s">
        <v>1</v>
      </c>
      <c r="C1228" t="s">
        <v>125</v>
      </c>
      <c r="D1228">
        <v>2</v>
      </c>
      <c r="E1228">
        <v>0</v>
      </c>
      <c r="I1228">
        <v>2</v>
      </c>
      <c r="M1228" t="s">
        <v>1345</v>
      </c>
    </row>
    <row r="1229" spans="1:13" ht="15" customHeight="1">
      <c r="A1229" s="10">
        <v>46179</v>
      </c>
      <c r="B1229" t="s">
        <v>1</v>
      </c>
      <c r="C1229" t="s">
        <v>126</v>
      </c>
      <c r="D1229">
        <v>2</v>
      </c>
      <c r="E1229">
        <v>0</v>
      </c>
      <c r="I1229">
        <v>2</v>
      </c>
      <c r="M1229" t="s">
        <v>1346</v>
      </c>
    </row>
    <row r="1230" spans="1:13" ht="15" customHeight="1">
      <c r="A1230" s="10">
        <v>46179</v>
      </c>
      <c r="B1230" t="s">
        <v>1</v>
      </c>
      <c r="C1230" t="s">
        <v>128</v>
      </c>
      <c r="D1230">
        <v>1</v>
      </c>
      <c r="E1230">
        <v>0</v>
      </c>
      <c r="I1230">
        <v>1</v>
      </c>
      <c r="M1230" t="s">
        <v>1347</v>
      </c>
    </row>
    <row r="1231" spans="1:13" ht="15" customHeight="1">
      <c r="A1231" s="10">
        <v>46179</v>
      </c>
      <c r="B1231" t="s">
        <v>1</v>
      </c>
      <c r="C1231" t="s">
        <v>130</v>
      </c>
      <c r="D1231">
        <v>4</v>
      </c>
      <c r="E1231">
        <v>0</v>
      </c>
      <c r="I1231">
        <v>4</v>
      </c>
      <c r="M1231" t="s">
        <v>1348</v>
      </c>
    </row>
    <row r="1232" spans="1:13" ht="15" customHeight="1">
      <c r="A1232" s="10">
        <v>46179</v>
      </c>
      <c r="B1232" t="s">
        <v>1</v>
      </c>
      <c r="C1232" t="s">
        <v>285</v>
      </c>
      <c r="D1232">
        <v>2</v>
      </c>
      <c r="E1232">
        <v>0</v>
      </c>
      <c r="I1232">
        <v>2</v>
      </c>
      <c r="M1232" t="s">
        <v>1349</v>
      </c>
    </row>
    <row r="1233" spans="1:13" ht="15" customHeight="1">
      <c r="A1233" s="10">
        <v>46179</v>
      </c>
      <c r="B1233" t="s">
        <v>1</v>
      </c>
      <c r="C1233" t="s">
        <v>287</v>
      </c>
      <c r="D1233">
        <v>2</v>
      </c>
      <c r="E1233">
        <v>0</v>
      </c>
      <c r="I1233">
        <v>2</v>
      </c>
      <c r="M1233" t="s">
        <v>1350</v>
      </c>
    </row>
    <row r="1234" spans="1:13" ht="15" customHeight="1">
      <c r="A1234" s="10">
        <v>46179</v>
      </c>
      <c r="B1234" t="s">
        <v>1</v>
      </c>
      <c r="C1234" t="s">
        <v>289</v>
      </c>
      <c r="D1234">
        <v>2</v>
      </c>
      <c r="E1234">
        <v>0</v>
      </c>
      <c r="I1234">
        <v>2</v>
      </c>
      <c r="M1234" t="s">
        <v>1351</v>
      </c>
    </row>
    <row r="1235" spans="1:13" ht="15" customHeight="1">
      <c r="A1235" s="10">
        <v>46179</v>
      </c>
      <c r="B1235" t="s">
        <v>1</v>
      </c>
      <c r="C1235" t="s">
        <v>291</v>
      </c>
      <c r="D1235">
        <v>2</v>
      </c>
      <c r="E1235">
        <v>0</v>
      </c>
      <c r="I1235">
        <v>2</v>
      </c>
      <c r="M1235" t="s">
        <v>1352</v>
      </c>
    </row>
    <row r="1236" spans="1:13" ht="15" customHeight="1">
      <c r="A1236" s="10">
        <v>46179</v>
      </c>
      <c r="B1236" t="s">
        <v>1</v>
      </c>
      <c r="C1236" t="s">
        <v>293</v>
      </c>
      <c r="D1236">
        <v>2</v>
      </c>
      <c r="E1236">
        <v>0</v>
      </c>
      <c r="I1236">
        <v>2</v>
      </c>
      <c r="M1236" t="s">
        <v>1353</v>
      </c>
    </row>
    <row r="1237" spans="1:13" ht="15" customHeight="1">
      <c r="A1237" s="10">
        <v>46179</v>
      </c>
      <c r="B1237" t="s">
        <v>1</v>
      </c>
      <c r="C1237" s="135" t="s">
        <v>138</v>
      </c>
      <c r="D1237">
        <v>0</v>
      </c>
      <c r="E1237">
        <v>49</v>
      </c>
      <c r="I1237">
        <v>0</v>
      </c>
      <c r="J1237">
        <v>44</v>
      </c>
      <c r="M1237" t="s">
        <v>1354</v>
      </c>
    </row>
    <row r="1238" spans="1:13" ht="15" customHeight="1">
      <c r="A1238" s="10">
        <v>46179</v>
      </c>
      <c r="B1238" t="s">
        <v>1</v>
      </c>
      <c r="C1238" s="135" t="s">
        <v>139</v>
      </c>
      <c r="D1238">
        <v>0</v>
      </c>
      <c r="E1238">
        <v>15</v>
      </c>
      <c r="G1238">
        <v>20</v>
      </c>
      <c r="I1238">
        <v>0</v>
      </c>
      <c r="J1238">
        <v>35</v>
      </c>
      <c r="M1238" t="s">
        <v>1355</v>
      </c>
    </row>
    <row r="1239" spans="1:13" ht="15" customHeight="1">
      <c r="A1239" s="10">
        <v>46179</v>
      </c>
      <c r="B1239" t="s">
        <v>1</v>
      </c>
      <c r="C1239" s="135" t="s">
        <v>140</v>
      </c>
      <c r="D1239">
        <v>0</v>
      </c>
      <c r="E1239">
        <v>10</v>
      </c>
      <c r="G1239">
        <v>20</v>
      </c>
      <c r="I1239">
        <v>0</v>
      </c>
      <c r="J1239">
        <v>30</v>
      </c>
      <c r="M1239" t="s">
        <v>1356</v>
      </c>
    </row>
    <row r="1240" spans="1:13" ht="15" customHeight="1">
      <c r="A1240" s="10">
        <v>46179</v>
      </c>
      <c r="B1240" t="s">
        <v>1</v>
      </c>
      <c r="C1240" s="135" t="s">
        <v>143</v>
      </c>
      <c r="D1240">
        <v>0</v>
      </c>
      <c r="E1240">
        <v>15</v>
      </c>
      <c r="G1240">
        <v>20</v>
      </c>
      <c r="I1240">
        <v>0</v>
      </c>
      <c r="J1240">
        <v>37</v>
      </c>
      <c r="M1240" t="s">
        <v>1357</v>
      </c>
    </row>
    <row r="1241" spans="1:13" ht="15" customHeight="1">
      <c r="A1241" s="10">
        <v>46179</v>
      </c>
      <c r="B1241" t="s">
        <v>1</v>
      </c>
      <c r="C1241" s="135" t="s">
        <v>145</v>
      </c>
      <c r="D1241">
        <v>0</v>
      </c>
      <c r="E1241">
        <v>40</v>
      </c>
      <c r="I1241">
        <v>0</v>
      </c>
      <c r="J1241">
        <v>20</v>
      </c>
      <c r="M1241" t="s">
        <v>1358</v>
      </c>
    </row>
    <row r="1242" spans="1:13" ht="15" customHeight="1">
      <c r="A1242" s="10">
        <v>46179</v>
      </c>
      <c r="B1242" t="s">
        <v>1</v>
      </c>
      <c r="C1242" s="135" t="s">
        <v>147</v>
      </c>
      <c r="D1242">
        <v>0</v>
      </c>
      <c r="E1242">
        <v>24</v>
      </c>
      <c r="I1242">
        <v>0</v>
      </c>
      <c r="J1242">
        <v>34</v>
      </c>
      <c r="M1242" t="s">
        <v>1359</v>
      </c>
    </row>
    <row r="1243" spans="1:13" ht="15" customHeight="1">
      <c r="A1243" s="10">
        <v>46179</v>
      </c>
      <c r="B1243" t="s">
        <v>1</v>
      </c>
      <c r="C1243" t="s">
        <v>302</v>
      </c>
      <c r="D1243">
        <v>2</v>
      </c>
      <c r="E1243">
        <v>0</v>
      </c>
      <c r="I1243">
        <v>2</v>
      </c>
      <c r="M1243" t="s">
        <v>1360</v>
      </c>
    </row>
    <row r="1244" spans="1:13" ht="15" customHeight="1">
      <c r="A1244" s="10">
        <v>46179</v>
      </c>
      <c r="B1244" t="s">
        <v>1</v>
      </c>
      <c r="C1244" t="s">
        <v>150</v>
      </c>
      <c r="D1244">
        <v>2</v>
      </c>
      <c r="E1244">
        <v>0</v>
      </c>
      <c r="I1244">
        <v>2</v>
      </c>
      <c r="M1244" t="s">
        <v>1361</v>
      </c>
    </row>
    <row r="1245" spans="1:13" ht="15" customHeight="1">
      <c r="A1245" s="10">
        <v>46179</v>
      </c>
      <c r="B1245" t="s">
        <v>1</v>
      </c>
      <c r="C1245" t="s">
        <v>151</v>
      </c>
      <c r="D1245">
        <v>2</v>
      </c>
      <c r="E1245">
        <v>0</v>
      </c>
      <c r="I1245">
        <v>2</v>
      </c>
      <c r="M1245" t="s">
        <v>1362</v>
      </c>
    </row>
    <row r="1246" spans="1:13" ht="15" customHeight="1">
      <c r="A1246" s="10">
        <v>46179</v>
      </c>
      <c r="B1246" t="s">
        <v>1</v>
      </c>
      <c r="C1246" t="s">
        <v>152</v>
      </c>
      <c r="D1246">
        <v>2</v>
      </c>
      <c r="E1246">
        <v>0</v>
      </c>
      <c r="I1246">
        <v>2</v>
      </c>
      <c r="M1246" t="s">
        <v>1363</v>
      </c>
    </row>
    <row r="1247" spans="1:13" ht="15" customHeight="1">
      <c r="A1247" s="10">
        <v>46179</v>
      </c>
      <c r="B1247" t="s">
        <v>1</v>
      </c>
      <c r="C1247" t="s">
        <v>153</v>
      </c>
      <c r="D1247">
        <v>2</v>
      </c>
      <c r="E1247">
        <v>0</v>
      </c>
      <c r="I1247">
        <v>2</v>
      </c>
      <c r="M1247" t="s">
        <v>1364</v>
      </c>
    </row>
    <row r="1248" spans="1:13" ht="15" customHeight="1">
      <c r="A1248" s="10">
        <v>46179</v>
      </c>
      <c r="B1248" t="s">
        <v>1</v>
      </c>
      <c r="C1248" t="s">
        <v>308</v>
      </c>
      <c r="D1248">
        <v>0</v>
      </c>
      <c r="E1248">
        <v>3</v>
      </c>
      <c r="G1248">
        <v>2</v>
      </c>
      <c r="I1248">
        <v>0</v>
      </c>
      <c r="J1248">
        <v>5</v>
      </c>
      <c r="M1248" t="s">
        <v>1365</v>
      </c>
    </row>
    <row r="1249" spans="1:13" ht="15" customHeight="1">
      <c r="A1249" s="10">
        <v>46179</v>
      </c>
      <c r="B1249" t="s">
        <v>1</v>
      </c>
      <c r="C1249" t="s">
        <v>310</v>
      </c>
      <c r="D1249">
        <v>0</v>
      </c>
      <c r="E1249">
        <v>2</v>
      </c>
      <c r="I1249">
        <v>0</v>
      </c>
      <c r="J1249">
        <v>2</v>
      </c>
      <c r="M1249" t="s">
        <v>1366</v>
      </c>
    </row>
    <row r="1250" spans="1:13" ht="15" customHeight="1">
      <c r="A1250" s="10">
        <v>46179</v>
      </c>
      <c r="B1250" t="s">
        <v>1</v>
      </c>
      <c r="C1250" t="s">
        <v>312</v>
      </c>
      <c r="D1250">
        <v>0</v>
      </c>
      <c r="E1250">
        <v>1</v>
      </c>
      <c r="G1250">
        <v>2</v>
      </c>
      <c r="I1250">
        <v>0</v>
      </c>
      <c r="J1250">
        <v>3</v>
      </c>
      <c r="M1250" t="s">
        <v>1367</v>
      </c>
    </row>
    <row r="1251" spans="1:13" ht="15" customHeight="1">
      <c r="A1251" s="10">
        <v>46179</v>
      </c>
      <c r="B1251" t="s">
        <v>1</v>
      </c>
      <c r="C1251" t="s">
        <v>314</v>
      </c>
      <c r="D1251">
        <v>1</v>
      </c>
      <c r="E1251">
        <v>0</v>
      </c>
      <c r="I1251">
        <v>1</v>
      </c>
      <c r="M1251" t="s">
        <v>1368</v>
      </c>
    </row>
    <row r="1252" spans="1:13" ht="15" customHeight="1">
      <c r="A1252" s="10">
        <v>46179</v>
      </c>
      <c r="B1252" t="s">
        <v>1</v>
      </c>
      <c r="C1252" t="s">
        <v>316</v>
      </c>
      <c r="D1252">
        <v>1</v>
      </c>
      <c r="E1252">
        <v>0</v>
      </c>
      <c r="I1252">
        <v>1</v>
      </c>
      <c r="M1252" t="s">
        <v>1369</v>
      </c>
    </row>
    <row r="1253" spans="1:13" ht="15" customHeight="1">
      <c r="A1253" s="10">
        <v>46179</v>
      </c>
      <c r="B1253" t="s">
        <v>1</v>
      </c>
      <c r="C1253" t="s">
        <v>318</v>
      </c>
      <c r="D1253">
        <v>0</v>
      </c>
      <c r="E1253">
        <v>0</v>
      </c>
      <c r="I1253">
        <v>2</v>
      </c>
      <c r="M1253" t="s">
        <v>1370</v>
      </c>
    </row>
    <row r="1254" spans="1:13" ht="15" customHeight="1">
      <c r="A1254" s="10">
        <v>46179</v>
      </c>
      <c r="B1254" t="s">
        <v>1</v>
      </c>
      <c r="C1254" t="s">
        <v>320</v>
      </c>
      <c r="D1254">
        <v>3</v>
      </c>
      <c r="E1254">
        <v>0</v>
      </c>
      <c r="I1254">
        <v>3</v>
      </c>
      <c r="M1254" t="s">
        <v>1371</v>
      </c>
    </row>
    <row r="1255" spans="1:13" ht="15" customHeight="1">
      <c r="A1255" s="10">
        <v>46179</v>
      </c>
      <c r="B1255" t="s">
        <v>1</v>
      </c>
      <c r="C1255" s="135" t="s">
        <v>168</v>
      </c>
      <c r="D1255">
        <v>1</v>
      </c>
      <c r="E1255">
        <v>0</v>
      </c>
      <c r="I1255">
        <v>1</v>
      </c>
      <c r="M1255" t="s">
        <v>1372</v>
      </c>
    </row>
    <row r="1256" spans="1:13" ht="15" customHeight="1">
      <c r="A1256" s="10">
        <v>46179</v>
      </c>
      <c r="B1256" t="s">
        <v>1</v>
      </c>
      <c r="C1256" s="135" t="s">
        <v>170</v>
      </c>
      <c r="D1256">
        <v>1</v>
      </c>
      <c r="E1256">
        <v>0</v>
      </c>
      <c r="I1256">
        <v>1</v>
      </c>
      <c r="M1256" t="s">
        <v>1373</v>
      </c>
    </row>
    <row r="1257" spans="1:13" ht="15" customHeight="1">
      <c r="A1257" s="10">
        <v>46179</v>
      </c>
      <c r="B1257" t="s">
        <v>1</v>
      </c>
      <c r="C1257" s="135" t="s">
        <v>171</v>
      </c>
      <c r="D1257">
        <v>2</v>
      </c>
      <c r="E1257">
        <v>0</v>
      </c>
      <c r="I1257">
        <v>2</v>
      </c>
      <c r="M1257" t="s">
        <v>1374</v>
      </c>
    </row>
    <row r="1258" spans="1:13" ht="15" customHeight="1">
      <c r="A1258" s="10">
        <v>46179</v>
      </c>
      <c r="B1258" t="s">
        <v>1</v>
      </c>
      <c r="C1258" s="135" t="s">
        <v>172</v>
      </c>
      <c r="D1258">
        <v>1</v>
      </c>
      <c r="E1258">
        <v>0</v>
      </c>
      <c r="I1258">
        <v>1</v>
      </c>
      <c r="M1258" t="s">
        <v>1375</v>
      </c>
    </row>
    <row r="1259" spans="1:13" ht="15" customHeight="1">
      <c r="A1259" s="10">
        <v>46179</v>
      </c>
      <c r="B1259" t="s">
        <v>1</v>
      </c>
      <c r="C1259" t="s">
        <v>176</v>
      </c>
      <c r="D1259">
        <v>0</v>
      </c>
      <c r="E1259">
        <v>18</v>
      </c>
      <c r="I1259">
        <v>0</v>
      </c>
      <c r="J1259">
        <v>18</v>
      </c>
      <c r="M1259" t="s">
        <v>1376</v>
      </c>
    </row>
    <row r="1260" spans="1:13" ht="15" customHeight="1">
      <c r="A1260" s="10">
        <v>46179</v>
      </c>
      <c r="B1260" t="s">
        <v>1</v>
      </c>
      <c r="C1260" t="s">
        <v>178</v>
      </c>
      <c r="D1260">
        <v>0</v>
      </c>
      <c r="E1260">
        <v>4</v>
      </c>
      <c r="G1260">
        <v>10</v>
      </c>
      <c r="I1260">
        <v>0</v>
      </c>
      <c r="J1260">
        <v>14</v>
      </c>
      <c r="M1260" t="s">
        <v>1377</v>
      </c>
    </row>
    <row r="1261" spans="1:13" ht="15" customHeight="1">
      <c r="A1261" s="10">
        <v>46179</v>
      </c>
      <c r="B1261" t="s">
        <v>1</v>
      </c>
      <c r="C1261" t="s">
        <v>179</v>
      </c>
      <c r="D1261">
        <v>0</v>
      </c>
      <c r="E1261">
        <v>19</v>
      </c>
      <c r="I1261">
        <v>0</v>
      </c>
      <c r="J1261">
        <v>19</v>
      </c>
      <c r="M1261" t="s">
        <v>1378</v>
      </c>
    </row>
    <row r="1262" spans="1:13" ht="15" customHeight="1">
      <c r="A1262" s="10">
        <v>46179</v>
      </c>
      <c r="B1262" t="s">
        <v>1</v>
      </c>
      <c r="C1262" t="s">
        <v>180</v>
      </c>
      <c r="D1262">
        <v>0</v>
      </c>
      <c r="E1262">
        <v>13</v>
      </c>
      <c r="G1262">
        <v>10</v>
      </c>
      <c r="I1262">
        <v>0</v>
      </c>
      <c r="J1262">
        <v>23</v>
      </c>
      <c r="M1262" t="s">
        <v>1379</v>
      </c>
    </row>
    <row r="1263" spans="1:13" ht="15" customHeight="1">
      <c r="A1263" s="10">
        <v>46179</v>
      </c>
      <c r="B1263" t="s">
        <v>1</v>
      </c>
      <c r="C1263" s="135" t="s">
        <v>182</v>
      </c>
      <c r="D1263">
        <v>0</v>
      </c>
      <c r="E1263">
        <v>293</v>
      </c>
      <c r="J1263">
        <v>293</v>
      </c>
      <c r="M1263" t="s">
        <v>1380</v>
      </c>
    </row>
    <row r="1264" spans="1:13" ht="15" customHeight="1">
      <c r="A1264" s="10">
        <v>46179</v>
      </c>
      <c r="B1264" t="s">
        <v>1</v>
      </c>
      <c r="C1264" s="135" t="s">
        <v>184</v>
      </c>
      <c r="D1264">
        <v>1</v>
      </c>
      <c r="E1264">
        <v>25</v>
      </c>
      <c r="I1264">
        <v>1</v>
      </c>
      <c r="J1264">
        <v>25</v>
      </c>
      <c r="M1264" t="s">
        <v>1381</v>
      </c>
    </row>
    <row r="1265" spans="1:13" ht="15" customHeight="1">
      <c r="A1265" s="10">
        <v>46179</v>
      </c>
      <c r="B1265" t="s">
        <v>1</v>
      </c>
      <c r="C1265" s="135" t="s">
        <v>185</v>
      </c>
      <c r="D1265">
        <v>1</v>
      </c>
      <c r="E1265">
        <v>45</v>
      </c>
      <c r="I1265">
        <v>1</v>
      </c>
      <c r="J1265">
        <v>45</v>
      </c>
      <c r="M1265" t="s">
        <v>1382</v>
      </c>
    </row>
    <row r="1266" spans="1:13" ht="15" customHeight="1">
      <c r="A1266" s="10">
        <v>46179</v>
      </c>
      <c r="B1266" t="s">
        <v>1</v>
      </c>
      <c r="C1266" s="135" t="s">
        <v>186</v>
      </c>
      <c r="D1266">
        <v>1</v>
      </c>
      <c r="E1266">
        <v>82</v>
      </c>
      <c r="I1266">
        <v>1</v>
      </c>
      <c r="J1266">
        <v>82</v>
      </c>
      <c r="M1266" t="s">
        <v>1383</v>
      </c>
    </row>
    <row r="1267" spans="1:13" ht="15" customHeight="1">
      <c r="A1267" s="10">
        <v>46179</v>
      </c>
      <c r="B1267" t="s">
        <v>1</v>
      </c>
      <c r="C1267" t="s">
        <v>337</v>
      </c>
      <c r="D1267">
        <v>2</v>
      </c>
      <c r="E1267">
        <v>55</v>
      </c>
      <c r="I1267">
        <v>2</v>
      </c>
      <c r="J1267">
        <v>55</v>
      </c>
      <c r="M1267" t="s">
        <v>1384</v>
      </c>
    </row>
    <row r="1268" spans="1:13" ht="15" customHeight="1">
      <c r="A1268" s="10">
        <v>46179</v>
      </c>
      <c r="B1268" t="s">
        <v>1</v>
      </c>
      <c r="C1268" s="135" t="s">
        <v>191</v>
      </c>
      <c r="D1268">
        <v>1</v>
      </c>
      <c r="E1268">
        <v>340</v>
      </c>
      <c r="I1268">
        <v>1</v>
      </c>
      <c r="J1268">
        <v>340</v>
      </c>
      <c r="M1268" t="s">
        <v>1385</v>
      </c>
    </row>
    <row r="1269" spans="1:13" ht="15" customHeight="1">
      <c r="A1269" s="10">
        <v>46179</v>
      </c>
      <c r="B1269" t="s">
        <v>1</v>
      </c>
      <c r="C1269" s="135" t="s">
        <v>193</v>
      </c>
      <c r="D1269">
        <v>1</v>
      </c>
      <c r="E1269">
        <v>466</v>
      </c>
      <c r="I1269">
        <v>1</v>
      </c>
      <c r="J1269">
        <v>446</v>
      </c>
      <c r="M1269" t="s">
        <v>1386</v>
      </c>
    </row>
    <row r="1270" spans="1:13" ht="15" customHeight="1">
      <c r="A1270" s="10">
        <v>46179</v>
      </c>
      <c r="B1270" t="s">
        <v>1</v>
      </c>
      <c r="C1270" s="135" t="s">
        <v>194</v>
      </c>
      <c r="D1270">
        <v>1</v>
      </c>
      <c r="E1270">
        <v>32</v>
      </c>
      <c r="I1270">
        <v>1</v>
      </c>
      <c r="J1270">
        <v>32</v>
      </c>
      <c r="M1270" t="s">
        <v>1387</v>
      </c>
    </row>
    <row r="1271" spans="1:13" ht="15" customHeight="1">
      <c r="A1271" s="10">
        <v>46179</v>
      </c>
      <c r="B1271" t="s">
        <v>1</v>
      </c>
      <c r="C1271" s="135" t="s">
        <v>196</v>
      </c>
      <c r="D1271">
        <v>1</v>
      </c>
      <c r="E1271">
        <v>120</v>
      </c>
      <c r="I1271">
        <v>1</v>
      </c>
      <c r="J1271">
        <v>120</v>
      </c>
      <c r="M1271" t="s">
        <v>1388</v>
      </c>
    </row>
    <row r="1272" spans="1:13" ht="15" customHeight="1">
      <c r="A1272" s="10">
        <v>46181</v>
      </c>
      <c r="B1272" t="s">
        <v>1</v>
      </c>
      <c r="C1272" t="s">
        <v>23</v>
      </c>
      <c r="D1272">
        <v>8</v>
      </c>
      <c r="E1272">
        <v>350</v>
      </c>
      <c r="I1272">
        <v>5</v>
      </c>
      <c r="J1272">
        <v>116</v>
      </c>
      <c r="M1272" t="s">
        <v>1389</v>
      </c>
    </row>
    <row r="1273" spans="1:13" ht="15" customHeight="1">
      <c r="A1273" s="10">
        <v>46181</v>
      </c>
      <c r="B1273" t="s">
        <v>1</v>
      </c>
      <c r="C1273" t="s">
        <v>26</v>
      </c>
      <c r="D1273">
        <v>0</v>
      </c>
      <c r="E1273">
        <v>950</v>
      </c>
      <c r="I1273">
        <v>0</v>
      </c>
      <c r="J1273">
        <v>945</v>
      </c>
      <c r="M1273" t="s">
        <v>1390</v>
      </c>
    </row>
    <row r="1274" spans="1:13" ht="15" customHeight="1">
      <c r="A1274" s="10">
        <v>46181</v>
      </c>
      <c r="B1274" t="s">
        <v>1</v>
      </c>
      <c r="C1274" t="s">
        <v>27</v>
      </c>
      <c r="D1274">
        <v>1</v>
      </c>
      <c r="E1274">
        <v>537</v>
      </c>
      <c r="I1274">
        <v>1</v>
      </c>
      <c r="J1274">
        <v>531</v>
      </c>
      <c r="M1274" t="s">
        <v>1391</v>
      </c>
    </row>
    <row r="1275" spans="1:13" ht="15" customHeight="1">
      <c r="A1275" s="10">
        <v>46181</v>
      </c>
      <c r="B1275" t="s">
        <v>1</v>
      </c>
      <c r="C1275" t="s">
        <v>29</v>
      </c>
      <c r="D1275">
        <v>0</v>
      </c>
      <c r="E1275">
        <v>589</v>
      </c>
      <c r="I1275">
        <v>0</v>
      </c>
      <c r="J1275">
        <v>584</v>
      </c>
      <c r="M1275" t="s">
        <v>1392</v>
      </c>
    </row>
    <row r="1276" spans="1:13" ht="15" customHeight="1">
      <c r="A1276" s="10">
        <v>46181</v>
      </c>
      <c r="B1276" t="s">
        <v>1</v>
      </c>
      <c r="C1276" t="s">
        <v>30</v>
      </c>
      <c r="D1276">
        <v>1</v>
      </c>
      <c r="E1276">
        <v>772</v>
      </c>
      <c r="I1276">
        <v>1</v>
      </c>
      <c r="J1276">
        <v>674</v>
      </c>
      <c r="M1276" t="s">
        <v>1393</v>
      </c>
    </row>
    <row r="1277" spans="1:13" ht="15" customHeight="1">
      <c r="A1277" s="10">
        <v>46181</v>
      </c>
      <c r="B1277" t="s">
        <v>1</v>
      </c>
      <c r="C1277" t="s">
        <v>31</v>
      </c>
      <c r="D1277">
        <v>1</v>
      </c>
      <c r="E1277">
        <v>380</v>
      </c>
      <c r="I1277">
        <v>1</v>
      </c>
      <c r="J1277">
        <v>213</v>
      </c>
      <c r="M1277" t="s">
        <v>1394</v>
      </c>
    </row>
    <row r="1278" spans="1:13" ht="15" customHeight="1">
      <c r="A1278" s="10">
        <v>46181</v>
      </c>
      <c r="B1278" t="s">
        <v>1</v>
      </c>
      <c r="C1278" t="s">
        <v>32</v>
      </c>
      <c r="D1278">
        <v>2</v>
      </c>
      <c r="E1278">
        <v>491</v>
      </c>
      <c r="I1278">
        <v>1</v>
      </c>
      <c r="J1278">
        <v>771</v>
      </c>
      <c r="M1278" t="s">
        <v>1395</v>
      </c>
    </row>
    <row r="1279" spans="1:13" ht="15" customHeight="1">
      <c r="A1279" s="10">
        <v>46181</v>
      </c>
      <c r="B1279" t="s">
        <v>1</v>
      </c>
      <c r="C1279" t="s">
        <v>223</v>
      </c>
      <c r="D1279">
        <v>6</v>
      </c>
      <c r="E1279">
        <v>575</v>
      </c>
      <c r="G1279">
        <v>500</v>
      </c>
      <c r="I1279">
        <v>6</v>
      </c>
      <c r="J1279">
        <v>442</v>
      </c>
      <c r="M1279" t="s">
        <v>1396</v>
      </c>
    </row>
    <row r="1280" spans="1:13" ht="15" customHeight="1">
      <c r="A1280" s="10">
        <v>46181</v>
      </c>
      <c r="B1280" t="s">
        <v>1</v>
      </c>
      <c r="C1280" t="s">
        <v>35</v>
      </c>
      <c r="D1280">
        <v>8</v>
      </c>
      <c r="E1280">
        <v>0</v>
      </c>
      <c r="H1280">
        <v>1</v>
      </c>
      <c r="I1280">
        <v>7</v>
      </c>
      <c r="M1280" t="s">
        <v>1397</v>
      </c>
    </row>
    <row r="1281" spans="1:13" ht="15" customHeight="1">
      <c r="A1281" s="10">
        <v>46181</v>
      </c>
      <c r="B1281" t="s">
        <v>1</v>
      </c>
      <c r="C1281" t="s">
        <v>37</v>
      </c>
      <c r="D1281">
        <v>3</v>
      </c>
      <c r="E1281">
        <v>0</v>
      </c>
      <c r="I1281">
        <v>2</v>
      </c>
      <c r="K1281">
        <v>1</v>
      </c>
      <c r="M1281" t="s">
        <v>1398</v>
      </c>
    </row>
    <row r="1282" spans="1:13" ht="15" customHeight="1">
      <c r="A1282" s="10">
        <v>46181</v>
      </c>
      <c r="B1282" t="s">
        <v>1</v>
      </c>
      <c r="C1282" t="s">
        <v>39</v>
      </c>
      <c r="D1282">
        <v>11</v>
      </c>
      <c r="E1282">
        <v>0</v>
      </c>
      <c r="H1282">
        <v>1</v>
      </c>
      <c r="I1282">
        <v>10</v>
      </c>
      <c r="J1282">
        <v>0</v>
      </c>
      <c r="M1282" t="s">
        <v>1399</v>
      </c>
    </row>
    <row r="1283" spans="1:13" ht="15" customHeight="1">
      <c r="A1283" s="10">
        <v>46181</v>
      </c>
      <c r="B1283" t="s">
        <v>1</v>
      </c>
      <c r="C1283" t="s">
        <v>41</v>
      </c>
      <c r="D1283">
        <v>26</v>
      </c>
      <c r="E1283">
        <v>0</v>
      </c>
      <c r="H1283">
        <v>1</v>
      </c>
      <c r="I1283">
        <v>25</v>
      </c>
      <c r="J1283">
        <v>0</v>
      </c>
      <c r="M1283" t="s">
        <v>1400</v>
      </c>
    </row>
    <row r="1284" spans="1:13" ht="15" customHeight="1">
      <c r="A1284" s="10">
        <v>46181</v>
      </c>
      <c r="B1284" t="s">
        <v>1</v>
      </c>
      <c r="C1284" t="s">
        <v>232</v>
      </c>
      <c r="D1284">
        <v>20</v>
      </c>
      <c r="E1284">
        <v>0</v>
      </c>
      <c r="I1284">
        <v>20</v>
      </c>
      <c r="J1284">
        <v>0</v>
      </c>
      <c r="M1284" t="s">
        <v>1401</v>
      </c>
    </row>
    <row r="1285" spans="1:13" ht="15" customHeight="1">
      <c r="A1285" s="10">
        <v>46181</v>
      </c>
      <c r="B1285" t="s">
        <v>1</v>
      </c>
      <c r="C1285" t="s">
        <v>234</v>
      </c>
      <c r="D1285">
        <v>99</v>
      </c>
      <c r="E1285">
        <v>0</v>
      </c>
      <c r="H1285">
        <v>6</v>
      </c>
      <c r="I1285">
        <v>93</v>
      </c>
      <c r="J1285">
        <v>0</v>
      </c>
      <c r="M1285" t="s">
        <v>1402</v>
      </c>
    </row>
    <row r="1286" spans="1:13" ht="15" customHeight="1">
      <c r="A1286" s="10">
        <v>46181</v>
      </c>
      <c r="B1286" t="s">
        <v>1</v>
      </c>
      <c r="C1286" t="s">
        <v>237</v>
      </c>
      <c r="D1286">
        <v>11</v>
      </c>
      <c r="E1286">
        <v>0</v>
      </c>
      <c r="H1286">
        <v>1</v>
      </c>
      <c r="I1286">
        <v>10</v>
      </c>
      <c r="J1286">
        <v>0</v>
      </c>
      <c r="M1286" t="s">
        <v>1403</v>
      </c>
    </row>
    <row r="1287" spans="1:13" ht="15" customHeight="1">
      <c r="A1287" s="10">
        <v>46181</v>
      </c>
      <c r="B1287" t="s">
        <v>1</v>
      </c>
      <c r="C1287" s="135" t="s">
        <v>58</v>
      </c>
      <c r="D1287">
        <v>0</v>
      </c>
      <c r="E1287">
        <v>0</v>
      </c>
      <c r="I1287">
        <v>0</v>
      </c>
      <c r="J1287">
        <v>0</v>
      </c>
      <c r="M1287" t="s">
        <v>1404</v>
      </c>
    </row>
    <row r="1288" spans="1:13" ht="15" customHeight="1">
      <c r="A1288" s="10">
        <v>46181</v>
      </c>
      <c r="B1288" t="s">
        <v>1</v>
      </c>
      <c r="C1288" s="135" t="s">
        <v>60</v>
      </c>
      <c r="D1288">
        <v>0</v>
      </c>
      <c r="E1288">
        <v>0</v>
      </c>
      <c r="I1288">
        <v>0</v>
      </c>
      <c r="J1288">
        <v>0</v>
      </c>
      <c r="M1288" t="s">
        <v>1405</v>
      </c>
    </row>
    <row r="1289" spans="1:13" ht="15" customHeight="1">
      <c r="A1289" s="10">
        <v>46181</v>
      </c>
      <c r="B1289" t="s">
        <v>1</v>
      </c>
      <c r="C1289" s="135" t="s">
        <v>61</v>
      </c>
      <c r="D1289">
        <v>0</v>
      </c>
      <c r="E1289">
        <v>0</v>
      </c>
      <c r="I1289">
        <v>0</v>
      </c>
      <c r="J1289">
        <v>0</v>
      </c>
      <c r="M1289" t="s">
        <v>1406</v>
      </c>
    </row>
    <row r="1290" spans="1:13" ht="15" customHeight="1">
      <c r="A1290" s="10">
        <v>46181</v>
      </c>
      <c r="B1290" t="s">
        <v>1</v>
      </c>
      <c r="C1290" s="135" t="s">
        <v>62</v>
      </c>
      <c r="D1290">
        <v>0</v>
      </c>
      <c r="E1290">
        <v>0</v>
      </c>
      <c r="I1290">
        <v>0</v>
      </c>
      <c r="J1290">
        <v>0</v>
      </c>
      <c r="M1290" t="s">
        <v>1407</v>
      </c>
    </row>
    <row r="1291" spans="1:13" ht="15" customHeight="1">
      <c r="A1291" s="10">
        <v>46181</v>
      </c>
      <c r="B1291" t="s">
        <v>1</v>
      </c>
      <c r="C1291" s="135" t="s">
        <v>63</v>
      </c>
      <c r="D1291">
        <v>2</v>
      </c>
      <c r="E1291">
        <v>0</v>
      </c>
      <c r="I1291">
        <v>2</v>
      </c>
      <c r="J1291">
        <v>0</v>
      </c>
      <c r="M1291" t="s">
        <v>1408</v>
      </c>
    </row>
    <row r="1292" spans="1:13" ht="15" customHeight="1">
      <c r="A1292" s="10">
        <v>46181</v>
      </c>
      <c r="B1292" t="s">
        <v>1</v>
      </c>
      <c r="C1292" s="135" t="s">
        <v>64</v>
      </c>
      <c r="D1292">
        <v>3</v>
      </c>
      <c r="E1292">
        <v>0</v>
      </c>
      <c r="I1292">
        <v>3</v>
      </c>
      <c r="J1292">
        <v>0</v>
      </c>
      <c r="M1292" t="s">
        <v>1409</v>
      </c>
    </row>
    <row r="1293" spans="1:13" ht="15" customHeight="1">
      <c r="A1293" s="10">
        <v>46181</v>
      </c>
      <c r="B1293" t="s">
        <v>1</v>
      </c>
      <c r="C1293" t="s">
        <v>66</v>
      </c>
      <c r="D1293">
        <v>3</v>
      </c>
      <c r="E1293">
        <v>0</v>
      </c>
      <c r="I1293">
        <v>3</v>
      </c>
      <c r="J1293">
        <v>0</v>
      </c>
      <c r="M1293" t="s">
        <v>1410</v>
      </c>
    </row>
    <row r="1294" spans="1:13" ht="15" customHeight="1">
      <c r="A1294" s="10">
        <v>46181</v>
      </c>
      <c r="B1294" t="s">
        <v>1</v>
      </c>
      <c r="C1294" t="s">
        <v>67</v>
      </c>
      <c r="D1294">
        <v>6</v>
      </c>
      <c r="E1294">
        <v>0</v>
      </c>
      <c r="I1294">
        <v>6</v>
      </c>
      <c r="J1294">
        <v>0</v>
      </c>
      <c r="M1294" t="s">
        <v>1411</v>
      </c>
    </row>
    <row r="1295" spans="1:13" ht="15" customHeight="1">
      <c r="A1295" s="10">
        <v>46181</v>
      </c>
      <c r="B1295" t="s">
        <v>1</v>
      </c>
      <c r="C1295" t="s">
        <v>71</v>
      </c>
      <c r="D1295">
        <v>1</v>
      </c>
      <c r="E1295">
        <v>692</v>
      </c>
      <c r="I1295">
        <v>1</v>
      </c>
      <c r="J1295">
        <v>582</v>
      </c>
      <c r="M1295" t="s">
        <v>1412</v>
      </c>
    </row>
    <row r="1296" spans="1:13" ht="15" customHeight="1">
      <c r="A1296" s="10">
        <v>46181</v>
      </c>
      <c r="B1296" t="s">
        <v>1</v>
      </c>
      <c r="C1296" t="s">
        <v>73</v>
      </c>
      <c r="D1296">
        <v>1</v>
      </c>
      <c r="E1296">
        <v>420</v>
      </c>
      <c r="I1296">
        <v>1</v>
      </c>
      <c r="J1296">
        <v>409</v>
      </c>
      <c r="M1296" t="s">
        <v>1413</v>
      </c>
    </row>
    <row r="1297" spans="1:13" ht="15" customHeight="1">
      <c r="A1297" s="10">
        <v>46181</v>
      </c>
      <c r="B1297" t="s">
        <v>1</v>
      </c>
      <c r="C1297" t="s">
        <v>75</v>
      </c>
      <c r="D1297">
        <v>1</v>
      </c>
      <c r="E1297">
        <v>75</v>
      </c>
      <c r="I1297">
        <v>1</v>
      </c>
      <c r="J1297">
        <v>265</v>
      </c>
      <c r="M1297" t="s">
        <v>1414</v>
      </c>
    </row>
    <row r="1298" spans="1:13" ht="15" customHeight="1">
      <c r="A1298" s="10">
        <v>46181</v>
      </c>
      <c r="B1298" t="s">
        <v>1</v>
      </c>
      <c r="C1298" t="s">
        <v>77</v>
      </c>
      <c r="D1298">
        <v>0</v>
      </c>
      <c r="E1298">
        <v>961</v>
      </c>
      <c r="I1298">
        <v>0</v>
      </c>
      <c r="J1298">
        <v>961</v>
      </c>
      <c r="M1298" t="s">
        <v>1415</v>
      </c>
    </row>
    <row r="1299" spans="1:13" ht="15" customHeight="1">
      <c r="A1299" s="10">
        <v>46181</v>
      </c>
      <c r="B1299" t="s">
        <v>1</v>
      </c>
      <c r="C1299" t="s">
        <v>79</v>
      </c>
      <c r="D1299">
        <v>1</v>
      </c>
      <c r="E1299">
        <v>1075</v>
      </c>
      <c r="I1299">
        <v>1</v>
      </c>
      <c r="J1299">
        <v>754</v>
      </c>
      <c r="M1299" t="s">
        <v>1416</v>
      </c>
    </row>
    <row r="1300" spans="1:13" ht="15" customHeight="1">
      <c r="A1300" s="10">
        <v>46181</v>
      </c>
      <c r="B1300" t="s">
        <v>1</v>
      </c>
      <c r="C1300" t="s">
        <v>81</v>
      </c>
      <c r="D1300">
        <v>1</v>
      </c>
      <c r="E1300">
        <v>394</v>
      </c>
      <c r="I1300">
        <v>1</v>
      </c>
      <c r="J1300">
        <v>394</v>
      </c>
      <c r="M1300" t="s">
        <v>1417</v>
      </c>
    </row>
    <row r="1301" spans="1:13" ht="15" customHeight="1">
      <c r="A1301" s="10">
        <v>46181</v>
      </c>
      <c r="B1301" t="s">
        <v>1</v>
      </c>
      <c r="C1301" t="s">
        <v>83</v>
      </c>
      <c r="D1301">
        <v>1</v>
      </c>
      <c r="E1301">
        <v>342</v>
      </c>
      <c r="I1301">
        <v>1</v>
      </c>
      <c r="J1301">
        <v>342</v>
      </c>
      <c r="M1301" t="s">
        <v>1418</v>
      </c>
    </row>
    <row r="1302" spans="1:13" ht="15" customHeight="1">
      <c r="A1302" s="10">
        <v>46181</v>
      </c>
      <c r="B1302" t="s">
        <v>1</v>
      </c>
      <c r="C1302" t="s">
        <v>84</v>
      </c>
      <c r="D1302">
        <v>0</v>
      </c>
      <c r="E1302">
        <v>312</v>
      </c>
      <c r="I1302">
        <v>0</v>
      </c>
      <c r="J1302">
        <v>312</v>
      </c>
      <c r="M1302" t="s">
        <v>1419</v>
      </c>
    </row>
    <row r="1303" spans="1:13" ht="15" customHeight="1">
      <c r="A1303" s="10">
        <v>46181</v>
      </c>
      <c r="B1303" t="s">
        <v>1</v>
      </c>
      <c r="C1303" t="s">
        <v>85</v>
      </c>
      <c r="D1303">
        <v>0</v>
      </c>
      <c r="E1303">
        <v>170</v>
      </c>
      <c r="I1303">
        <v>0</v>
      </c>
      <c r="J1303">
        <v>170</v>
      </c>
      <c r="M1303" t="s">
        <v>1420</v>
      </c>
    </row>
    <row r="1304" spans="1:13" ht="15" customHeight="1">
      <c r="A1304" s="10">
        <v>46181</v>
      </c>
      <c r="B1304" t="s">
        <v>1</v>
      </c>
      <c r="C1304" t="s">
        <v>87</v>
      </c>
      <c r="D1304">
        <v>2</v>
      </c>
      <c r="E1304">
        <v>175</v>
      </c>
      <c r="I1304">
        <v>2</v>
      </c>
      <c r="J1304">
        <v>173</v>
      </c>
      <c r="M1304" t="s">
        <v>1421</v>
      </c>
    </row>
    <row r="1305" spans="1:13" ht="15" customHeight="1">
      <c r="A1305" s="10">
        <v>46181</v>
      </c>
      <c r="B1305" t="s">
        <v>1</v>
      </c>
      <c r="C1305" t="s">
        <v>88</v>
      </c>
      <c r="D1305">
        <v>1</v>
      </c>
      <c r="E1305">
        <v>270</v>
      </c>
      <c r="I1305">
        <v>1</v>
      </c>
      <c r="J1305">
        <v>268</v>
      </c>
      <c r="M1305" t="s">
        <v>1422</v>
      </c>
    </row>
    <row r="1306" spans="1:13" ht="15" customHeight="1">
      <c r="A1306" s="10">
        <v>46181</v>
      </c>
      <c r="B1306" t="s">
        <v>1</v>
      </c>
      <c r="C1306" t="s">
        <v>89</v>
      </c>
      <c r="D1306">
        <v>1</v>
      </c>
      <c r="E1306">
        <v>360</v>
      </c>
      <c r="I1306">
        <v>1</v>
      </c>
      <c r="J1306">
        <v>357</v>
      </c>
      <c r="M1306" t="s">
        <v>1423</v>
      </c>
    </row>
    <row r="1307" spans="1:13" ht="15" customHeight="1">
      <c r="A1307" s="10">
        <v>46181</v>
      </c>
      <c r="B1307" t="s">
        <v>1</v>
      </c>
      <c r="C1307" t="s">
        <v>90</v>
      </c>
      <c r="D1307">
        <v>1</v>
      </c>
      <c r="E1307">
        <v>970</v>
      </c>
      <c r="I1307">
        <v>1</v>
      </c>
      <c r="J1307">
        <v>970</v>
      </c>
      <c r="M1307" t="s">
        <v>1424</v>
      </c>
    </row>
    <row r="1308" spans="1:13" ht="15" customHeight="1">
      <c r="A1308" s="10">
        <v>46181</v>
      </c>
      <c r="B1308" t="s">
        <v>1</v>
      </c>
      <c r="C1308" t="s">
        <v>92</v>
      </c>
      <c r="D1308">
        <v>1</v>
      </c>
      <c r="E1308">
        <v>841</v>
      </c>
      <c r="I1308">
        <v>1</v>
      </c>
      <c r="J1308">
        <v>841</v>
      </c>
      <c r="M1308" t="s">
        <v>1425</v>
      </c>
    </row>
    <row r="1309" spans="1:13" ht="15" customHeight="1">
      <c r="A1309" s="10">
        <v>46181</v>
      </c>
      <c r="B1309" t="s">
        <v>1</v>
      </c>
      <c r="C1309" t="s">
        <v>94</v>
      </c>
      <c r="D1309">
        <v>3</v>
      </c>
      <c r="E1309">
        <v>45</v>
      </c>
      <c r="I1309">
        <v>2</v>
      </c>
      <c r="J1309">
        <v>145</v>
      </c>
      <c r="M1309" t="s">
        <v>1426</v>
      </c>
    </row>
    <row r="1310" spans="1:13" ht="15" customHeight="1">
      <c r="A1310" s="10">
        <v>46181</v>
      </c>
      <c r="B1310" t="s">
        <v>1</v>
      </c>
      <c r="C1310" t="s">
        <v>96</v>
      </c>
      <c r="D1310">
        <v>0</v>
      </c>
      <c r="E1310">
        <v>0</v>
      </c>
      <c r="I1310">
        <v>0</v>
      </c>
      <c r="M1310" t="s">
        <v>1427</v>
      </c>
    </row>
    <row r="1311" spans="1:13" ht="15" customHeight="1">
      <c r="A1311" s="10">
        <v>46181</v>
      </c>
      <c r="B1311" t="s">
        <v>1</v>
      </c>
      <c r="C1311" t="s">
        <v>98</v>
      </c>
      <c r="D1311">
        <v>0</v>
      </c>
      <c r="E1311">
        <v>0</v>
      </c>
      <c r="I1311">
        <v>0</v>
      </c>
      <c r="M1311" t="s">
        <v>1428</v>
      </c>
    </row>
    <row r="1312" spans="1:13" ht="15" customHeight="1">
      <c r="A1312" s="10">
        <v>46181</v>
      </c>
      <c r="B1312" t="s">
        <v>1</v>
      </c>
      <c r="C1312" t="s">
        <v>203</v>
      </c>
      <c r="D1312">
        <v>2</v>
      </c>
      <c r="E1312">
        <v>0</v>
      </c>
      <c r="I1312">
        <v>2</v>
      </c>
      <c r="J1312">
        <v>86</v>
      </c>
      <c r="M1312" t="s">
        <v>1429</v>
      </c>
    </row>
    <row r="1313" spans="1:13" ht="15" customHeight="1">
      <c r="A1313" s="10">
        <v>46181</v>
      </c>
      <c r="B1313" t="s">
        <v>1</v>
      </c>
      <c r="C1313" t="s">
        <v>100</v>
      </c>
      <c r="D1313">
        <v>2</v>
      </c>
      <c r="E1313">
        <v>400</v>
      </c>
      <c r="I1313">
        <v>2</v>
      </c>
      <c r="M1313" t="s">
        <v>1430</v>
      </c>
    </row>
    <row r="1314" spans="1:13" ht="15" customHeight="1">
      <c r="A1314" s="10">
        <v>46181</v>
      </c>
      <c r="B1314" t="s">
        <v>1</v>
      </c>
      <c r="C1314" t="s">
        <v>101</v>
      </c>
      <c r="D1314">
        <v>0</v>
      </c>
      <c r="E1314">
        <v>538</v>
      </c>
      <c r="I1314">
        <v>0</v>
      </c>
      <c r="J1314">
        <v>317</v>
      </c>
      <c r="M1314" t="s">
        <v>1431</v>
      </c>
    </row>
    <row r="1315" spans="1:13" ht="15" customHeight="1">
      <c r="A1315" s="10">
        <v>46181</v>
      </c>
      <c r="B1315" t="s">
        <v>1</v>
      </c>
      <c r="C1315" t="s">
        <v>103</v>
      </c>
      <c r="D1315">
        <v>0</v>
      </c>
      <c r="E1315">
        <v>0</v>
      </c>
      <c r="G1315">
        <v>12</v>
      </c>
      <c r="I1315">
        <v>0</v>
      </c>
      <c r="J1315">
        <v>8</v>
      </c>
      <c r="M1315" t="s">
        <v>1432</v>
      </c>
    </row>
    <row r="1316" spans="1:13" ht="15" customHeight="1">
      <c r="A1316" s="10">
        <v>46181</v>
      </c>
      <c r="B1316" t="s">
        <v>1</v>
      </c>
      <c r="C1316" t="s">
        <v>106</v>
      </c>
      <c r="D1316">
        <v>1</v>
      </c>
      <c r="E1316">
        <v>297</v>
      </c>
      <c r="I1316">
        <v>1</v>
      </c>
      <c r="J1316">
        <v>189</v>
      </c>
      <c r="M1316" t="s">
        <v>1433</v>
      </c>
    </row>
    <row r="1317" spans="1:13" ht="15" customHeight="1">
      <c r="A1317" s="10">
        <v>46181</v>
      </c>
      <c r="B1317" t="s">
        <v>1</v>
      </c>
      <c r="C1317" t="s">
        <v>108</v>
      </c>
      <c r="D1317">
        <v>1</v>
      </c>
      <c r="E1317">
        <v>371</v>
      </c>
      <c r="I1317">
        <v>1</v>
      </c>
      <c r="J1317">
        <v>414</v>
      </c>
      <c r="M1317" t="s">
        <v>1434</v>
      </c>
    </row>
    <row r="1318" spans="1:13" ht="15" customHeight="1">
      <c r="A1318" s="10">
        <v>46181</v>
      </c>
      <c r="B1318" t="s">
        <v>1</v>
      </c>
      <c r="C1318" t="s">
        <v>109</v>
      </c>
      <c r="D1318">
        <v>1</v>
      </c>
      <c r="E1318">
        <v>321</v>
      </c>
      <c r="I1318">
        <v>1</v>
      </c>
      <c r="J1318">
        <v>1134</v>
      </c>
      <c r="M1318" t="s">
        <v>1435</v>
      </c>
    </row>
    <row r="1319" spans="1:13" ht="15" customHeight="1">
      <c r="A1319" s="10">
        <v>46181</v>
      </c>
      <c r="B1319" t="s">
        <v>1</v>
      </c>
      <c r="C1319" t="s">
        <v>112</v>
      </c>
      <c r="D1319">
        <v>1</v>
      </c>
      <c r="E1319">
        <v>26</v>
      </c>
      <c r="I1319">
        <v>1</v>
      </c>
      <c r="J1319">
        <v>23</v>
      </c>
      <c r="M1319" t="s">
        <v>1436</v>
      </c>
    </row>
    <row r="1320" spans="1:13" ht="15" customHeight="1">
      <c r="A1320" s="10">
        <v>46181</v>
      </c>
      <c r="B1320" t="s">
        <v>1</v>
      </c>
      <c r="C1320" t="s">
        <v>114</v>
      </c>
      <c r="D1320">
        <v>2</v>
      </c>
      <c r="E1320">
        <v>27</v>
      </c>
      <c r="I1320">
        <v>2</v>
      </c>
      <c r="J1320">
        <v>17</v>
      </c>
      <c r="M1320" t="s">
        <v>1437</v>
      </c>
    </row>
    <row r="1321" spans="1:13" ht="15" customHeight="1">
      <c r="A1321" s="10">
        <v>46181</v>
      </c>
      <c r="B1321" t="s">
        <v>1</v>
      </c>
      <c r="C1321" t="s">
        <v>115</v>
      </c>
      <c r="D1321">
        <v>1</v>
      </c>
      <c r="E1321">
        <v>24</v>
      </c>
      <c r="I1321">
        <v>1</v>
      </c>
      <c r="J1321">
        <v>15</v>
      </c>
      <c r="M1321" t="s">
        <v>1438</v>
      </c>
    </row>
    <row r="1322" spans="1:13" ht="15" customHeight="1">
      <c r="A1322" s="10">
        <v>46181</v>
      </c>
      <c r="B1322" t="s">
        <v>1</v>
      </c>
      <c r="C1322" t="s">
        <v>116</v>
      </c>
      <c r="D1322">
        <v>3</v>
      </c>
      <c r="E1322">
        <v>6</v>
      </c>
      <c r="I1322">
        <v>2</v>
      </c>
      <c r="J1322">
        <v>48</v>
      </c>
      <c r="M1322" t="s">
        <v>1439</v>
      </c>
    </row>
    <row r="1323" spans="1:13" ht="15" customHeight="1">
      <c r="A1323" s="10">
        <v>46181</v>
      </c>
      <c r="B1323" t="s">
        <v>1</v>
      </c>
      <c r="C1323" t="s">
        <v>119</v>
      </c>
      <c r="D1323">
        <v>2</v>
      </c>
      <c r="E1323">
        <v>0</v>
      </c>
      <c r="I1323">
        <v>2</v>
      </c>
      <c r="M1323" t="s">
        <v>1440</v>
      </c>
    </row>
    <row r="1324" spans="1:13" ht="15" customHeight="1">
      <c r="A1324" s="10">
        <v>46181</v>
      </c>
      <c r="B1324" t="s">
        <v>1</v>
      </c>
      <c r="C1324" t="s">
        <v>120</v>
      </c>
      <c r="D1324">
        <v>1</v>
      </c>
      <c r="E1324">
        <v>0</v>
      </c>
      <c r="I1324">
        <v>1</v>
      </c>
      <c r="M1324" t="s">
        <v>1441</v>
      </c>
    </row>
    <row r="1325" spans="1:13" ht="15" customHeight="1">
      <c r="A1325" s="10">
        <v>46181</v>
      </c>
      <c r="B1325" t="s">
        <v>1</v>
      </c>
      <c r="C1325" t="s">
        <v>121</v>
      </c>
      <c r="D1325">
        <v>2</v>
      </c>
      <c r="E1325">
        <v>0</v>
      </c>
      <c r="I1325">
        <v>1</v>
      </c>
      <c r="M1325" t="s">
        <v>1442</v>
      </c>
    </row>
    <row r="1326" spans="1:13" ht="15" customHeight="1">
      <c r="A1326" s="10">
        <v>46181</v>
      </c>
      <c r="B1326" t="s">
        <v>1</v>
      </c>
      <c r="C1326" t="s">
        <v>123</v>
      </c>
      <c r="D1326">
        <v>2</v>
      </c>
      <c r="E1326">
        <v>0</v>
      </c>
      <c r="I1326">
        <v>2</v>
      </c>
      <c r="M1326" t="s">
        <v>1443</v>
      </c>
    </row>
    <row r="1327" spans="1:13" ht="15" customHeight="1">
      <c r="A1327" s="10">
        <v>46181</v>
      </c>
      <c r="B1327" t="s">
        <v>1</v>
      </c>
      <c r="C1327" t="s">
        <v>124</v>
      </c>
      <c r="D1327">
        <v>3</v>
      </c>
      <c r="E1327">
        <v>0</v>
      </c>
      <c r="I1327">
        <v>2</v>
      </c>
      <c r="M1327" t="s">
        <v>1444</v>
      </c>
    </row>
    <row r="1328" spans="1:13" ht="15" customHeight="1">
      <c r="A1328" s="10">
        <v>46181</v>
      </c>
      <c r="B1328" t="s">
        <v>1</v>
      </c>
      <c r="C1328" t="s">
        <v>125</v>
      </c>
      <c r="D1328">
        <v>2</v>
      </c>
      <c r="E1328">
        <v>0</v>
      </c>
      <c r="I1328">
        <v>2</v>
      </c>
      <c r="M1328" t="s">
        <v>1445</v>
      </c>
    </row>
    <row r="1329" spans="1:13" ht="15" customHeight="1">
      <c r="A1329" s="10">
        <v>46181</v>
      </c>
      <c r="B1329" t="s">
        <v>1</v>
      </c>
      <c r="C1329" t="s">
        <v>126</v>
      </c>
      <c r="D1329">
        <v>2</v>
      </c>
      <c r="E1329">
        <v>0</v>
      </c>
      <c r="I1329">
        <v>2</v>
      </c>
      <c r="M1329" t="s">
        <v>1446</v>
      </c>
    </row>
    <row r="1330" spans="1:13" ht="15" customHeight="1">
      <c r="A1330" s="10">
        <v>46181</v>
      </c>
      <c r="B1330" t="s">
        <v>1</v>
      </c>
      <c r="C1330" t="s">
        <v>128</v>
      </c>
      <c r="D1330">
        <v>1</v>
      </c>
      <c r="E1330">
        <v>0</v>
      </c>
      <c r="I1330">
        <v>1</v>
      </c>
      <c r="M1330" t="s">
        <v>1447</v>
      </c>
    </row>
    <row r="1331" spans="1:13" ht="15" customHeight="1">
      <c r="A1331" s="10">
        <v>46181</v>
      </c>
      <c r="B1331" t="s">
        <v>1</v>
      </c>
      <c r="C1331" t="s">
        <v>130</v>
      </c>
      <c r="D1331">
        <v>4</v>
      </c>
      <c r="E1331">
        <v>0</v>
      </c>
      <c r="I1331">
        <v>4</v>
      </c>
      <c r="M1331" t="s">
        <v>1448</v>
      </c>
    </row>
    <row r="1332" spans="1:13" ht="15" customHeight="1">
      <c r="A1332" s="10">
        <v>46181</v>
      </c>
      <c r="B1332" t="s">
        <v>1</v>
      </c>
      <c r="C1332" t="s">
        <v>285</v>
      </c>
      <c r="D1332">
        <v>2</v>
      </c>
      <c r="E1332">
        <v>0</v>
      </c>
      <c r="I1332">
        <v>2</v>
      </c>
      <c r="M1332" t="s">
        <v>1449</v>
      </c>
    </row>
    <row r="1333" spans="1:13" ht="15" customHeight="1">
      <c r="A1333" s="10">
        <v>46181</v>
      </c>
      <c r="B1333" t="s">
        <v>1</v>
      </c>
      <c r="C1333" t="s">
        <v>287</v>
      </c>
      <c r="D1333">
        <v>2</v>
      </c>
      <c r="E1333">
        <v>0</v>
      </c>
      <c r="I1333">
        <v>2</v>
      </c>
      <c r="M1333" t="s">
        <v>1450</v>
      </c>
    </row>
    <row r="1334" spans="1:13" ht="15" customHeight="1">
      <c r="A1334" s="10">
        <v>46181</v>
      </c>
      <c r="B1334" t="s">
        <v>1</v>
      </c>
      <c r="C1334" t="s">
        <v>289</v>
      </c>
      <c r="D1334">
        <v>2</v>
      </c>
      <c r="E1334">
        <v>0</v>
      </c>
      <c r="I1334">
        <v>2</v>
      </c>
      <c r="M1334" t="s">
        <v>1451</v>
      </c>
    </row>
    <row r="1335" spans="1:13" ht="15" customHeight="1">
      <c r="A1335" s="10">
        <v>46181</v>
      </c>
      <c r="B1335" t="s">
        <v>1</v>
      </c>
      <c r="C1335" t="s">
        <v>291</v>
      </c>
      <c r="D1335">
        <v>2</v>
      </c>
      <c r="E1335">
        <v>0</v>
      </c>
      <c r="I1335">
        <v>2</v>
      </c>
      <c r="M1335" t="s">
        <v>1452</v>
      </c>
    </row>
    <row r="1336" spans="1:13" ht="15" customHeight="1">
      <c r="A1336" s="10">
        <v>46181</v>
      </c>
      <c r="B1336" t="s">
        <v>1</v>
      </c>
      <c r="C1336" t="s">
        <v>293</v>
      </c>
      <c r="D1336">
        <v>2</v>
      </c>
      <c r="E1336">
        <v>0</v>
      </c>
      <c r="I1336">
        <v>2</v>
      </c>
      <c r="M1336" t="s">
        <v>1453</v>
      </c>
    </row>
    <row r="1337" spans="1:13" ht="15" customHeight="1">
      <c r="A1337" s="10">
        <v>46181</v>
      </c>
      <c r="B1337" t="s">
        <v>1</v>
      </c>
      <c r="C1337" s="135" t="s">
        <v>138</v>
      </c>
      <c r="D1337">
        <v>0</v>
      </c>
      <c r="E1337">
        <v>44</v>
      </c>
      <c r="I1337">
        <v>0</v>
      </c>
      <c r="J1337">
        <v>40</v>
      </c>
      <c r="M1337" t="s">
        <v>1454</v>
      </c>
    </row>
    <row r="1338" spans="1:13" ht="15" customHeight="1">
      <c r="A1338" s="10">
        <v>46181</v>
      </c>
      <c r="B1338" t="s">
        <v>1</v>
      </c>
      <c r="C1338" s="135" t="s">
        <v>139</v>
      </c>
      <c r="D1338">
        <v>0</v>
      </c>
      <c r="E1338">
        <v>35</v>
      </c>
      <c r="I1338">
        <v>0</v>
      </c>
      <c r="J1338">
        <v>34</v>
      </c>
      <c r="M1338" t="s">
        <v>1455</v>
      </c>
    </row>
    <row r="1339" spans="1:13" ht="15" customHeight="1">
      <c r="A1339" s="10">
        <v>46181</v>
      </c>
      <c r="B1339" t="s">
        <v>1</v>
      </c>
      <c r="C1339" s="135" t="s">
        <v>140</v>
      </c>
      <c r="D1339">
        <v>0</v>
      </c>
      <c r="E1339">
        <v>30</v>
      </c>
      <c r="I1339">
        <v>0</v>
      </c>
      <c r="J1339">
        <v>29</v>
      </c>
      <c r="M1339" t="s">
        <v>1456</v>
      </c>
    </row>
    <row r="1340" spans="1:13" ht="15" customHeight="1">
      <c r="A1340" s="10">
        <v>46181</v>
      </c>
      <c r="B1340" t="s">
        <v>1</v>
      </c>
      <c r="C1340" s="135" t="s">
        <v>143</v>
      </c>
      <c r="D1340">
        <v>0</v>
      </c>
      <c r="E1340">
        <v>37</v>
      </c>
      <c r="I1340">
        <v>0</v>
      </c>
      <c r="J1340">
        <v>37</v>
      </c>
      <c r="M1340" t="s">
        <v>1457</v>
      </c>
    </row>
    <row r="1341" spans="1:13" ht="15" customHeight="1">
      <c r="A1341" s="10">
        <v>46181</v>
      </c>
      <c r="B1341" t="s">
        <v>1</v>
      </c>
      <c r="C1341" s="135" t="s">
        <v>145</v>
      </c>
      <c r="D1341">
        <v>0</v>
      </c>
      <c r="E1341">
        <v>20</v>
      </c>
      <c r="I1341">
        <v>0</v>
      </c>
      <c r="J1341">
        <v>40</v>
      </c>
      <c r="M1341" t="s">
        <v>1458</v>
      </c>
    </row>
    <row r="1342" spans="1:13" ht="15" customHeight="1">
      <c r="A1342" s="10">
        <v>46181</v>
      </c>
      <c r="B1342" t="s">
        <v>1</v>
      </c>
      <c r="C1342" s="135" t="s">
        <v>147</v>
      </c>
      <c r="D1342">
        <v>0</v>
      </c>
      <c r="E1342">
        <v>34</v>
      </c>
      <c r="I1342">
        <v>0</v>
      </c>
      <c r="J1342">
        <v>34</v>
      </c>
      <c r="M1342" t="s">
        <v>1459</v>
      </c>
    </row>
    <row r="1343" spans="1:13" ht="15" customHeight="1">
      <c r="A1343" s="10">
        <v>46181</v>
      </c>
      <c r="B1343" t="s">
        <v>1</v>
      </c>
      <c r="C1343" t="s">
        <v>302</v>
      </c>
      <c r="D1343">
        <v>2</v>
      </c>
      <c r="E1343">
        <v>0</v>
      </c>
      <c r="I1343">
        <v>2</v>
      </c>
      <c r="M1343" t="s">
        <v>1460</v>
      </c>
    </row>
    <row r="1344" spans="1:13" ht="15" customHeight="1">
      <c r="A1344" s="10">
        <v>46181</v>
      </c>
      <c r="B1344" t="s">
        <v>1</v>
      </c>
      <c r="C1344" t="s">
        <v>150</v>
      </c>
      <c r="D1344">
        <v>2</v>
      </c>
      <c r="E1344">
        <v>0</v>
      </c>
      <c r="I1344">
        <v>2</v>
      </c>
      <c r="M1344" t="s">
        <v>1461</v>
      </c>
    </row>
    <row r="1345" spans="1:13" ht="15" customHeight="1">
      <c r="A1345" s="10">
        <v>46181</v>
      </c>
      <c r="B1345" t="s">
        <v>1</v>
      </c>
      <c r="C1345" t="s">
        <v>151</v>
      </c>
      <c r="D1345">
        <v>2</v>
      </c>
      <c r="E1345">
        <v>0</v>
      </c>
      <c r="I1345">
        <v>2</v>
      </c>
      <c r="M1345" t="s">
        <v>1462</v>
      </c>
    </row>
    <row r="1346" spans="1:13" ht="15" customHeight="1">
      <c r="A1346" s="10">
        <v>46181</v>
      </c>
      <c r="B1346" t="s">
        <v>1</v>
      </c>
      <c r="C1346" t="s">
        <v>152</v>
      </c>
      <c r="D1346">
        <v>2</v>
      </c>
      <c r="E1346">
        <v>0</v>
      </c>
      <c r="I1346">
        <v>2</v>
      </c>
      <c r="M1346" t="s">
        <v>1463</v>
      </c>
    </row>
    <row r="1347" spans="1:13" ht="15" customHeight="1">
      <c r="A1347" s="10">
        <v>46181</v>
      </c>
      <c r="B1347" t="s">
        <v>1</v>
      </c>
      <c r="C1347" t="s">
        <v>153</v>
      </c>
      <c r="D1347">
        <v>2</v>
      </c>
      <c r="E1347">
        <v>0</v>
      </c>
      <c r="I1347">
        <v>2</v>
      </c>
      <c r="M1347" t="s">
        <v>1464</v>
      </c>
    </row>
    <row r="1348" spans="1:13" ht="15" customHeight="1">
      <c r="A1348" s="10">
        <v>46181</v>
      </c>
      <c r="B1348" t="s">
        <v>1</v>
      </c>
      <c r="C1348" t="s">
        <v>308</v>
      </c>
      <c r="D1348">
        <v>0</v>
      </c>
      <c r="E1348">
        <v>5</v>
      </c>
      <c r="I1348">
        <v>0</v>
      </c>
      <c r="J1348">
        <v>5</v>
      </c>
      <c r="M1348" t="s">
        <v>1465</v>
      </c>
    </row>
    <row r="1349" spans="1:13" ht="15" customHeight="1">
      <c r="A1349" s="10">
        <v>46181</v>
      </c>
      <c r="B1349" t="s">
        <v>1</v>
      </c>
      <c r="C1349" t="s">
        <v>310</v>
      </c>
      <c r="D1349">
        <v>0</v>
      </c>
      <c r="E1349">
        <v>2</v>
      </c>
      <c r="I1349">
        <v>0</v>
      </c>
      <c r="J1349">
        <v>2</v>
      </c>
      <c r="M1349" t="s">
        <v>1466</v>
      </c>
    </row>
    <row r="1350" spans="1:13" ht="15" customHeight="1">
      <c r="A1350" s="10">
        <v>46181</v>
      </c>
      <c r="B1350" t="s">
        <v>1</v>
      </c>
      <c r="C1350" t="s">
        <v>312</v>
      </c>
      <c r="D1350">
        <v>0</v>
      </c>
      <c r="E1350">
        <v>3</v>
      </c>
      <c r="I1350">
        <v>0</v>
      </c>
      <c r="J1350">
        <v>3</v>
      </c>
      <c r="M1350" t="s">
        <v>1467</v>
      </c>
    </row>
    <row r="1351" spans="1:13" ht="15" customHeight="1">
      <c r="A1351" s="10">
        <v>46181</v>
      </c>
      <c r="B1351" t="s">
        <v>1</v>
      </c>
      <c r="C1351" t="s">
        <v>314</v>
      </c>
      <c r="D1351">
        <v>1</v>
      </c>
      <c r="E1351">
        <v>0</v>
      </c>
      <c r="I1351">
        <v>1</v>
      </c>
      <c r="M1351" t="s">
        <v>1468</v>
      </c>
    </row>
    <row r="1352" spans="1:13" ht="15" customHeight="1">
      <c r="A1352" s="10">
        <v>46181</v>
      </c>
      <c r="B1352" t="s">
        <v>1</v>
      </c>
      <c r="C1352" t="s">
        <v>316</v>
      </c>
      <c r="D1352">
        <v>1</v>
      </c>
      <c r="E1352">
        <v>0</v>
      </c>
      <c r="I1352">
        <v>1</v>
      </c>
      <c r="M1352" t="s">
        <v>1469</v>
      </c>
    </row>
    <row r="1353" spans="1:13" ht="15" customHeight="1">
      <c r="A1353" s="10">
        <v>46181</v>
      </c>
      <c r="B1353" t="s">
        <v>1</v>
      </c>
      <c r="C1353" t="s">
        <v>318</v>
      </c>
      <c r="D1353">
        <v>2</v>
      </c>
      <c r="E1353">
        <v>0</v>
      </c>
      <c r="I1353">
        <v>2</v>
      </c>
      <c r="M1353" t="s">
        <v>1470</v>
      </c>
    </row>
    <row r="1354" spans="1:13" ht="15" customHeight="1">
      <c r="A1354" s="10">
        <v>46181</v>
      </c>
      <c r="B1354" t="s">
        <v>1</v>
      </c>
      <c r="C1354" t="s">
        <v>320</v>
      </c>
      <c r="D1354">
        <v>3</v>
      </c>
      <c r="E1354">
        <v>0</v>
      </c>
      <c r="I1354">
        <v>3</v>
      </c>
      <c r="M1354" t="s">
        <v>1471</v>
      </c>
    </row>
    <row r="1355" spans="1:13" ht="15" customHeight="1">
      <c r="A1355" s="10">
        <v>46181</v>
      </c>
      <c r="B1355" t="s">
        <v>1</v>
      </c>
      <c r="C1355" s="135" t="s">
        <v>168</v>
      </c>
      <c r="D1355">
        <v>1</v>
      </c>
      <c r="E1355">
        <v>0</v>
      </c>
      <c r="I1355">
        <v>1</v>
      </c>
      <c r="M1355" t="s">
        <v>1472</v>
      </c>
    </row>
    <row r="1356" spans="1:13" ht="15" customHeight="1">
      <c r="A1356" s="10">
        <v>46181</v>
      </c>
      <c r="B1356" t="s">
        <v>1</v>
      </c>
      <c r="C1356" s="135" t="s">
        <v>170</v>
      </c>
      <c r="D1356">
        <v>1</v>
      </c>
      <c r="E1356">
        <v>0</v>
      </c>
      <c r="I1356">
        <v>1</v>
      </c>
      <c r="M1356" t="s">
        <v>1473</v>
      </c>
    </row>
    <row r="1357" spans="1:13" ht="15" customHeight="1">
      <c r="A1357" s="10">
        <v>46181</v>
      </c>
      <c r="B1357" t="s">
        <v>1</v>
      </c>
      <c r="C1357" s="135" t="s">
        <v>171</v>
      </c>
      <c r="D1357">
        <v>2</v>
      </c>
      <c r="E1357">
        <v>0</v>
      </c>
      <c r="I1357">
        <v>2</v>
      </c>
      <c r="M1357" t="s">
        <v>1474</v>
      </c>
    </row>
    <row r="1358" spans="1:13" ht="15" customHeight="1">
      <c r="A1358" s="10">
        <v>46181</v>
      </c>
      <c r="B1358" t="s">
        <v>1</v>
      </c>
      <c r="C1358" s="135" t="s">
        <v>172</v>
      </c>
      <c r="D1358">
        <v>1</v>
      </c>
      <c r="E1358">
        <v>0</v>
      </c>
      <c r="I1358">
        <v>1</v>
      </c>
      <c r="M1358" t="s">
        <v>1475</v>
      </c>
    </row>
    <row r="1359" spans="1:13" ht="15" customHeight="1">
      <c r="A1359" s="10">
        <v>46181</v>
      </c>
      <c r="B1359" t="s">
        <v>1</v>
      </c>
      <c r="C1359" t="s">
        <v>176</v>
      </c>
      <c r="D1359">
        <v>0</v>
      </c>
      <c r="E1359">
        <v>18</v>
      </c>
      <c r="H1359">
        <v>1</v>
      </c>
      <c r="I1359">
        <v>0</v>
      </c>
      <c r="J1359">
        <v>17</v>
      </c>
      <c r="M1359" t="s">
        <v>1476</v>
      </c>
    </row>
    <row r="1360" spans="1:13" ht="15" customHeight="1">
      <c r="A1360" s="10">
        <v>46181</v>
      </c>
      <c r="B1360" t="s">
        <v>1</v>
      </c>
      <c r="C1360" t="s">
        <v>178</v>
      </c>
      <c r="D1360">
        <v>0</v>
      </c>
      <c r="E1360">
        <v>14</v>
      </c>
      <c r="H1360">
        <v>1</v>
      </c>
      <c r="I1360">
        <v>0</v>
      </c>
      <c r="J1360">
        <v>13</v>
      </c>
      <c r="M1360" t="s">
        <v>1477</v>
      </c>
    </row>
    <row r="1361" spans="1:13" ht="15" customHeight="1">
      <c r="A1361" s="10">
        <v>46181</v>
      </c>
      <c r="B1361" t="s">
        <v>1</v>
      </c>
      <c r="C1361" t="s">
        <v>179</v>
      </c>
      <c r="D1361">
        <v>0</v>
      </c>
      <c r="E1361">
        <v>19</v>
      </c>
      <c r="I1361">
        <v>0</v>
      </c>
      <c r="J1361">
        <v>19</v>
      </c>
      <c r="M1361" t="s">
        <v>1478</v>
      </c>
    </row>
    <row r="1362" spans="1:13" ht="15" customHeight="1">
      <c r="A1362" s="10">
        <v>46181</v>
      </c>
      <c r="B1362" t="s">
        <v>1</v>
      </c>
      <c r="C1362" t="s">
        <v>180</v>
      </c>
      <c r="D1362">
        <v>0</v>
      </c>
      <c r="E1362">
        <v>23</v>
      </c>
      <c r="I1362">
        <v>0</v>
      </c>
      <c r="J1362">
        <v>23</v>
      </c>
      <c r="M1362" t="s">
        <v>1479</v>
      </c>
    </row>
    <row r="1363" spans="1:13" ht="15" customHeight="1">
      <c r="A1363" s="10">
        <v>46181</v>
      </c>
      <c r="B1363" t="s">
        <v>1</v>
      </c>
      <c r="C1363" s="135" t="s">
        <v>182</v>
      </c>
      <c r="D1363">
        <v>0</v>
      </c>
      <c r="E1363">
        <v>293</v>
      </c>
      <c r="I1363">
        <v>0</v>
      </c>
      <c r="J1363">
        <v>281</v>
      </c>
      <c r="M1363" t="s">
        <v>1480</v>
      </c>
    </row>
    <row r="1364" spans="1:13" ht="15" customHeight="1">
      <c r="A1364" s="10">
        <v>46181</v>
      </c>
      <c r="B1364" t="s">
        <v>1</v>
      </c>
      <c r="C1364" s="135" t="s">
        <v>184</v>
      </c>
      <c r="D1364">
        <v>1</v>
      </c>
      <c r="E1364">
        <v>25</v>
      </c>
      <c r="I1364">
        <v>1</v>
      </c>
      <c r="J1364">
        <v>25</v>
      </c>
      <c r="M1364" t="s">
        <v>1481</v>
      </c>
    </row>
    <row r="1365" spans="1:13" ht="15" customHeight="1">
      <c r="A1365" s="10">
        <v>46181</v>
      </c>
      <c r="B1365" t="s">
        <v>1</v>
      </c>
      <c r="C1365" s="135" t="s">
        <v>185</v>
      </c>
      <c r="D1365">
        <v>1</v>
      </c>
      <c r="E1365">
        <v>45</v>
      </c>
      <c r="I1365">
        <v>1</v>
      </c>
      <c r="J1365">
        <v>45</v>
      </c>
      <c r="M1365" t="s">
        <v>1482</v>
      </c>
    </row>
    <row r="1366" spans="1:13" ht="15" customHeight="1">
      <c r="A1366" s="10">
        <v>46181</v>
      </c>
      <c r="B1366" t="s">
        <v>1</v>
      </c>
      <c r="C1366" s="135" t="s">
        <v>186</v>
      </c>
      <c r="D1366">
        <v>1</v>
      </c>
      <c r="E1366">
        <v>82</v>
      </c>
      <c r="I1366">
        <v>1</v>
      </c>
      <c r="J1366">
        <v>82</v>
      </c>
      <c r="M1366" t="s">
        <v>1483</v>
      </c>
    </row>
    <row r="1367" spans="1:13" ht="15" customHeight="1">
      <c r="A1367" s="10">
        <v>46181</v>
      </c>
      <c r="B1367" t="s">
        <v>1</v>
      </c>
      <c r="C1367" t="s">
        <v>337</v>
      </c>
      <c r="D1367">
        <v>2</v>
      </c>
      <c r="E1367">
        <v>55</v>
      </c>
      <c r="I1367">
        <v>1</v>
      </c>
      <c r="J1367">
        <v>402</v>
      </c>
      <c r="M1367" t="s">
        <v>1484</v>
      </c>
    </row>
    <row r="1368" spans="1:13" ht="15" customHeight="1">
      <c r="A1368" s="10">
        <v>46181</v>
      </c>
      <c r="B1368" t="s">
        <v>1</v>
      </c>
      <c r="C1368" s="135" t="s">
        <v>191</v>
      </c>
      <c r="D1368">
        <v>1</v>
      </c>
      <c r="E1368">
        <v>340</v>
      </c>
      <c r="I1368">
        <v>1</v>
      </c>
      <c r="J1368">
        <v>340</v>
      </c>
      <c r="M1368" t="s">
        <v>1485</v>
      </c>
    </row>
    <row r="1369" spans="1:13" ht="15" customHeight="1">
      <c r="A1369" s="10">
        <v>46181</v>
      </c>
      <c r="B1369" t="s">
        <v>1</v>
      </c>
      <c r="C1369" s="135" t="s">
        <v>193</v>
      </c>
      <c r="D1369">
        <v>1</v>
      </c>
      <c r="E1369">
        <v>446</v>
      </c>
      <c r="I1369">
        <v>1</v>
      </c>
      <c r="J1369">
        <v>466</v>
      </c>
      <c r="M1369" t="s">
        <v>1486</v>
      </c>
    </row>
    <row r="1370" spans="1:13" ht="15" customHeight="1">
      <c r="A1370" s="10">
        <v>46181</v>
      </c>
      <c r="B1370" t="s">
        <v>1</v>
      </c>
      <c r="C1370" s="135" t="s">
        <v>194</v>
      </c>
      <c r="D1370">
        <v>1</v>
      </c>
      <c r="E1370">
        <v>32</v>
      </c>
      <c r="I1370">
        <v>1</v>
      </c>
      <c r="J1370">
        <v>29</v>
      </c>
      <c r="M1370" t="s">
        <v>1487</v>
      </c>
    </row>
    <row r="1371" spans="1:13" ht="15" customHeight="1">
      <c r="A1371" s="10">
        <v>46181</v>
      </c>
      <c r="B1371" t="s">
        <v>1</v>
      </c>
      <c r="C1371" s="135" t="s">
        <v>196</v>
      </c>
      <c r="D1371">
        <v>1</v>
      </c>
      <c r="E1371">
        <v>120</v>
      </c>
      <c r="I1371">
        <v>1</v>
      </c>
      <c r="J1371">
        <v>98</v>
      </c>
      <c r="M1371" t="s">
        <v>1488</v>
      </c>
    </row>
    <row r="1372" spans="1:13" ht="15" customHeight="1">
      <c r="A1372" s="10">
        <v>46181</v>
      </c>
      <c r="B1372" t="s">
        <v>1</v>
      </c>
      <c r="C1372" t="s">
        <v>339</v>
      </c>
      <c r="I1372">
        <v>0</v>
      </c>
      <c r="J1372">
        <v>0</v>
      </c>
      <c r="M1372" t="s">
        <v>1489</v>
      </c>
    </row>
    <row r="1373" spans="1:13" ht="15" customHeight="1">
      <c r="A1373" s="10">
        <v>46182</v>
      </c>
      <c r="B1373" t="s">
        <v>1</v>
      </c>
      <c r="C1373" t="s">
        <v>23</v>
      </c>
      <c r="D1373">
        <v>5</v>
      </c>
      <c r="E1373">
        <v>116</v>
      </c>
      <c r="I1373">
        <v>3</v>
      </c>
      <c r="J1373">
        <v>815</v>
      </c>
      <c r="M1373" t="s">
        <v>1490</v>
      </c>
    </row>
    <row r="1374" spans="1:13" ht="15" customHeight="1">
      <c r="A1374" s="10">
        <v>46182</v>
      </c>
      <c r="B1374" t="s">
        <v>1</v>
      </c>
      <c r="C1374" t="s">
        <v>26</v>
      </c>
      <c r="D1374">
        <v>0</v>
      </c>
      <c r="E1374">
        <v>945</v>
      </c>
      <c r="I1374">
        <v>0</v>
      </c>
      <c r="J1374">
        <v>760</v>
      </c>
      <c r="M1374" t="s">
        <v>1491</v>
      </c>
    </row>
    <row r="1375" spans="1:13" ht="15" customHeight="1">
      <c r="A1375" s="10">
        <v>46182</v>
      </c>
      <c r="B1375" t="s">
        <v>1</v>
      </c>
      <c r="C1375" t="s">
        <v>27</v>
      </c>
      <c r="D1375">
        <v>1</v>
      </c>
      <c r="E1375">
        <v>531</v>
      </c>
      <c r="I1375">
        <v>1</v>
      </c>
      <c r="J1375">
        <v>527</v>
      </c>
      <c r="M1375" t="s">
        <v>1492</v>
      </c>
    </row>
    <row r="1376" spans="1:13" ht="15" customHeight="1">
      <c r="A1376" s="10">
        <v>46182</v>
      </c>
      <c r="B1376" t="s">
        <v>1</v>
      </c>
      <c r="C1376" t="s">
        <v>29</v>
      </c>
      <c r="D1376">
        <v>0</v>
      </c>
      <c r="E1376">
        <v>584</v>
      </c>
      <c r="I1376">
        <v>0</v>
      </c>
      <c r="J1376">
        <v>482</v>
      </c>
      <c r="M1376" t="s">
        <v>1493</v>
      </c>
    </row>
    <row r="1377" spans="1:13" ht="15" customHeight="1">
      <c r="A1377" s="10">
        <v>46182</v>
      </c>
      <c r="B1377" t="s">
        <v>1</v>
      </c>
      <c r="C1377" t="s">
        <v>30</v>
      </c>
      <c r="D1377">
        <v>1</v>
      </c>
      <c r="E1377">
        <v>674</v>
      </c>
      <c r="I1377">
        <v>1</v>
      </c>
      <c r="J1377">
        <v>670</v>
      </c>
      <c r="M1377" t="s">
        <v>1494</v>
      </c>
    </row>
    <row r="1378" spans="1:13" ht="15" customHeight="1">
      <c r="A1378" s="10">
        <v>46182</v>
      </c>
      <c r="B1378" t="s">
        <v>1</v>
      </c>
      <c r="C1378" t="s">
        <v>31</v>
      </c>
      <c r="D1378">
        <v>1</v>
      </c>
      <c r="E1378">
        <v>213</v>
      </c>
      <c r="I1378">
        <v>1</v>
      </c>
      <c r="J1378">
        <v>636</v>
      </c>
      <c r="M1378" t="s">
        <v>1495</v>
      </c>
    </row>
    <row r="1379" spans="1:13" ht="15" customHeight="1">
      <c r="A1379" s="10">
        <v>46182</v>
      </c>
      <c r="B1379" t="s">
        <v>1</v>
      </c>
      <c r="C1379" t="s">
        <v>32</v>
      </c>
      <c r="D1379">
        <v>1</v>
      </c>
      <c r="E1379">
        <v>771</v>
      </c>
      <c r="I1379">
        <v>1</v>
      </c>
      <c r="J1379">
        <v>548</v>
      </c>
      <c r="M1379" t="s">
        <v>1496</v>
      </c>
    </row>
    <row r="1380" spans="1:13" ht="15" customHeight="1">
      <c r="A1380" s="10">
        <v>46182</v>
      </c>
      <c r="B1380" t="s">
        <v>1</v>
      </c>
      <c r="C1380" t="s">
        <v>223</v>
      </c>
      <c r="D1380">
        <v>6</v>
      </c>
      <c r="E1380">
        <v>442</v>
      </c>
      <c r="I1380">
        <v>6</v>
      </c>
      <c r="J1380">
        <v>442</v>
      </c>
      <c r="M1380" t="s">
        <v>1497</v>
      </c>
    </row>
    <row r="1381" spans="1:13" ht="15" customHeight="1">
      <c r="A1381" s="10">
        <v>46182</v>
      </c>
      <c r="B1381" t="s">
        <v>1</v>
      </c>
      <c r="C1381" t="s">
        <v>35</v>
      </c>
      <c r="D1381">
        <v>7</v>
      </c>
      <c r="E1381">
        <v>0</v>
      </c>
      <c r="H1381">
        <v>1</v>
      </c>
      <c r="I1381">
        <v>6</v>
      </c>
      <c r="M1381" t="s">
        <v>1498</v>
      </c>
    </row>
    <row r="1382" spans="1:13" ht="15" customHeight="1">
      <c r="A1382" s="10">
        <v>46182</v>
      </c>
      <c r="B1382" t="s">
        <v>1</v>
      </c>
      <c r="C1382" t="s">
        <v>37</v>
      </c>
      <c r="D1382">
        <v>2</v>
      </c>
      <c r="E1382">
        <v>0</v>
      </c>
      <c r="I1382">
        <v>2</v>
      </c>
      <c r="M1382" t="s">
        <v>1499</v>
      </c>
    </row>
    <row r="1383" spans="1:13" ht="15" customHeight="1">
      <c r="A1383" s="10">
        <v>46182</v>
      </c>
      <c r="B1383" t="s">
        <v>1</v>
      </c>
      <c r="C1383" t="s">
        <v>39</v>
      </c>
      <c r="D1383">
        <v>10</v>
      </c>
      <c r="E1383">
        <v>0</v>
      </c>
      <c r="I1383">
        <v>10</v>
      </c>
      <c r="J1383">
        <v>0</v>
      </c>
      <c r="M1383" t="s">
        <v>1500</v>
      </c>
    </row>
    <row r="1384" spans="1:13" ht="15" customHeight="1">
      <c r="A1384" s="10">
        <v>46182</v>
      </c>
      <c r="B1384" t="s">
        <v>1</v>
      </c>
      <c r="C1384" t="s">
        <v>41</v>
      </c>
      <c r="D1384">
        <v>25</v>
      </c>
      <c r="E1384">
        <v>0</v>
      </c>
      <c r="H1384">
        <v>2</v>
      </c>
      <c r="I1384">
        <v>23</v>
      </c>
      <c r="J1384">
        <v>0</v>
      </c>
      <c r="M1384" t="s">
        <v>1501</v>
      </c>
    </row>
    <row r="1385" spans="1:13" ht="15" customHeight="1">
      <c r="A1385" s="10">
        <v>46182</v>
      </c>
      <c r="B1385" t="s">
        <v>1</v>
      </c>
      <c r="C1385" t="s">
        <v>232</v>
      </c>
      <c r="D1385">
        <v>20</v>
      </c>
      <c r="E1385">
        <v>0</v>
      </c>
      <c r="I1385">
        <v>20</v>
      </c>
      <c r="J1385">
        <v>0</v>
      </c>
      <c r="M1385" t="s">
        <v>1502</v>
      </c>
    </row>
    <row r="1386" spans="1:13" ht="15" customHeight="1">
      <c r="A1386" s="10">
        <v>46182</v>
      </c>
      <c r="B1386" t="s">
        <v>1</v>
      </c>
      <c r="C1386" t="s">
        <v>234</v>
      </c>
      <c r="D1386">
        <v>93</v>
      </c>
      <c r="E1386">
        <v>0</v>
      </c>
      <c r="I1386">
        <v>33</v>
      </c>
      <c r="J1386">
        <v>0</v>
      </c>
      <c r="K1386">
        <v>60</v>
      </c>
      <c r="M1386" t="s">
        <v>1503</v>
      </c>
    </row>
    <row r="1387" spans="1:13" ht="15" customHeight="1">
      <c r="A1387" s="10">
        <v>46182</v>
      </c>
      <c r="B1387" t="s">
        <v>1</v>
      </c>
      <c r="C1387" t="s">
        <v>237</v>
      </c>
      <c r="D1387">
        <v>10</v>
      </c>
      <c r="E1387">
        <v>0</v>
      </c>
      <c r="I1387">
        <v>10</v>
      </c>
      <c r="J1387">
        <v>0</v>
      </c>
      <c r="M1387" t="s">
        <v>1504</v>
      </c>
    </row>
    <row r="1388" spans="1:13" ht="15" customHeight="1">
      <c r="A1388" s="10">
        <v>46182</v>
      </c>
      <c r="B1388" t="s">
        <v>1</v>
      </c>
      <c r="C1388" s="135" t="s">
        <v>63</v>
      </c>
      <c r="D1388">
        <v>2</v>
      </c>
      <c r="E1388">
        <v>0</v>
      </c>
      <c r="H1388">
        <v>1</v>
      </c>
      <c r="I1388">
        <v>1</v>
      </c>
      <c r="J1388">
        <v>0</v>
      </c>
      <c r="M1388" t="s">
        <v>1505</v>
      </c>
    </row>
    <row r="1389" spans="1:13" ht="15" customHeight="1">
      <c r="A1389" s="10">
        <v>46182</v>
      </c>
      <c r="B1389" t="s">
        <v>1</v>
      </c>
      <c r="C1389" s="135" t="s">
        <v>64</v>
      </c>
      <c r="D1389">
        <v>3</v>
      </c>
      <c r="E1389">
        <v>0</v>
      </c>
      <c r="H1389">
        <v>1</v>
      </c>
      <c r="I1389">
        <v>2</v>
      </c>
      <c r="J1389">
        <v>0</v>
      </c>
      <c r="M1389" t="s">
        <v>1506</v>
      </c>
    </row>
    <row r="1390" spans="1:13" ht="15" customHeight="1">
      <c r="A1390" s="10">
        <v>46182</v>
      </c>
      <c r="B1390" t="s">
        <v>1</v>
      </c>
      <c r="C1390" t="s">
        <v>66</v>
      </c>
      <c r="D1390">
        <v>3</v>
      </c>
      <c r="E1390">
        <v>0</v>
      </c>
      <c r="I1390">
        <v>3</v>
      </c>
      <c r="J1390">
        <v>0</v>
      </c>
      <c r="M1390" t="s">
        <v>1507</v>
      </c>
    </row>
    <row r="1391" spans="1:13" ht="15" customHeight="1">
      <c r="A1391" s="10">
        <v>46182</v>
      </c>
      <c r="B1391" t="s">
        <v>1</v>
      </c>
      <c r="C1391" t="s">
        <v>67</v>
      </c>
      <c r="D1391">
        <v>6</v>
      </c>
      <c r="E1391">
        <v>0</v>
      </c>
      <c r="I1391">
        <v>6</v>
      </c>
      <c r="J1391">
        <v>0</v>
      </c>
      <c r="M1391" t="s">
        <v>1508</v>
      </c>
    </row>
    <row r="1392" spans="1:13" ht="15" customHeight="1">
      <c r="A1392" s="10">
        <v>46182</v>
      </c>
      <c r="B1392" t="s">
        <v>1</v>
      </c>
      <c r="C1392" t="s">
        <v>71</v>
      </c>
      <c r="D1392">
        <v>1</v>
      </c>
      <c r="E1392">
        <v>582</v>
      </c>
      <c r="I1392">
        <v>1</v>
      </c>
      <c r="J1392">
        <v>464</v>
      </c>
      <c r="M1392" t="s">
        <v>1509</v>
      </c>
    </row>
    <row r="1393" spans="1:13" ht="15" customHeight="1">
      <c r="A1393" s="10">
        <v>46182</v>
      </c>
      <c r="B1393" t="s">
        <v>1</v>
      </c>
      <c r="C1393" t="s">
        <v>73</v>
      </c>
      <c r="D1393">
        <v>1</v>
      </c>
      <c r="E1393">
        <v>409</v>
      </c>
      <c r="I1393">
        <v>1</v>
      </c>
      <c r="J1393">
        <v>409</v>
      </c>
      <c r="M1393" t="s">
        <v>1510</v>
      </c>
    </row>
    <row r="1394" spans="1:13" ht="15" customHeight="1">
      <c r="A1394" s="10">
        <v>46182</v>
      </c>
      <c r="B1394" t="s">
        <v>1</v>
      </c>
      <c r="C1394" t="s">
        <v>75</v>
      </c>
      <c r="D1394">
        <v>1</v>
      </c>
      <c r="E1394">
        <v>265</v>
      </c>
      <c r="I1394">
        <v>1</v>
      </c>
      <c r="J1394">
        <v>251</v>
      </c>
      <c r="M1394" t="s">
        <v>1511</v>
      </c>
    </row>
    <row r="1395" spans="1:13" ht="15" customHeight="1">
      <c r="A1395" s="10">
        <v>46182</v>
      </c>
      <c r="B1395" t="s">
        <v>1</v>
      </c>
      <c r="C1395" t="s">
        <v>77</v>
      </c>
      <c r="D1395">
        <v>0</v>
      </c>
      <c r="E1395">
        <v>961</v>
      </c>
      <c r="I1395">
        <v>0</v>
      </c>
      <c r="J1395">
        <v>934</v>
      </c>
      <c r="M1395" t="s">
        <v>1512</v>
      </c>
    </row>
    <row r="1396" spans="1:13" ht="15" customHeight="1">
      <c r="A1396" s="10">
        <v>46182</v>
      </c>
      <c r="B1396" t="s">
        <v>1</v>
      </c>
      <c r="C1396" t="s">
        <v>79</v>
      </c>
      <c r="D1396">
        <v>1</v>
      </c>
      <c r="E1396">
        <v>754</v>
      </c>
      <c r="I1396">
        <v>1</v>
      </c>
      <c r="J1396">
        <v>635</v>
      </c>
      <c r="M1396" t="s">
        <v>1513</v>
      </c>
    </row>
    <row r="1397" spans="1:13" ht="15" customHeight="1">
      <c r="A1397" s="10">
        <v>46182</v>
      </c>
      <c r="B1397" t="s">
        <v>1</v>
      </c>
      <c r="C1397" t="s">
        <v>81</v>
      </c>
      <c r="D1397">
        <v>1</v>
      </c>
      <c r="E1397">
        <v>394</v>
      </c>
      <c r="I1397">
        <v>1</v>
      </c>
      <c r="J1397">
        <v>394</v>
      </c>
      <c r="M1397" t="s">
        <v>1514</v>
      </c>
    </row>
    <row r="1398" spans="1:13" ht="15" customHeight="1">
      <c r="A1398" s="10">
        <v>46182</v>
      </c>
      <c r="B1398" t="s">
        <v>1</v>
      </c>
      <c r="C1398" t="s">
        <v>83</v>
      </c>
      <c r="D1398">
        <v>1</v>
      </c>
      <c r="E1398">
        <v>342</v>
      </c>
      <c r="I1398">
        <v>1</v>
      </c>
      <c r="J1398">
        <v>342</v>
      </c>
      <c r="M1398" t="s">
        <v>1515</v>
      </c>
    </row>
    <row r="1399" spans="1:13" ht="15" customHeight="1">
      <c r="A1399" s="10">
        <v>46182</v>
      </c>
      <c r="B1399" t="s">
        <v>1</v>
      </c>
      <c r="C1399" t="s">
        <v>84</v>
      </c>
      <c r="D1399">
        <v>0</v>
      </c>
      <c r="E1399">
        <v>312</v>
      </c>
      <c r="I1399">
        <v>0</v>
      </c>
      <c r="J1399">
        <v>312</v>
      </c>
      <c r="M1399" t="s">
        <v>1516</v>
      </c>
    </row>
    <row r="1400" spans="1:13" ht="15" customHeight="1">
      <c r="A1400" s="10">
        <v>46182</v>
      </c>
      <c r="B1400" t="s">
        <v>1</v>
      </c>
      <c r="C1400" t="s">
        <v>85</v>
      </c>
      <c r="D1400">
        <v>0</v>
      </c>
      <c r="E1400">
        <v>170</v>
      </c>
      <c r="I1400">
        <v>0</v>
      </c>
      <c r="J1400">
        <v>170</v>
      </c>
      <c r="M1400" t="s">
        <v>1517</v>
      </c>
    </row>
    <row r="1401" spans="1:13" ht="15" customHeight="1">
      <c r="A1401" s="10">
        <v>46182</v>
      </c>
      <c r="B1401" t="s">
        <v>1</v>
      </c>
      <c r="C1401" t="s">
        <v>87</v>
      </c>
      <c r="D1401">
        <v>2</v>
      </c>
      <c r="E1401">
        <v>173</v>
      </c>
      <c r="I1401">
        <v>2</v>
      </c>
      <c r="J1401">
        <v>172</v>
      </c>
      <c r="M1401" t="s">
        <v>1518</v>
      </c>
    </row>
    <row r="1402" spans="1:13" ht="15" customHeight="1">
      <c r="A1402" s="10">
        <v>46182</v>
      </c>
      <c r="B1402" t="s">
        <v>1</v>
      </c>
      <c r="C1402" t="s">
        <v>88</v>
      </c>
      <c r="D1402">
        <v>1</v>
      </c>
      <c r="E1402">
        <v>268</v>
      </c>
      <c r="I1402">
        <v>1</v>
      </c>
      <c r="J1402">
        <v>268</v>
      </c>
      <c r="M1402" t="s">
        <v>1519</v>
      </c>
    </row>
    <row r="1403" spans="1:13" ht="15" customHeight="1">
      <c r="A1403" s="10">
        <v>46182</v>
      </c>
      <c r="B1403" t="s">
        <v>1</v>
      </c>
      <c r="C1403" t="s">
        <v>89</v>
      </c>
      <c r="D1403">
        <v>1</v>
      </c>
      <c r="E1403">
        <v>357</v>
      </c>
      <c r="I1403">
        <v>1</v>
      </c>
      <c r="J1403">
        <v>356</v>
      </c>
      <c r="M1403" t="s">
        <v>1520</v>
      </c>
    </row>
    <row r="1404" spans="1:13" ht="15" customHeight="1">
      <c r="A1404" s="10">
        <v>46182</v>
      </c>
      <c r="B1404" t="s">
        <v>1</v>
      </c>
      <c r="C1404" t="s">
        <v>90</v>
      </c>
      <c r="D1404">
        <v>1</v>
      </c>
      <c r="E1404">
        <v>970</v>
      </c>
      <c r="I1404">
        <v>1</v>
      </c>
      <c r="J1404">
        <v>970</v>
      </c>
      <c r="M1404" t="s">
        <v>1521</v>
      </c>
    </row>
    <row r="1405" spans="1:13" ht="15" customHeight="1">
      <c r="A1405" s="10">
        <v>46182</v>
      </c>
      <c r="B1405" t="s">
        <v>1</v>
      </c>
      <c r="C1405" t="s">
        <v>92</v>
      </c>
      <c r="D1405">
        <v>1</v>
      </c>
      <c r="E1405">
        <v>841</v>
      </c>
      <c r="I1405">
        <v>1</v>
      </c>
      <c r="J1405">
        <v>841</v>
      </c>
      <c r="M1405" t="s">
        <v>1522</v>
      </c>
    </row>
    <row r="1406" spans="1:13" ht="15" customHeight="1">
      <c r="A1406" s="10">
        <v>46182</v>
      </c>
      <c r="B1406" t="s">
        <v>1</v>
      </c>
      <c r="C1406" t="s">
        <v>94</v>
      </c>
      <c r="D1406">
        <v>2</v>
      </c>
      <c r="E1406">
        <v>145</v>
      </c>
      <c r="I1406">
        <v>3</v>
      </c>
      <c r="J1406">
        <v>32</v>
      </c>
      <c r="M1406" t="s">
        <v>1523</v>
      </c>
    </row>
    <row r="1407" spans="1:13" ht="15" customHeight="1">
      <c r="A1407" s="10">
        <v>46182</v>
      </c>
      <c r="B1407" t="s">
        <v>1</v>
      </c>
      <c r="C1407" t="s">
        <v>203</v>
      </c>
      <c r="D1407">
        <v>2</v>
      </c>
      <c r="E1407">
        <v>86</v>
      </c>
      <c r="I1407">
        <v>4</v>
      </c>
      <c r="J1407">
        <v>33</v>
      </c>
      <c r="M1407" t="s">
        <v>1524</v>
      </c>
    </row>
    <row r="1408" spans="1:13" ht="15" customHeight="1">
      <c r="A1408" s="10">
        <v>46182</v>
      </c>
      <c r="B1408" t="s">
        <v>1</v>
      </c>
      <c r="C1408" t="s">
        <v>101</v>
      </c>
      <c r="D1408">
        <v>0</v>
      </c>
      <c r="E1408">
        <v>317</v>
      </c>
      <c r="I1408">
        <v>0</v>
      </c>
      <c r="J1408">
        <v>161</v>
      </c>
      <c r="M1408" t="s">
        <v>1525</v>
      </c>
    </row>
    <row r="1409" spans="1:13" ht="15" customHeight="1">
      <c r="A1409" s="10">
        <v>46182</v>
      </c>
      <c r="B1409" t="s">
        <v>1</v>
      </c>
      <c r="C1409" t="s">
        <v>103</v>
      </c>
      <c r="D1409">
        <v>0</v>
      </c>
      <c r="E1409">
        <v>8</v>
      </c>
      <c r="I1409">
        <v>0</v>
      </c>
      <c r="J1409">
        <v>5</v>
      </c>
      <c r="M1409" t="s">
        <v>1526</v>
      </c>
    </row>
    <row r="1410" spans="1:13" ht="15" customHeight="1">
      <c r="A1410" s="10">
        <v>46182</v>
      </c>
      <c r="B1410" t="s">
        <v>1</v>
      </c>
      <c r="C1410" t="s">
        <v>106</v>
      </c>
      <c r="D1410">
        <v>1</v>
      </c>
      <c r="E1410">
        <v>189</v>
      </c>
      <c r="I1410">
        <v>1</v>
      </c>
      <c r="J1410">
        <v>154</v>
      </c>
      <c r="M1410" t="s">
        <v>1527</v>
      </c>
    </row>
    <row r="1411" spans="1:13" ht="15" customHeight="1">
      <c r="A1411" s="10">
        <v>46182</v>
      </c>
      <c r="B1411" t="s">
        <v>1</v>
      </c>
      <c r="C1411" t="s">
        <v>108</v>
      </c>
      <c r="D1411">
        <v>1</v>
      </c>
      <c r="E1411">
        <v>414</v>
      </c>
      <c r="I1411">
        <v>1</v>
      </c>
      <c r="J1411">
        <v>354</v>
      </c>
      <c r="M1411" t="s">
        <v>1528</v>
      </c>
    </row>
    <row r="1412" spans="1:13" ht="15" customHeight="1">
      <c r="A1412" s="10">
        <v>46182</v>
      </c>
      <c r="B1412" t="s">
        <v>1</v>
      </c>
      <c r="C1412" t="s">
        <v>109</v>
      </c>
      <c r="D1412">
        <v>1</v>
      </c>
      <c r="E1412">
        <v>1134</v>
      </c>
      <c r="I1412">
        <v>1</v>
      </c>
      <c r="J1412">
        <v>1117</v>
      </c>
      <c r="M1412" t="s">
        <v>1529</v>
      </c>
    </row>
    <row r="1413" spans="1:13" ht="15" customHeight="1">
      <c r="A1413" s="10">
        <v>46182</v>
      </c>
      <c r="B1413" t="s">
        <v>1</v>
      </c>
      <c r="C1413" t="s">
        <v>112</v>
      </c>
      <c r="D1413">
        <v>1</v>
      </c>
      <c r="E1413">
        <v>23</v>
      </c>
      <c r="I1413">
        <v>1</v>
      </c>
      <c r="J1413">
        <v>19</v>
      </c>
      <c r="M1413" t="s">
        <v>1530</v>
      </c>
    </row>
    <row r="1414" spans="1:13" ht="15" customHeight="1">
      <c r="A1414" s="10">
        <v>46182</v>
      </c>
      <c r="B1414" t="s">
        <v>1</v>
      </c>
      <c r="C1414" t="s">
        <v>114</v>
      </c>
      <c r="D1414">
        <v>2</v>
      </c>
      <c r="E1414">
        <v>17</v>
      </c>
      <c r="I1414">
        <v>2</v>
      </c>
      <c r="J1414">
        <v>10</v>
      </c>
      <c r="M1414" t="s">
        <v>1531</v>
      </c>
    </row>
    <row r="1415" spans="1:13" ht="15" customHeight="1">
      <c r="A1415" s="10">
        <v>46182</v>
      </c>
      <c r="B1415" t="s">
        <v>1</v>
      </c>
      <c r="C1415" t="s">
        <v>115</v>
      </c>
      <c r="D1415">
        <v>1</v>
      </c>
      <c r="E1415">
        <v>15</v>
      </c>
      <c r="I1415">
        <v>1</v>
      </c>
      <c r="J1415">
        <v>10</v>
      </c>
      <c r="M1415" t="s">
        <v>1532</v>
      </c>
    </row>
    <row r="1416" spans="1:13" ht="15" customHeight="1">
      <c r="A1416" s="10">
        <v>46182</v>
      </c>
      <c r="B1416" t="s">
        <v>1</v>
      </c>
      <c r="C1416" t="s">
        <v>116</v>
      </c>
      <c r="D1416">
        <v>2</v>
      </c>
      <c r="E1416">
        <v>48</v>
      </c>
      <c r="I1416">
        <v>2</v>
      </c>
      <c r="J1416">
        <v>48</v>
      </c>
      <c r="M1416" t="s">
        <v>1533</v>
      </c>
    </row>
    <row r="1417" spans="1:13" ht="15" customHeight="1">
      <c r="A1417" s="10">
        <v>46182</v>
      </c>
      <c r="B1417" t="s">
        <v>1</v>
      </c>
      <c r="C1417" t="s">
        <v>119</v>
      </c>
      <c r="D1417">
        <v>2</v>
      </c>
      <c r="E1417">
        <v>0</v>
      </c>
      <c r="I1417">
        <v>2</v>
      </c>
      <c r="M1417" t="s">
        <v>1534</v>
      </c>
    </row>
    <row r="1418" spans="1:13" ht="15" customHeight="1">
      <c r="A1418" s="10">
        <v>46182</v>
      </c>
      <c r="B1418" t="s">
        <v>1</v>
      </c>
      <c r="C1418" t="s">
        <v>120</v>
      </c>
      <c r="D1418">
        <v>1</v>
      </c>
      <c r="E1418">
        <v>0</v>
      </c>
      <c r="I1418">
        <v>1</v>
      </c>
      <c r="M1418" t="s">
        <v>1535</v>
      </c>
    </row>
    <row r="1419" spans="1:13" ht="15" customHeight="1">
      <c r="A1419" s="10">
        <v>46182</v>
      </c>
      <c r="B1419" t="s">
        <v>1</v>
      </c>
      <c r="C1419" t="s">
        <v>121</v>
      </c>
      <c r="D1419">
        <v>1</v>
      </c>
      <c r="E1419">
        <v>0</v>
      </c>
      <c r="I1419">
        <v>1</v>
      </c>
      <c r="M1419" t="s">
        <v>1536</v>
      </c>
    </row>
    <row r="1420" spans="1:13" ht="15" customHeight="1">
      <c r="A1420" s="10">
        <v>46182</v>
      </c>
      <c r="B1420" t="s">
        <v>1</v>
      </c>
      <c r="C1420" t="s">
        <v>123</v>
      </c>
      <c r="D1420">
        <v>2</v>
      </c>
      <c r="E1420">
        <v>0</v>
      </c>
      <c r="I1420">
        <v>2</v>
      </c>
      <c r="M1420" t="s">
        <v>1537</v>
      </c>
    </row>
    <row r="1421" spans="1:13" ht="15" customHeight="1">
      <c r="A1421" s="10">
        <v>46182</v>
      </c>
      <c r="B1421" t="s">
        <v>1</v>
      </c>
      <c r="C1421" t="s">
        <v>124</v>
      </c>
      <c r="D1421">
        <v>2</v>
      </c>
      <c r="E1421">
        <v>0</v>
      </c>
      <c r="I1421">
        <v>2</v>
      </c>
      <c r="M1421" t="s">
        <v>1538</v>
      </c>
    </row>
    <row r="1422" spans="1:13" ht="15" customHeight="1">
      <c r="A1422" s="10">
        <v>46182</v>
      </c>
      <c r="B1422" t="s">
        <v>1</v>
      </c>
      <c r="C1422" t="s">
        <v>125</v>
      </c>
      <c r="D1422">
        <v>2</v>
      </c>
      <c r="E1422">
        <v>0</v>
      </c>
      <c r="I1422">
        <v>2</v>
      </c>
      <c r="M1422" t="s">
        <v>1539</v>
      </c>
    </row>
    <row r="1423" spans="1:13" ht="15" customHeight="1">
      <c r="A1423" s="10">
        <v>46182</v>
      </c>
      <c r="B1423" t="s">
        <v>1</v>
      </c>
      <c r="C1423" t="s">
        <v>126</v>
      </c>
      <c r="D1423">
        <v>2</v>
      </c>
      <c r="E1423">
        <v>0</v>
      </c>
      <c r="I1423">
        <v>2</v>
      </c>
      <c r="M1423" t="s">
        <v>1540</v>
      </c>
    </row>
    <row r="1424" spans="1:13" ht="15" customHeight="1">
      <c r="A1424" s="10">
        <v>46182</v>
      </c>
      <c r="B1424" t="s">
        <v>1</v>
      </c>
      <c r="C1424" t="s">
        <v>128</v>
      </c>
      <c r="D1424">
        <v>1</v>
      </c>
      <c r="E1424">
        <v>0</v>
      </c>
      <c r="I1424">
        <v>1</v>
      </c>
      <c r="M1424" t="s">
        <v>1541</v>
      </c>
    </row>
    <row r="1425" spans="1:13" ht="15" customHeight="1">
      <c r="A1425" s="10">
        <v>46182</v>
      </c>
      <c r="B1425" t="s">
        <v>1</v>
      </c>
      <c r="C1425" t="s">
        <v>130</v>
      </c>
      <c r="D1425">
        <v>4</v>
      </c>
      <c r="E1425">
        <v>0</v>
      </c>
      <c r="I1425">
        <v>4</v>
      </c>
      <c r="M1425" t="s">
        <v>1542</v>
      </c>
    </row>
    <row r="1426" spans="1:13" ht="15" customHeight="1">
      <c r="A1426" s="10">
        <v>46182</v>
      </c>
      <c r="B1426" t="s">
        <v>1</v>
      </c>
      <c r="C1426" t="s">
        <v>285</v>
      </c>
      <c r="D1426">
        <v>2</v>
      </c>
      <c r="E1426">
        <v>0</v>
      </c>
      <c r="I1426">
        <v>2</v>
      </c>
      <c r="M1426" t="s">
        <v>1543</v>
      </c>
    </row>
    <row r="1427" spans="1:13" ht="15" customHeight="1">
      <c r="A1427" s="10">
        <v>46182</v>
      </c>
      <c r="B1427" t="s">
        <v>1</v>
      </c>
      <c r="C1427" t="s">
        <v>287</v>
      </c>
      <c r="D1427">
        <v>2</v>
      </c>
      <c r="E1427">
        <v>0</v>
      </c>
      <c r="I1427">
        <v>2</v>
      </c>
      <c r="M1427" t="s">
        <v>1544</v>
      </c>
    </row>
    <row r="1428" spans="1:13" ht="15" customHeight="1">
      <c r="A1428" s="10">
        <v>46182</v>
      </c>
      <c r="B1428" t="s">
        <v>1</v>
      </c>
      <c r="C1428" t="s">
        <v>289</v>
      </c>
      <c r="D1428">
        <v>2</v>
      </c>
      <c r="E1428">
        <v>0</v>
      </c>
      <c r="I1428">
        <v>2</v>
      </c>
      <c r="M1428" t="s">
        <v>1545</v>
      </c>
    </row>
    <row r="1429" spans="1:13" ht="15" customHeight="1">
      <c r="A1429" s="10">
        <v>46182</v>
      </c>
      <c r="B1429" t="s">
        <v>1</v>
      </c>
      <c r="C1429" t="s">
        <v>291</v>
      </c>
      <c r="D1429">
        <v>2</v>
      </c>
      <c r="E1429">
        <v>0</v>
      </c>
      <c r="I1429">
        <v>2</v>
      </c>
      <c r="M1429" t="s">
        <v>1546</v>
      </c>
    </row>
    <row r="1430" spans="1:13" ht="15" customHeight="1">
      <c r="A1430" s="10">
        <v>46182</v>
      </c>
      <c r="B1430" t="s">
        <v>1</v>
      </c>
      <c r="C1430" t="s">
        <v>293</v>
      </c>
      <c r="D1430">
        <v>2</v>
      </c>
      <c r="E1430">
        <v>0</v>
      </c>
      <c r="I1430">
        <v>2</v>
      </c>
      <c r="M1430" t="s">
        <v>1547</v>
      </c>
    </row>
    <row r="1431" spans="1:13" ht="15" customHeight="1">
      <c r="A1431" s="10">
        <v>46182</v>
      </c>
      <c r="B1431" t="s">
        <v>1</v>
      </c>
      <c r="C1431" s="135" t="s">
        <v>138</v>
      </c>
      <c r="D1431">
        <v>0</v>
      </c>
      <c r="E1431">
        <v>40</v>
      </c>
      <c r="I1431">
        <v>0</v>
      </c>
      <c r="J1431">
        <v>38</v>
      </c>
      <c r="M1431" t="s">
        <v>1548</v>
      </c>
    </row>
    <row r="1432" spans="1:13" ht="15" customHeight="1">
      <c r="A1432" s="10">
        <v>46182</v>
      </c>
      <c r="B1432" t="s">
        <v>1</v>
      </c>
      <c r="C1432" s="135" t="s">
        <v>139</v>
      </c>
      <c r="D1432">
        <v>0</v>
      </c>
      <c r="E1432">
        <v>34</v>
      </c>
      <c r="I1432">
        <v>0</v>
      </c>
      <c r="J1432">
        <v>33</v>
      </c>
      <c r="M1432" t="s">
        <v>1549</v>
      </c>
    </row>
    <row r="1433" spans="1:13" ht="15" customHeight="1">
      <c r="A1433" s="10">
        <v>46182</v>
      </c>
      <c r="B1433" t="s">
        <v>1</v>
      </c>
      <c r="C1433" s="135" t="s">
        <v>140</v>
      </c>
      <c r="D1433">
        <v>0</v>
      </c>
      <c r="E1433">
        <v>29</v>
      </c>
      <c r="I1433">
        <v>0</v>
      </c>
      <c r="J1433">
        <v>29</v>
      </c>
      <c r="M1433" t="s">
        <v>1550</v>
      </c>
    </row>
    <row r="1434" spans="1:13" ht="15" customHeight="1">
      <c r="A1434" s="10">
        <v>46182</v>
      </c>
      <c r="B1434" t="s">
        <v>1</v>
      </c>
      <c r="C1434" s="135" t="s">
        <v>143</v>
      </c>
      <c r="D1434">
        <v>0</v>
      </c>
      <c r="E1434">
        <v>37</v>
      </c>
      <c r="I1434">
        <v>0</v>
      </c>
      <c r="J1434">
        <v>37</v>
      </c>
      <c r="M1434" t="s">
        <v>1551</v>
      </c>
    </row>
    <row r="1435" spans="1:13" ht="15" customHeight="1">
      <c r="A1435" s="10">
        <v>46182</v>
      </c>
      <c r="B1435" t="s">
        <v>1</v>
      </c>
      <c r="C1435" s="135" t="s">
        <v>145</v>
      </c>
      <c r="D1435">
        <v>0</v>
      </c>
      <c r="E1435">
        <v>40</v>
      </c>
      <c r="I1435">
        <v>0</v>
      </c>
      <c r="J1435">
        <v>40</v>
      </c>
      <c r="M1435" t="s">
        <v>1552</v>
      </c>
    </row>
    <row r="1436" spans="1:13" ht="15" customHeight="1">
      <c r="A1436" s="10">
        <v>46182</v>
      </c>
      <c r="B1436" t="s">
        <v>1</v>
      </c>
      <c r="C1436" s="135" t="s">
        <v>147</v>
      </c>
      <c r="D1436">
        <v>0</v>
      </c>
      <c r="E1436">
        <v>34</v>
      </c>
      <c r="I1436">
        <v>0</v>
      </c>
      <c r="J1436">
        <v>34</v>
      </c>
      <c r="M1436" t="s">
        <v>1553</v>
      </c>
    </row>
    <row r="1437" spans="1:13" ht="15" customHeight="1">
      <c r="A1437" s="10">
        <v>46182</v>
      </c>
      <c r="B1437" t="s">
        <v>1</v>
      </c>
      <c r="C1437" t="s">
        <v>302</v>
      </c>
      <c r="D1437">
        <v>2</v>
      </c>
      <c r="E1437">
        <v>0</v>
      </c>
      <c r="I1437">
        <v>2</v>
      </c>
      <c r="M1437" t="s">
        <v>1554</v>
      </c>
    </row>
    <row r="1438" spans="1:13" ht="15" customHeight="1">
      <c r="A1438" s="10">
        <v>46182</v>
      </c>
      <c r="B1438" t="s">
        <v>1</v>
      </c>
      <c r="C1438" t="s">
        <v>150</v>
      </c>
      <c r="D1438">
        <v>2</v>
      </c>
      <c r="E1438">
        <v>0</v>
      </c>
      <c r="I1438">
        <v>2</v>
      </c>
      <c r="M1438" t="s">
        <v>1555</v>
      </c>
    </row>
    <row r="1439" spans="1:13" ht="15" customHeight="1">
      <c r="A1439" s="10">
        <v>46182</v>
      </c>
      <c r="B1439" t="s">
        <v>1</v>
      </c>
      <c r="C1439" t="s">
        <v>151</v>
      </c>
      <c r="D1439">
        <v>2</v>
      </c>
      <c r="E1439">
        <v>0</v>
      </c>
      <c r="I1439">
        <v>2</v>
      </c>
      <c r="M1439" t="s">
        <v>1556</v>
      </c>
    </row>
    <row r="1440" spans="1:13" ht="15" customHeight="1">
      <c r="A1440" s="10">
        <v>46182</v>
      </c>
      <c r="B1440" t="s">
        <v>1</v>
      </c>
      <c r="C1440" t="s">
        <v>152</v>
      </c>
      <c r="D1440">
        <v>2</v>
      </c>
      <c r="E1440">
        <v>0</v>
      </c>
      <c r="I1440">
        <v>2</v>
      </c>
      <c r="M1440" t="s">
        <v>1557</v>
      </c>
    </row>
    <row r="1441" spans="1:13" ht="15" customHeight="1">
      <c r="A1441" s="10">
        <v>46182</v>
      </c>
      <c r="B1441" t="s">
        <v>1</v>
      </c>
      <c r="C1441" t="s">
        <v>153</v>
      </c>
      <c r="D1441">
        <v>2</v>
      </c>
      <c r="E1441">
        <v>0</v>
      </c>
      <c r="I1441">
        <v>2</v>
      </c>
      <c r="M1441" t="s">
        <v>1558</v>
      </c>
    </row>
    <row r="1442" spans="1:13" ht="15" customHeight="1">
      <c r="A1442" s="10">
        <v>46182</v>
      </c>
      <c r="B1442" t="s">
        <v>1</v>
      </c>
      <c r="C1442" t="s">
        <v>308</v>
      </c>
      <c r="D1442">
        <v>0</v>
      </c>
      <c r="E1442">
        <v>5</v>
      </c>
      <c r="I1442">
        <v>0</v>
      </c>
      <c r="J1442">
        <v>4</v>
      </c>
      <c r="M1442" t="s">
        <v>1559</v>
      </c>
    </row>
    <row r="1443" spans="1:13" ht="15" customHeight="1">
      <c r="A1443" s="10">
        <v>46182</v>
      </c>
      <c r="B1443" t="s">
        <v>1</v>
      </c>
      <c r="C1443" t="s">
        <v>310</v>
      </c>
      <c r="D1443">
        <v>0</v>
      </c>
      <c r="E1443">
        <v>2</v>
      </c>
      <c r="I1443">
        <v>0</v>
      </c>
      <c r="J1443">
        <v>2</v>
      </c>
      <c r="M1443" t="s">
        <v>1560</v>
      </c>
    </row>
    <row r="1444" spans="1:13" ht="15" customHeight="1">
      <c r="A1444" s="10">
        <v>46182</v>
      </c>
      <c r="B1444" t="s">
        <v>1</v>
      </c>
      <c r="C1444" t="s">
        <v>312</v>
      </c>
      <c r="D1444">
        <v>0</v>
      </c>
      <c r="E1444">
        <v>3</v>
      </c>
      <c r="I1444">
        <v>0</v>
      </c>
      <c r="J1444">
        <v>3</v>
      </c>
      <c r="M1444" t="s">
        <v>1561</v>
      </c>
    </row>
    <row r="1445" spans="1:13" ht="15" customHeight="1">
      <c r="A1445" s="10">
        <v>46182</v>
      </c>
      <c r="B1445" t="s">
        <v>1</v>
      </c>
      <c r="C1445" t="s">
        <v>314</v>
      </c>
      <c r="D1445">
        <v>1</v>
      </c>
      <c r="E1445">
        <v>0</v>
      </c>
      <c r="I1445">
        <v>1</v>
      </c>
      <c r="M1445" t="s">
        <v>1562</v>
      </c>
    </row>
    <row r="1446" spans="1:13" ht="15" customHeight="1">
      <c r="A1446" s="10">
        <v>46182</v>
      </c>
      <c r="B1446" t="s">
        <v>1</v>
      </c>
      <c r="C1446" t="s">
        <v>316</v>
      </c>
      <c r="D1446">
        <v>1</v>
      </c>
      <c r="E1446">
        <v>0</v>
      </c>
      <c r="I1446">
        <v>1</v>
      </c>
      <c r="M1446" t="s">
        <v>1563</v>
      </c>
    </row>
    <row r="1447" spans="1:13" ht="15" customHeight="1">
      <c r="A1447" s="10">
        <v>46182</v>
      </c>
      <c r="B1447" t="s">
        <v>1</v>
      </c>
      <c r="C1447" t="s">
        <v>318</v>
      </c>
      <c r="D1447">
        <v>2</v>
      </c>
      <c r="E1447">
        <v>0</v>
      </c>
      <c r="I1447">
        <v>2</v>
      </c>
      <c r="M1447" t="s">
        <v>1564</v>
      </c>
    </row>
    <row r="1448" spans="1:13" ht="15" customHeight="1">
      <c r="A1448" s="10">
        <v>46182</v>
      </c>
      <c r="B1448" t="s">
        <v>1</v>
      </c>
      <c r="C1448" t="s">
        <v>320</v>
      </c>
      <c r="D1448">
        <v>3</v>
      </c>
      <c r="E1448">
        <v>0</v>
      </c>
      <c r="I1448">
        <v>3</v>
      </c>
      <c r="M1448" t="s">
        <v>1565</v>
      </c>
    </row>
    <row r="1449" spans="1:13" ht="15" customHeight="1">
      <c r="A1449" s="10">
        <v>46182</v>
      </c>
      <c r="B1449" t="s">
        <v>1</v>
      </c>
      <c r="C1449" s="135" t="s">
        <v>168</v>
      </c>
      <c r="D1449">
        <v>1</v>
      </c>
      <c r="E1449">
        <v>0</v>
      </c>
      <c r="I1449">
        <v>1</v>
      </c>
      <c r="M1449" t="s">
        <v>1566</v>
      </c>
    </row>
    <row r="1450" spans="1:13" ht="15" customHeight="1">
      <c r="A1450" s="10">
        <v>46182</v>
      </c>
      <c r="B1450" t="s">
        <v>1</v>
      </c>
      <c r="C1450" s="135" t="s">
        <v>170</v>
      </c>
      <c r="D1450">
        <v>1</v>
      </c>
      <c r="E1450">
        <v>0</v>
      </c>
      <c r="I1450">
        <v>1</v>
      </c>
      <c r="M1450" t="s">
        <v>1567</v>
      </c>
    </row>
    <row r="1451" spans="1:13" ht="15" customHeight="1">
      <c r="A1451" s="10">
        <v>46182</v>
      </c>
      <c r="B1451" t="s">
        <v>1</v>
      </c>
      <c r="C1451" s="135" t="s">
        <v>171</v>
      </c>
      <c r="D1451">
        <v>2</v>
      </c>
      <c r="E1451">
        <v>0</v>
      </c>
      <c r="I1451">
        <v>2</v>
      </c>
      <c r="M1451" t="s">
        <v>1568</v>
      </c>
    </row>
    <row r="1452" spans="1:13" ht="15" customHeight="1">
      <c r="A1452" s="10">
        <v>46182</v>
      </c>
      <c r="B1452" t="s">
        <v>1</v>
      </c>
      <c r="C1452" s="135" t="s">
        <v>172</v>
      </c>
      <c r="D1452">
        <v>1</v>
      </c>
      <c r="E1452">
        <v>0</v>
      </c>
      <c r="I1452">
        <v>1</v>
      </c>
      <c r="M1452" t="s">
        <v>1569</v>
      </c>
    </row>
    <row r="1453" spans="1:13" ht="15" customHeight="1">
      <c r="A1453" s="10">
        <v>46182</v>
      </c>
      <c r="B1453" t="s">
        <v>1</v>
      </c>
      <c r="C1453" t="s">
        <v>176</v>
      </c>
      <c r="D1453">
        <v>0</v>
      </c>
      <c r="E1453">
        <v>17</v>
      </c>
      <c r="I1453">
        <v>0</v>
      </c>
      <c r="J1453">
        <v>10</v>
      </c>
      <c r="K1453">
        <v>7</v>
      </c>
      <c r="M1453" t="s">
        <v>1570</v>
      </c>
    </row>
    <row r="1454" spans="1:13" ht="15" customHeight="1">
      <c r="A1454" s="10">
        <v>46182</v>
      </c>
      <c r="B1454" t="s">
        <v>1</v>
      </c>
      <c r="C1454" t="s">
        <v>178</v>
      </c>
      <c r="D1454">
        <v>0</v>
      </c>
      <c r="E1454">
        <v>13</v>
      </c>
      <c r="I1454">
        <v>0</v>
      </c>
      <c r="J1454">
        <v>4</v>
      </c>
      <c r="K1454">
        <v>9</v>
      </c>
      <c r="M1454" t="s">
        <v>1571</v>
      </c>
    </row>
    <row r="1455" spans="1:13" ht="15" customHeight="1">
      <c r="A1455" s="10">
        <v>46182</v>
      </c>
      <c r="B1455" t="s">
        <v>1</v>
      </c>
      <c r="C1455" t="s">
        <v>179</v>
      </c>
      <c r="D1455">
        <v>0</v>
      </c>
      <c r="E1455">
        <v>19</v>
      </c>
      <c r="I1455">
        <v>0</v>
      </c>
      <c r="J1455">
        <v>13</v>
      </c>
      <c r="K1455">
        <v>6</v>
      </c>
      <c r="M1455" t="s">
        <v>1572</v>
      </c>
    </row>
    <row r="1456" spans="1:13" ht="15" customHeight="1">
      <c r="A1456" s="10">
        <v>46182</v>
      </c>
      <c r="B1456" t="s">
        <v>1</v>
      </c>
      <c r="C1456" t="s">
        <v>180</v>
      </c>
      <c r="D1456">
        <v>0</v>
      </c>
      <c r="E1456">
        <v>23</v>
      </c>
      <c r="I1456">
        <v>0</v>
      </c>
      <c r="J1456">
        <v>9</v>
      </c>
      <c r="K1456">
        <v>14</v>
      </c>
      <c r="M1456" t="s">
        <v>1573</v>
      </c>
    </row>
    <row r="1457" spans="1:13" ht="15" customHeight="1">
      <c r="A1457" s="10">
        <v>46182</v>
      </c>
      <c r="B1457" t="s">
        <v>1</v>
      </c>
      <c r="C1457" s="135" t="s">
        <v>182</v>
      </c>
      <c r="D1457">
        <v>0</v>
      </c>
      <c r="E1457">
        <v>281</v>
      </c>
      <c r="I1457">
        <v>0</v>
      </c>
      <c r="J1457">
        <v>281</v>
      </c>
      <c r="M1457" t="s">
        <v>1574</v>
      </c>
    </row>
    <row r="1458" spans="1:13" ht="15" customHeight="1">
      <c r="A1458" s="10">
        <v>46182</v>
      </c>
      <c r="B1458" t="s">
        <v>1</v>
      </c>
      <c r="C1458" s="135" t="s">
        <v>184</v>
      </c>
      <c r="D1458">
        <v>1</v>
      </c>
      <c r="E1458">
        <v>25</v>
      </c>
      <c r="I1458">
        <v>1</v>
      </c>
      <c r="J1458">
        <v>25</v>
      </c>
      <c r="M1458" t="s">
        <v>1575</v>
      </c>
    </row>
    <row r="1459" spans="1:13" ht="15" customHeight="1">
      <c r="A1459" s="10">
        <v>46182</v>
      </c>
      <c r="B1459" t="s">
        <v>1</v>
      </c>
      <c r="C1459" s="135" t="s">
        <v>185</v>
      </c>
      <c r="D1459">
        <v>1</v>
      </c>
      <c r="E1459">
        <v>45</v>
      </c>
      <c r="I1459">
        <v>1</v>
      </c>
      <c r="J1459">
        <v>45</v>
      </c>
      <c r="M1459" t="s">
        <v>1576</v>
      </c>
    </row>
    <row r="1460" spans="1:13" ht="15" customHeight="1">
      <c r="A1460" s="10">
        <v>46182</v>
      </c>
      <c r="B1460" t="s">
        <v>1</v>
      </c>
      <c r="C1460" s="135" t="s">
        <v>186</v>
      </c>
      <c r="D1460">
        <v>1</v>
      </c>
      <c r="E1460">
        <v>82</v>
      </c>
      <c r="I1460">
        <v>1</v>
      </c>
      <c r="J1460">
        <v>82</v>
      </c>
      <c r="M1460" t="s">
        <v>1577</v>
      </c>
    </row>
    <row r="1461" spans="1:13" ht="15" customHeight="1">
      <c r="A1461" s="10">
        <v>46182</v>
      </c>
      <c r="B1461" t="s">
        <v>1</v>
      </c>
      <c r="C1461" t="s">
        <v>337</v>
      </c>
      <c r="D1461">
        <v>1</v>
      </c>
      <c r="E1461">
        <v>402</v>
      </c>
      <c r="I1461">
        <v>1</v>
      </c>
      <c r="J1461">
        <v>304</v>
      </c>
      <c r="M1461" t="s">
        <v>1578</v>
      </c>
    </row>
    <row r="1462" spans="1:13" ht="15" customHeight="1">
      <c r="A1462" s="10">
        <v>46182</v>
      </c>
      <c r="B1462" t="s">
        <v>1</v>
      </c>
      <c r="C1462" s="135" t="s">
        <v>191</v>
      </c>
      <c r="D1462">
        <v>1</v>
      </c>
      <c r="E1462">
        <v>340</v>
      </c>
      <c r="I1462">
        <v>1</v>
      </c>
      <c r="J1462">
        <v>340</v>
      </c>
      <c r="M1462" t="s">
        <v>1579</v>
      </c>
    </row>
    <row r="1463" spans="1:13" ht="15" customHeight="1">
      <c r="A1463" s="10">
        <v>46182</v>
      </c>
      <c r="B1463" t="s">
        <v>1</v>
      </c>
      <c r="C1463" s="135" t="s">
        <v>193</v>
      </c>
      <c r="D1463">
        <v>1</v>
      </c>
      <c r="E1463">
        <v>466</v>
      </c>
      <c r="I1463">
        <v>1</v>
      </c>
      <c r="J1463">
        <v>466</v>
      </c>
      <c r="M1463" t="s">
        <v>1580</v>
      </c>
    </row>
    <row r="1464" spans="1:13" ht="15" customHeight="1">
      <c r="A1464" s="10">
        <v>46182</v>
      </c>
      <c r="B1464" t="s">
        <v>1</v>
      </c>
      <c r="C1464" s="135" t="s">
        <v>194</v>
      </c>
      <c r="D1464">
        <v>1</v>
      </c>
      <c r="E1464">
        <v>29</v>
      </c>
      <c r="I1464">
        <v>1</v>
      </c>
      <c r="J1464">
        <v>29</v>
      </c>
      <c r="M1464" t="s">
        <v>1581</v>
      </c>
    </row>
    <row r="1465" spans="1:13" ht="15" customHeight="1">
      <c r="A1465" s="10">
        <v>46182</v>
      </c>
      <c r="B1465" t="s">
        <v>1</v>
      </c>
      <c r="C1465" s="135" t="s">
        <v>196</v>
      </c>
      <c r="D1465">
        <v>1</v>
      </c>
      <c r="E1465">
        <v>98</v>
      </c>
      <c r="I1465">
        <v>1</v>
      </c>
      <c r="J1465">
        <v>98</v>
      </c>
      <c r="M1465" t="s">
        <v>1582</v>
      </c>
    </row>
    <row r="1466" spans="1:13" ht="15" customHeight="1">
      <c r="A1466" s="10">
        <v>46183</v>
      </c>
      <c r="B1466" t="s">
        <v>1</v>
      </c>
      <c r="C1466" t="s">
        <v>23</v>
      </c>
      <c r="D1466">
        <v>3</v>
      </c>
      <c r="E1466">
        <v>815</v>
      </c>
      <c r="F1466">
        <v>3</v>
      </c>
      <c r="I1466">
        <v>4</v>
      </c>
      <c r="J1466">
        <v>1450</v>
      </c>
      <c r="M1466" t="s">
        <v>1583</v>
      </c>
    </row>
    <row r="1467" spans="1:13" ht="15" customHeight="1">
      <c r="A1467" s="10">
        <v>46183</v>
      </c>
      <c r="B1467" t="s">
        <v>1</v>
      </c>
      <c r="C1467" t="s">
        <v>26</v>
      </c>
      <c r="D1467">
        <v>0</v>
      </c>
      <c r="E1467">
        <v>760</v>
      </c>
      <c r="F1467">
        <v>1</v>
      </c>
      <c r="I1467">
        <v>1</v>
      </c>
      <c r="J1467">
        <v>429</v>
      </c>
      <c r="M1467" t="s">
        <v>1584</v>
      </c>
    </row>
    <row r="1468" spans="1:13" ht="15" customHeight="1">
      <c r="A1468" s="10">
        <v>46183</v>
      </c>
      <c r="B1468" t="s">
        <v>1</v>
      </c>
      <c r="C1468" t="s">
        <v>27</v>
      </c>
      <c r="D1468">
        <v>1</v>
      </c>
      <c r="E1468">
        <v>527</v>
      </c>
      <c r="I1468">
        <v>1</v>
      </c>
      <c r="J1468">
        <v>496</v>
      </c>
      <c r="M1468" t="s">
        <v>1585</v>
      </c>
    </row>
    <row r="1469" spans="1:13" ht="15" customHeight="1">
      <c r="A1469" s="10">
        <v>46183</v>
      </c>
      <c r="B1469" t="s">
        <v>1</v>
      </c>
      <c r="C1469" t="s">
        <v>29</v>
      </c>
      <c r="D1469">
        <v>0</v>
      </c>
      <c r="E1469">
        <v>482</v>
      </c>
      <c r="F1469">
        <v>1</v>
      </c>
      <c r="I1469">
        <v>1</v>
      </c>
      <c r="J1469">
        <v>319</v>
      </c>
      <c r="M1469" t="s">
        <v>1586</v>
      </c>
    </row>
    <row r="1470" spans="1:13" ht="15" customHeight="1">
      <c r="A1470" s="10">
        <v>46183</v>
      </c>
      <c r="B1470" t="s">
        <v>1</v>
      </c>
      <c r="C1470" t="s">
        <v>30</v>
      </c>
      <c r="D1470">
        <v>1</v>
      </c>
      <c r="E1470">
        <v>670</v>
      </c>
      <c r="I1470">
        <v>1</v>
      </c>
      <c r="J1470">
        <v>508</v>
      </c>
      <c r="M1470" t="s">
        <v>1587</v>
      </c>
    </row>
    <row r="1471" spans="1:13" ht="15" customHeight="1">
      <c r="A1471" s="10">
        <v>46183</v>
      </c>
      <c r="B1471" t="s">
        <v>1</v>
      </c>
      <c r="C1471" t="s">
        <v>31</v>
      </c>
      <c r="D1471">
        <v>1</v>
      </c>
      <c r="E1471">
        <v>636</v>
      </c>
      <c r="F1471">
        <v>1</v>
      </c>
      <c r="I1471">
        <v>1</v>
      </c>
      <c r="J1471">
        <v>223</v>
      </c>
      <c r="M1471" t="s">
        <v>1588</v>
      </c>
    </row>
    <row r="1472" spans="1:13" ht="15" customHeight="1">
      <c r="A1472" s="10">
        <v>46183</v>
      </c>
      <c r="B1472" t="s">
        <v>1</v>
      </c>
      <c r="C1472" t="s">
        <v>32</v>
      </c>
      <c r="D1472">
        <v>1</v>
      </c>
      <c r="E1472">
        <v>548</v>
      </c>
      <c r="F1472">
        <v>1</v>
      </c>
      <c r="I1472">
        <v>2</v>
      </c>
      <c r="J1472">
        <v>303</v>
      </c>
      <c r="M1472" t="s">
        <v>1589</v>
      </c>
    </row>
    <row r="1473" spans="1:13" ht="15" customHeight="1">
      <c r="A1473" s="10">
        <v>46183</v>
      </c>
      <c r="B1473" t="s">
        <v>1</v>
      </c>
      <c r="C1473" t="s">
        <v>223</v>
      </c>
      <c r="D1473">
        <v>6</v>
      </c>
      <c r="E1473">
        <v>442</v>
      </c>
      <c r="F1473">
        <v>2</v>
      </c>
      <c r="I1473">
        <v>7</v>
      </c>
      <c r="J1473">
        <v>174</v>
      </c>
      <c r="M1473" t="s">
        <v>1590</v>
      </c>
    </row>
    <row r="1474" spans="1:13" ht="15" customHeight="1">
      <c r="A1474" s="10">
        <v>46183</v>
      </c>
      <c r="B1474" t="s">
        <v>1</v>
      </c>
      <c r="C1474" t="s">
        <v>35</v>
      </c>
      <c r="D1474">
        <v>6</v>
      </c>
      <c r="E1474">
        <v>0</v>
      </c>
      <c r="F1474">
        <v>5</v>
      </c>
      <c r="H1474">
        <v>1</v>
      </c>
      <c r="I1474">
        <v>10</v>
      </c>
      <c r="M1474" t="s">
        <v>1591</v>
      </c>
    </row>
    <row r="1475" spans="1:13" ht="15" customHeight="1">
      <c r="A1475" s="10">
        <v>46183</v>
      </c>
      <c r="B1475" t="s">
        <v>1</v>
      </c>
      <c r="C1475" t="s">
        <v>37</v>
      </c>
      <c r="D1475">
        <v>2</v>
      </c>
      <c r="E1475">
        <v>0</v>
      </c>
      <c r="F1475">
        <v>2</v>
      </c>
      <c r="I1475">
        <v>4</v>
      </c>
      <c r="M1475" t="s">
        <v>1592</v>
      </c>
    </row>
    <row r="1476" spans="1:13" ht="15" customHeight="1">
      <c r="A1476" s="10">
        <v>46183</v>
      </c>
      <c r="B1476" t="s">
        <v>1</v>
      </c>
      <c r="C1476" t="s">
        <v>39</v>
      </c>
      <c r="D1476">
        <v>10</v>
      </c>
      <c r="E1476">
        <v>0</v>
      </c>
      <c r="I1476">
        <v>0</v>
      </c>
      <c r="J1476">
        <v>0</v>
      </c>
      <c r="K1476">
        <v>10</v>
      </c>
      <c r="M1476" t="s">
        <v>1593</v>
      </c>
    </row>
    <row r="1477" spans="1:13" ht="15" customHeight="1">
      <c r="A1477" s="10">
        <v>46183</v>
      </c>
      <c r="B1477" t="s">
        <v>1</v>
      </c>
      <c r="C1477" t="s">
        <v>41</v>
      </c>
      <c r="D1477">
        <v>23</v>
      </c>
      <c r="E1477">
        <v>0</v>
      </c>
      <c r="I1477">
        <v>0</v>
      </c>
      <c r="J1477">
        <v>0</v>
      </c>
      <c r="K1477">
        <v>23</v>
      </c>
      <c r="M1477" t="s">
        <v>1594</v>
      </c>
    </row>
    <row r="1478" spans="1:13" ht="15" customHeight="1">
      <c r="A1478" s="10">
        <v>46183</v>
      </c>
      <c r="B1478" t="s">
        <v>1</v>
      </c>
      <c r="C1478" t="s">
        <v>234</v>
      </c>
      <c r="D1478">
        <v>33</v>
      </c>
      <c r="E1478">
        <v>0</v>
      </c>
      <c r="H1478">
        <v>5</v>
      </c>
      <c r="I1478">
        <v>27</v>
      </c>
      <c r="J1478">
        <v>0</v>
      </c>
      <c r="K1478">
        <v>1</v>
      </c>
      <c r="M1478" t="s">
        <v>1595</v>
      </c>
    </row>
    <row r="1479" spans="1:13" ht="15" customHeight="1">
      <c r="A1479" s="10">
        <v>46183</v>
      </c>
      <c r="B1479" t="s">
        <v>1</v>
      </c>
      <c r="C1479" t="s">
        <v>237</v>
      </c>
      <c r="D1479">
        <v>10</v>
      </c>
      <c r="E1479">
        <v>0</v>
      </c>
      <c r="I1479">
        <v>10</v>
      </c>
      <c r="J1479">
        <v>0</v>
      </c>
      <c r="M1479" t="s">
        <v>1596</v>
      </c>
    </row>
    <row r="1480" spans="1:13" ht="15" customHeight="1">
      <c r="A1480" s="10">
        <v>46183</v>
      </c>
      <c r="B1480" t="s">
        <v>1</v>
      </c>
      <c r="C1480" s="135" t="s">
        <v>58</v>
      </c>
      <c r="D1480">
        <v>0</v>
      </c>
      <c r="E1480">
        <v>0</v>
      </c>
      <c r="F1480">
        <v>10</v>
      </c>
      <c r="I1480">
        <v>10</v>
      </c>
      <c r="J1480">
        <v>0</v>
      </c>
      <c r="M1480" t="s">
        <v>1597</v>
      </c>
    </row>
    <row r="1481" spans="1:13" ht="15" customHeight="1">
      <c r="A1481" s="10">
        <v>46183</v>
      </c>
      <c r="B1481" t="s">
        <v>1</v>
      </c>
      <c r="C1481" s="135" t="s">
        <v>60</v>
      </c>
      <c r="D1481">
        <v>0</v>
      </c>
      <c r="E1481">
        <v>0</v>
      </c>
      <c r="F1481">
        <v>10</v>
      </c>
      <c r="I1481">
        <v>10</v>
      </c>
      <c r="J1481">
        <v>0</v>
      </c>
      <c r="M1481" t="s">
        <v>1598</v>
      </c>
    </row>
    <row r="1482" spans="1:13" ht="15" customHeight="1">
      <c r="A1482" s="10">
        <v>46183</v>
      </c>
      <c r="B1482" t="s">
        <v>1</v>
      </c>
      <c r="C1482" s="135" t="s">
        <v>61</v>
      </c>
      <c r="D1482">
        <v>0</v>
      </c>
      <c r="E1482">
        <v>0</v>
      </c>
      <c r="F1482">
        <v>10</v>
      </c>
      <c r="H1482">
        <v>6</v>
      </c>
      <c r="I1482">
        <v>4</v>
      </c>
      <c r="J1482">
        <v>0</v>
      </c>
      <c r="M1482" t="s">
        <v>1599</v>
      </c>
    </row>
    <row r="1483" spans="1:13" ht="15" customHeight="1">
      <c r="A1483" s="10">
        <v>46183</v>
      </c>
      <c r="B1483" t="s">
        <v>1</v>
      </c>
      <c r="C1483" s="135" t="s">
        <v>62</v>
      </c>
      <c r="D1483">
        <v>0</v>
      </c>
      <c r="E1483">
        <v>0</v>
      </c>
      <c r="F1483">
        <v>5</v>
      </c>
      <c r="I1483">
        <v>5</v>
      </c>
      <c r="J1483">
        <v>0</v>
      </c>
      <c r="M1483" t="s">
        <v>1600</v>
      </c>
    </row>
    <row r="1484" spans="1:13" ht="15" customHeight="1">
      <c r="A1484" s="10">
        <v>46183</v>
      </c>
      <c r="B1484" t="s">
        <v>1</v>
      </c>
      <c r="C1484" s="135" t="s">
        <v>63</v>
      </c>
      <c r="D1484">
        <v>1</v>
      </c>
      <c r="E1484">
        <v>0</v>
      </c>
      <c r="F1484">
        <v>5</v>
      </c>
      <c r="H1484">
        <v>3</v>
      </c>
      <c r="I1484">
        <v>3</v>
      </c>
      <c r="J1484">
        <v>0</v>
      </c>
      <c r="M1484" t="s">
        <v>1601</v>
      </c>
    </row>
    <row r="1485" spans="1:13" ht="15" customHeight="1">
      <c r="A1485" s="10">
        <v>46183</v>
      </c>
      <c r="B1485" t="s">
        <v>1</v>
      </c>
      <c r="C1485" s="135" t="s">
        <v>64</v>
      </c>
      <c r="D1485">
        <v>2</v>
      </c>
      <c r="E1485">
        <v>0</v>
      </c>
      <c r="F1485">
        <v>5</v>
      </c>
      <c r="H1485">
        <v>1</v>
      </c>
      <c r="I1485">
        <v>6</v>
      </c>
      <c r="J1485">
        <v>0</v>
      </c>
      <c r="M1485" t="s">
        <v>1602</v>
      </c>
    </row>
    <row r="1486" spans="1:13" ht="15" customHeight="1">
      <c r="A1486" s="10">
        <v>46183</v>
      </c>
      <c r="B1486" t="s">
        <v>1</v>
      </c>
      <c r="C1486" t="s">
        <v>66</v>
      </c>
      <c r="D1486">
        <v>3</v>
      </c>
      <c r="E1486">
        <v>0</v>
      </c>
      <c r="F1486">
        <v>2</v>
      </c>
      <c r="I1486">
        <v>5</v>
      </c>
      <c r="J1486">
        <v>0</v>
      </c>
      <c r="M1486" t="s">
        <v>1603</v>
      </c>
    </row>
    <row r="1487" spans="1:13" ht="15" customHeight="1">
      <c r="A1487" s="10">
        <v>46183</v>
      </c>
      <c r="B1487" t="s">
        <v>1</v>
      </c>
      <c r="C1487" t="s">
        <v>67</v>
      </c>
      <c r="D1487">
        <v>6</v>
      </c>
      <c r="E1487">
        <v>0</v>
      </c>
      <c r="I1487">
        <v>6</v>
      </c>
      <c r="J1487">
        <v>0</v>
      </c>
      <c r="M1487" t="s">
        <v>1604</v>
      </c>
    </row>
    <row r="1488" spans="1:13" ht="15" customHeight="1">
      <c r="A1488" s="10">
        <v>46183</v>
      </c>
      <c r="B1488" t="s">
        <v>1</v>
      </c>
      <c r="C1488" t="s">
        <v>71</v>
      </c>
      <c r="D1488">
        <v>1</v>
      </c>
      <c r="E1488">
        <v>464</v>
      </c>
      <c r="F1488">
        <v>1</v>
      </c>
      <c r="I1488">
        <v>2</v>
      </c>
      <c r="J1488">
        <v>386</v>
      </c>
      <c r="M1488" t="s">
        <v>1605</v>
      </c>
    </row>
    <row r="1489" spans="1:13" ht="15" customHeight="1">
      <c r="A1489" s="10">
        <v>46183</v>
      </c>
      <c r="B1489" t="s">
        <v>1</v>
      </c>
      <c r="C1489" t="s">
        <v>73</v>
      </c>
      <c r="D1489">
        <v>1</v>
      </c>
      <c r="E1489">
        <v>409</v>
      </c>
      <c r="F1489">
        <v>1</v>
      </c>
      <c r="I1489">
        <v>2</v>
      </c>
      <c r="J1489">
        <v>368</v>
      </c>
      <c r="M1489" t="s">
        <v>1606</v>
      </c>
    </row>
    <row r="1490" spans="1:13" ht="15" customHeight="1">
      <c r="A1490" s="10">
        <v>46183</v>
      </c>
      <c r="B1490" t="s">
        <v>1</v>
      </c>
      <c r="C1490" t="s">
        <v>75</v>
      </c>
      <c r="D1490">
        <v>1</v>
      </c>
      <c r="E1490">
        <v>251</v>
      </c>
      <c r="I1490">
        <v>1</v>
      </c>
      <c r="J1490">
        <v>212</v>
      </c>
      <c r="M1490" t="s">
        <v>1607</v>
      </c>
    </row>
    <row r="1491" spans="1:13" ht="15" customHeight="1">
      <c r="A1491" s="10">
        <v>46183</v>
      </c>
      <c r="B1491" t="s">
        <v>1</v>
      </c>
      <c r="C1491" t="s">
        <v>77</v>
      </c>
      <c r="D1491">
        <v>0</v>
      </c>
      <c r="E1491">
        <v>934</v>
      </c>
      <c r="I1491">
        <v>0</v>
      </c>
      <c r="J1491">
        <v>890</v>
      </c>
      <c r="M1491" t="s">
        <v>1608</v>
      </c>
    </row>
    <row r="1492" spans="1:13" ht="15" customHeight="1">
      <c r="A1492" s="10">
        <v>46183</v>
      </c>
      <c r="B1492" t="s">
        <v>1</v>
      </c>
      <c r="C1492" t="s">
        <v>79</v>
      </c>
      <c r="D1492">
        <v>1</v>
      </c>
      <c r="E1492">
        <v>635</v>
      </c>
      <c r="I1492">
        <v>1</v>
      </c>
      <c r="J1492">
        <v>506</v>
      </c>
      <c r="M1492" t="s">
        <v>1609</v>
      </c>
    </row>
    <row r="1493" spans="1:13" ht="15" customHeight="1">
      <c r="A1493" s="10">
        <v>46183</v>
      </c>
      <c r="B1493" t="s">
        <v>1</v>
      </c>
      <c r="C1493" t="s">
        <v>81</v>
      </c>
      <c r="D1493">
        <v>1</v>
      </c>
      <c r="E1493">
        <v>394</v>
      </c>
      <c r="I1493">
        <v>1</v>
      </c>
      <c r="J1493">
        <v>394</v>
      </c>
      <c r="M1493" t="s">
        <v>1610</v>
      </c>
    </row>
    <row r="1494" spans="1:13" ht="15" customHeight="1">
      <c r="A1494" s="10">
        <v>46183</v>
      </c>
      <c r="B1494" t="s">
        <v>1</v>
      </c>
      <c r="C1494" t="s">
        <v>83</v>
      </c>
      <c r="D1494">
        <v>1</v>
      </c>
      <c r="E1494">
        <v>342</v>
      </c>
      <c r="I1494">
        <v>1</v>
      </c>
      <c r="J1494">
        <v>342</v>
      </c>
      <c r="M1494" t="s">
        <v>1611</v>
      </c>
    </row>
    <row r="1495" spans="1:13" ht="15" customHeight="1">
      <c r="A1495" s="10">
        <v>46183</v>
      </c>
      <c r="B1495" t="s">
        <v>1</v>
      </c>
      <c r="C1495" t="s">
        <v>84</v>
      </c>
      <c r="D1495">
        <v>0</v>
      </c>
      <c r="E1495">
        <v>312</v>
      </c>
      <c r="F1495">
        <v>1</v>
      </c>
      <c r="I1495">
        <v>1</v>
      </c>
      <c r="J1495">
        <v>291</v>
      </c>
      <c r="M1495" t="s">
        <v>1612</v>
      </c>
    </row>
    <row r="1496" spans="1:13" ht="15" customHeight="1">
      <c r="A1496" s="10">
        <v>46183</v>
      </c>
      <c r="B1496" t="s">
        <v>1</v>
      </c>
      <c r="C1496" t="s">
        <v>85</v>
      </c>
      <c r="D1496">
        <v>0</v>
      </c>
      <c r="E1496">
        <v>170</v>
      </c>
      <c r="I1496">
        <v>0</v>
      </c>
      <c r="J1496">
        <v>170</v>
      </c>
      <c r="M1496" t="s">
        <v>1613</v>
      </c>
    </row>
    <row r="1497" spans="1:13" ht="15" customHeight="1">
      <c r="A1497" s="10">
        <v>46183</v>
      </c>
      <c r="B1497" t="s">
        <v>1</v>
      </c>
      <c r="C1497" t="s">
        <v>87</v>
      </c>
      <c r="D1497">
        <v>2</v>
      </c>
      <c r="E1497">
        <v>172</v>
      </c>
      <c r="I1497">
        <v>2</v>
      </c>
      <c r="J1497">
        <v>167</v>
      </c>
      <c r="M1497" t="s">
        <v>1614</v>
      </c>
    </row>
    <row r="1498" spans="1:13" ht="15" customHeight="1">
      <c r="A1498" s="10">
        <v>46183</v>
      </c>
      <c r="B1498" t="s">
        <v>1</v>
      </c>
      <c r="C1498" t="s">
        <v>88</v>
      </c>
      <c r="D1498">
        <v>1</v>
      </c>
      <c r="E1498">
        <v>268</v>
      </c>
      <c r="I1498">
        <v>1</v>
      </c>
      <c r="J1498">
        <v>264</v>
      </c>
      <c r="M1498" t="s">
        <v>1615</v>
      </c>
    </row>
    <row r="1499" spans="1:13" ht="15" customHeight="1">
      <c r="A1499" s="10">
        <v>46183</v>
      </c>
      <c r="B1499" t="s">
        <v>1</v>
      </c>
      <c r="C1499" t="s">
        <v>89</v>
      </c>
      <c r="D1499">
        <v>1</v>
      </c>
      <c r="E1499">
        <v>356</v>
      </c>
      <c r="I1499">
        <v>1</v>
      </c>
      <c r="J1499">
        <v>352</v>
      </c>
      <c r="M1499" t="s">
        <v>1616</v>
      </c>
    </row>
    <row r="1500" spans="1:13" ht="15" customHeight="1">
      <c r="A1500" s="10">
        <v>46183</v>
      </c>
      <c r="B1500" t="s">
        <v>1</v>
      </c>
      <c r="C1500" t="s">
        <v>90</v>
      </c>
      <c r="D1500">
        <v>1</v>
      </c>
      <c r="E1500">
        <v>970</v>
      </c>
      <c r="I1500">
        <v>1</v>
      </c>
      <c r="J1500">
        <v>830</v>
      </c>
      <c r="M1500" t="s">
        <v>1617</v>
      </c>
    </row>
    <row r="1501" spans="1:13" ht="15" customHeight="1">
      <c r="A1501" s="10">
        <v>46183</v>
      </c>
      <c r="B1501" t="s">
        <v>1</v>
      </c>
      <c r="C1501" t="s">
        <v>92</v>
      </c>
      <c r="D1501">
        <v>1</v>
      </c>
      <c r="E1501">
        <v>841</v>
      </c>
      <c r="I1501">
        <v>1</v>
      </c>
      <c r="J1501">
        <v>815</v>
      </c>
      <c r="M1501" t="s">
        <v>1618</v>
      </c>
    </row>
    <row r="1502" spans="1:13" ht="15" customHeight="1">
      <c r="A1502" s="10">
        <v>46183</v>
      </c>
      <c r="B1502" t="s">
        <v>1</v>
      </c>
      <c r="C1502" t="s">
        <v>94</v>
      </c>
      <c r="D1502">
        <v>3</v>
      </c>
      <c r="E1502">
        <v>32</v>
      </c>
      <c r="G1502">
        <v>4</v>
      </c>
      <c r="I1502">
        <v>6</v>
      </c>
      <c r="J1502">
        <v>138</v>
      </c>
      <c r="M1502" t="s">
        <v>1619</v>
      </c>
    </row>
    <row r="1503" spans="1:13" ht="15" customHeight="1">
      <c r="A1503" s="10">
        <v>46183</v>
      </c>
      <c r="B1503" t="s">
        <v>1</v>
      </c>
      <c r="C1503" t="s">
        <v>203</v>
      </c>
      <c r="D1503">
        <v>4</v>
      </c>
      <c r="E1503">
        <v>33</v>
      </c>
      <c r="I1503">
        <v>3</v>
      </c>
      <c r="J1503">
        <v>211</v>
      </c>
      <c r="M1503" t="s">
        <v>1620</v>
      </c>
    </row>
    <row r="1504" spans="1:13" ht="15" customHeight="1">
      <c r="A1504" s="10">
        <v>46183</v>
      </c>
      <c r="B1504" t="s">
        <v>1</v>
      </c>
      <c r="C1504" t="s">
        <v>101</v>
      </c>
      <c r="D1504">
        <v>0</v>
      </c>
      <c r="E1504">
        <v>161</v>
      </c>
      <c r="F1504">
        <v>1</v>
      </c>
      <c r="I1504">
        <v>1</v>
      </c>
      <c r="J1504">
        <v>65</v>
      </c>
      <c r="M1504" t="s">
        <v>1621</v>
      </c>
    </row>
    <row r="1505" spans="1:13" ht="15" customHeight="1">
      <c r="A1505" s="10">
        <v>46183</v>
      </c>
      <c r="B1505" t="s">
        <v>1</v>
      </c>
      <c r="C1505" t="s">
        <v>103</v>
      </c>
      <c r="D1505">
        <v>0</v>
      </c>
      <c r="E1505">
        <v>5</v>
      </c>
      <c r="I1505">
        <v>0</v>
      </c>
      <c r="J1505">
        <v>3</v>
      </c>
      <c r="M1505" t="s">
        <v>1622</v>
      </c>
    </row>
    <row r="1506" spans="1:13" ht="15" customHeight="1">
      <c r="A1506" s="10">
        <v>46183</v>
      </c>
      <c r="B1506" t="s">
        <v>1</v>
      </c>
      <c r="C1506" t="s">
        <v>106</v>
      </c>
      <c r="D1506">
        <v>1</v>
      </c>
      <c r="E1506">
        <v>154</v>
      </c>
      <c r="F1506">
        <v>1</v>
      </c>
      <c r="I1506">
        <v>2</v>
      </c>
      <c r="J1506">
        <v>154</v>
      </c>
      <c r="M1506" t="s">
        <v>1623</v>
      </c>
    </row>
    <row r="1507" spans="1:13" ht="15" customHeight="1">
      <c r="A1507" s="10">
        <v>46183</v>
      </c>
      <c r="B1507" t="s">
        <v>1</v>
      </c>
      <c r="C1507" t="s">
        <v>108</v>
      </c>
      <c r="D1507">
        <v>1</v>
      </c>
      <c r="E1507">
        <v>354</v>
      </c>
      <c r="I1507">
        <v>1</v>
      </c>
      <c r="J1507">
        <v>208</v>
      </c>
      <c r="M1507" t="s">
        <v>1624</v>
      </c>
    </row>
    <row r="1508" spans="1:13" ht="15" customHeight="1">
      <c r="A1508" s="10">
        <v>46183</v>
      </c>
      <c r="B1508" t="s">
        <v>1</v>
      </c>
      <c r="C1508" t="s">
        <v>109</v>
      </c>
      <c r="D1508">
        <v>1</v>
      </c>
      <c r="E1508">
        <v>1117</v>
      </c>
      <c r="F1508">
        <v>2</v>
      </c>
      <c r="I1508">
        <v>2</v>
      </c>
      <c r="J1508">
        <v>950</v>
      </c>
      <c r="M1508" t="s">
        <v>1625</v>
      </c>
    </row>
    <row r="1509" spans="1:13" ht="15" customHeight="1">
      <c r="A1509" s="10">
        <v>46183</v>
      </c>
      <c r="B1509" t="s">
        <v>1</v>
      </c>
      <c r="C1509" t="s">
        <v>112</v>
      </c>
      <c r="D1509">
        <v>1</v>
      </c>
      <c r="E1509">
        <v>19</v>
      </c>
      <c r="I1509">
        <v>1</v>
      </c>
      <c r="J1509">
        <v>9</v>
      </c>
      <c r="M1509" t="s">
        <v>1626</v>
      </c>
    </row>
    <row r="1510" spans="1:13" ht="15" customHeight="1">
      <c r="A1510" s="10">
        <v>46183</v>
      </c>
      <c r="B1510" t="s">
        <v>1</v>
      </c>
      <c r="C1510" t="s">
        <v>114</v>
      </c>
      <c r="D1510">
        <v>2</v>
      </c>
      <c r="E1510">
        <v>10</v>
      </c>
      <c r="I1510">
        <v>2</v>
      </c>
      <c r="J1510">
        <v>3</v>
      </c>
      <c r="M1510" t="s">
        <v>1627</v>
      </c>
    </row>
    <row r="1511" spans="1:13" ht="15" customHeight="1">
      <c r="A1511" s="10">
        <v>46183</v>
      </c>
      <c r="B1511" t="s">
        <v>1</v>
      </c>
      <c r="C1511" t="s">
        <v>115</v>
      </c>
      <c r="D1511">
        <v>1</v>
      </c>
      <c r="E1511">
        <v>10</v>
      </c>
      <c r="I1511">
        <v>1</v>
      </c>
      <c r="J1511">
        <v>6</v>
      </c>
      <c r="M1511" t="s">
        <v>1628</v>
      </c>
    </row>
    <row r="1512" spans="1:13" ht="15" customHeight="1">
      <c r="A1512" s="10">
        <v>46183</v>
      </c>
      <c r="B1512" t="s">
        <v>1</v>
      </c>
      <c r="C1512" t="s">
        <v>116</v>
      </c>
      <c r="D1512">
        <v>2</v>
      </c>
      <c r="E1512">
        <v>48</v>
      </c>
      <c r="I1512">
        <v>2</v>
      </c>
      <c r="J1512">
        <v>37</v>
      </c>
      <c r="M1512" t="s">
        <v>1629</v>
      </c>
    </row>
    <row r="1513" spans="1:13" ht="15" customHeight="1">
      <c r="A1513" s="10">
        <v>46183</v>
      </c>
      <c r="B1513" t="s">
        <v>1</v>
      </c>
      <c r="C1513" t="s">
        <v>119</v>
      </c>
      <c r="D1513">
        <v>2</v>
      </c>
      <c r="E1513">
        <v>0</v>
      </c>
      <c r="I1513">
        <v>2</v>
      </c>
      <c r="M1513" t="s">
        <v>1630</v>
      </c>
    </row>
    <row r="1514" spans="1:13" ht="15" customHeight="1">
      <c r="A1514" s="10">
        <v>46183</v>
      </c>
      <c r="B1514" t="s">
        <v>1</v>
      </c>
      <c r="C1514" t="s">
        <v>120</v>
      </c>
      <c r="D1514">
        <v>1</v>
      </c>
      <c r="E1514">
        <v>0</v>
      </c>
      <c r="F1514">
        <v>1</v>
      </c>
      <c r="I1514">
        <v>2</v>
      </c>
      <c r="M1514" t="s">
        <v>1631</v>
      </c>
    </row>
    <row r="1515" spans="1:13" ht="15" customHeight="1">
      <c r="A1515" s="10">
        <v>46183</v>
      </c>
      <c r="B1515" t="s">
        <v>1</v>
      </c>
      <c r="C1515" t="s">
        <v>121</v>
      </c>
      <c r="D1515">
        <v>1</v>
      </c>
      <c r="E1515">
        <v>0</v>
      </c>
      <c r="F1515">
        <v>1</v>
      </c>
      <c r="I1515">
        <v>2</v>
      </c>
      <c r="M1515" t="s">
        <v>1632</v>
      </c>
    </row>
    <row r="1516" spans="1:13" ht="15" customHeight="1">
      <c r="A1516" s="10">
        <v>46183</v>
      </c>
      <c r="B1516" t="s">
        <v>1</v>
      </c>
      <c r="C1516" t="s">
        <v>123</v>
      </c>
      <c r="D1516">
        <v>2</v>
      </c>
      <c r="E1516">
        <v>0</v>
      </c>
      <c r="I1516">
        <v>1</v>
      </c>
      <c r="M1516" t="s">
        <v>1633</v>
      </c>
    </row>
    <row r="1517" spans="1:13" ht="15" customHeight="1">
      <c r="A1517" s="10">
        <v>46183</v>
      </c>
      <c r="B1517" t="s">
        <v>1</v>
      </c>
      <c r="C1517" t="s">
        <v>124</v>
      </c>
      <c r="D1517">
        <v>2</v>
      </c>
      <c r="E1517">
        <v>0</v>
      </c>
      <c r="I1517">
        <v>2</v>
      </c>
      <c r="M1517" t="s">
        <v>1634</v>
      </c>
    </row>
    <row r="1518" spans="1:13" ht="15" customHeight="1">
      <c r="A1518" s="10">
        <v>46183</v>
      </c>
      <c r="B1518" t="s">
        <v>1</v>
      </c>
      <c r="C1518" t="s">
        <v>125</v>
      </c>
      <c r="D1518">
        <v>2</v>
      </c>
      <c r="E1518">
        <v>0</v>
      </c>
      <c r="I1518">
        <v>2</v>
      </c>
      <c r="M1518" t="s">
        <v>1635</v>
      </c>
    </row>
    <row r="1519" spans="1:13" ht="15" customHeight="1">
      <c r="A1519" s="10">
        <v>46183</v>
      </c>
      <c r="B1519" t="s">
        <v>1</v>
      </c>
      <c r="C1519" t="s">
        <v>126</v>
      </c>
      <c r="D1519">
        <v>2</v>
      </c>
      <c r="E1519">
        <v>0</v>
      </c>
      <c r="I1519">
        <v>1</v>
      </c>
      <c r="M1519" t="s">
        <v>1636</v>
      </c>
    </row>
    <row r="1520" spans="1:13" ht="15" customHeight="1">
      <c r="A1520" s="10">
        <v>46183</v>
      </c>
      <c r="B1520" t="s">
        <v>1</v>
      </c>
      <c r="C1520" t="s">
        <v>128</v>
      </c>
      <c r="D1520">
        <v>1</v>
      </c>
      <c r="E1520">
        <v>0</v>
      </c>
      <c r="F1520">
        <v>1</v>
      </c>
      <c r="I1520">
        <v>2</v>
      </c>
      <c r="M1520" t="s">
        <v>1637</v>
      </c>
    </row>
    <row r="1521" spans="1:13" ht="15" customHeight="1">
      <c r="A1521" s="10">
        <v>46183</v>
      </c>
      <c r="B1521" t="s">
        <v>1</v>
      </c>
      <c r="C1521" t="s">
        <v>130</v>
      </c>
      <c r="D1521">
        <v>4</v>
      </c>
      <c r="E1521">
        <v>0</v>
      </c>
      <c r="I1521">
        <v>4</v>
      </c>
      <c r="M1521" t="s">
        <v>1638</v>
      </c>
    </row>
    <row r="1522" spans="1:13" ht="15" customHeight="1">
      <c r="A1522" s="10">
        <v>46183</v>
      </c>
      <c r="B1522" t="s">
        <v>1</v>
      </c>
      <c r="C1522" t="s">
        <v>285</v>
      </c>
      <c r="D1522">
        <v>2</v>
      </c>
      <c r="E1522">
        <v>0</v>
      </c>
      <c r="I1522">
        <v>2</v>
      </c>
      <c r="M1522" t="s">
        <v>1639</v>
      </c>
    </row>
    <row r="1523" spans="1:13" ht="15" customHeight="1">
      <c r="A1523" s="10">
        <v>46183</v>
      </c>
      <c r="B1523" t="s">
        <v>1</v>
      </c>
      <c r="C1523" t="s">
        <v>287</v>
      </c>
      <c r="D1523">
        <v>2</v>
      </c>
      <c r="E1523">
        <v>0</v>
      </c>
      <c r="I1523">
        <v>2</v>
      </c>
      <c r="M1523" t="s">
        <v>1640</v>
      </c>
    </row>
    <row r="1524" spans="1:13" ht="15" customHeight="1">
      <c r="A1524" s="10">
        <v>46183</v>
      </c>
      <c r="B1524" t="s">
        <v>1</v>
      </c>
      <c r="C1524" t="s">
        <v>289</v>
      </c>
      <c r="D1524">
        <v>2</v>
      </c>
      <c r="E1524">
        <v>0</v>
      </c>
      <c r="I1524">
        <v>2</v>
      </c>
      <c r="M1524" t="s">
        <v>1641</v>
      </c>
    </row>
    <row r="1525" spans="1:13" ht="15" customHeight="1">
      <c r="A1525" s="10">
        <v>46183</v>
      </c>
      <c r="B1525" t="s">
        <v>1</v>
      </c>
      <c r="C1525" t="s">
        <v>291</v>
      </c>
      <c r="D1525">
        <v>2</v>
      </c>
      <c r="E1525">
        <v>0</v>
      </c>
      <c r="I1525">
        <v>2</v>
      </c>
      <c r="M1525" t="s">
        <v>1642</v>
      </c>
    </row>
    <row r="1526" spans="1:13" ht="15" customHeight="1">
      <c r="A1526" s="10">
        <v>46183</v>
      </c>
      <c r="B1526" t="s">
        <v>1</v>
      </c>
      <c r="C1526" t="s">
        <v>293</v>
      </c>
      <c r="D1526">
        <v>2</v>
      </c>
      <c r="E1526">
        <v>0</v>
      </c>
      <c r="F1526">
        <v>2</v>
      </c>
      <c r="I1526">
        <v>4</v>
      </c>
      <c r="M1526" t="s">
        <v>1643</v>
      </c>
    </row>
    <row r="1527" spans="1:13" ht="15" customHeight="1">
      <c r="A1527" s="10">
        <v>46183</v>
      </c>
      <c r="B1527" t="s">
        <v>1</v>
      </c>
      <c r="C1527" s="135" t="s">
        <v>138</v>
      </c>
      <c r="D1527">
        <v>0</v>
      </c>
      <c r="E1527">
        <v>38</v>
      </c>
      <c r="I1527">
        <v>0</v>
      </c>
      <c r="J1527">
        <v>36</v>
      </c>
      <c r="M1527" t="s">
        <v>1644</v>
      </c>
    </row>
    <row r="1528" spans="1:13" ht="15" customHeight="1">
      <c r="A1528" s="10">
        <v>46183</v>
      </c>
      <c r="B1528" t="s">
        <v>1</v>
      </c>
      <c r="C1528" s="135" t="s">
        <v>139</v>
      </c>
      <c r="D1528">
        <v>0</v>
      </c>
      <c r="E1528">
        <v>33</v>
      </c>
      <c r="G1528">
        <v>20</v>
      </c>
      <c r="I1528">
        <v>0</v>
      </c>
      <c r="J1528">
        <v>50</v>
      </c>
      <c r="M1528" t="s">
        <v>1645</v>
      </c>
    </row>
    <row r="1529" spans="1:13" ht="15" customHeight="1">
      <c r="A1529" s="10">
        <v>46183</v>
      </c>
      <c r="B1529" t="s">
        <v>1</v>
      </c>
      <c r="C1529" s="135" t="s">
        <v>140</v>
      </c>
      <c r="D1529">
        <v>0</v>
      </c>
      <c r="E1529">
        <v>29</v>
      </c>
      <c r="I1529">
        <v>0</v>
      </c>
      <c r="J1529">
        <v>28</v>
      </c>
      <c r="M1529" t="s">
        <v>1646</v>
      </c>
    </row>
    <row r="1530" spans="1:13" ht="15" customHeight="1">
      <c r="A1530" s="10">
        <v>46183</v>
      </c>
      <c r="B1530" t="s">
        <v>1</v>
      </c>
      <c r="C1530" s="135" t="s">
        <v>143</v>
      </c>
      <c r="D1530">
        <v>0</v>
      </c>
      <c r="E1530">
        <v>37</v>
      </c>
      <c r="I1530">
        <v>0</v>
      </c>
      <c r="J1530">
        <v>36</v>
      </c>
      <c r="M1530" t="s">
        <v>1647</v>
      </c>
    </row>
    <row r="1531" spans="1:13" ht="15" customHeight="1">
      <c r="A1531" s="10">
        <v>46183</v>
      </c>
      <c r="B1531" t="s">
        <v>1</v>
      </c>
      <c r="C1531" s="135" t="s">
        <v>145</v>
      </c>
      <c r="D1531">
        <v>0</v>
      </c>
      <c r="E1531">
        <v>40</v>
      </c>
      <c r="I1531">
        <v>0</v>
      </c>
      <c r="J1531">
        <v>39</v>
      </c>
      <c r="M1531" t="s">
        <v>1648</v>
      </c>
    </row>
    <row r="1532" spans="1:13" ht="15" customHeight="1">
      <c r="A1532" s="10">
        <v>46183</v>
      </c>
      <c r="B1532" t="s">
        <v>1</v>
      </c>
      <c r="C1532" s="135" t="s">
        <v>147</v>
      </c>
      <c r="D1532">
        <v>0</v>
      </c>
      <c r="E1532">
        <v>34</v>
      </c>
      <c r="I1532">
        <v>0</v>
      </c>
      <c r="J1532">
        <v>34</v>
      </c>
      <c r="M1532" t="s">
        <v>1649</v>
      </c>
    </row>
    <row r="1533" spans="1:13" ht="15" customHeight="1">
      <c r="A1533" s="10">
        <v>46183</v>
      </c>
      <c r="B1533" t="s">
        <v>1</v>
      </c>
      <c r="C1533" t="s">
        <v>302</v>
      </c>
      <c r="D1533">
        <v>2</v>
      </c>
      <c r="E1533">
        <v>0</v>
      </c>
      <c r="I1533">
        <v>2</v>
      </c>
      <c r="M1533" t="s">
        <v>1650</v>
      </c>
    </row>
    <row r="1534" spans="1:13" ht="15" customHeight="1">
      <c r="A1534" s="10">
        <v>46183</v>
      </c>
      <c r="B1534" t="s">
        <v>1</v>
      </c>
      <c r="C1534" t="s">
        <v>150</v>
      </c>
      <c r="D1534">
        <v>2</v>
      </c>
      <c r="E1534">
        <v>0</v>
      </c>
      <c r="I1534">
        <v>2</v>
      </c>
      <c r="M1534" t="s">
        <v>1651</v>
      </c>
    </row>
    <row r="1535" spans="1:13" ht="15" customHeight="1">
      <c r="A1535" s="10">
        <v>46183</v>
      </c>
      <c r="B1535" t="s">
        <v>1</v>
      </c>
      <c r="C1535" t="s">
        <v>151</v>
      </c>
      <c r="D1535">
        <v>2</v>
      </c>
      <c r="E1535">
        <v>0</v>
      </c>
      <c r="I1535">
        <v>2</v>
      </c>
      <c r="M1535" t="s">
        <v>1652</v>
      </c>
    </row>
    <row r="1536" spans="1:13" ht="15" customHeight="1">
      <c r="A1536" s="10">
        <v>46183</v>
      </c>
      <c r="B1536" t="s">
        <v>1</v>
      </c>
      <c r="C1536" t="s">
        <v>152</v>
      </c>
      <c r="D1536">
        <v>2</v>
      </c>
      <c r="E1536">
        <v>0</v>
      </c>
      <c r="I1536">
        <v>2</v>
      </c>
      <c r="M1536" t="s">
        <v>1653</v>
      </c>
    </row>
    <row r="1537" spans="1:13" ht="15" customHeight="1">
      <c r="A1537" s="10">
        <v>46183</v>
      </c>
      <c r="B1537" t="s">
        <v>1</v>
      </c>
      <c r="C1537" t="s">
        <v>153</v>
      </c>
      <c r="D1537">
        <v>2</v>
      </c>
      <c r="E1537">
        <v>0</v>
      </c>
      <c r="I1537">
        <v>2</v>
      </c>
      <c r="M1537" t="s">
        <v>1654</v>
      </c>
    </row>
    <row r="1538" spans="1:13" ht="15" customHeight="1">
      <c r="A1538" s="10">
        <v>46183</v>
      </c>
      <c r="B1538" t="s">
        <v>1</v>
      </c>
      <c r="C1538" t="s">
        <v>308</v>
      </c>
      <c r="D1538">
        <v>0</v>
      </c>
      <c r="E1538">
        <v>4</v>
      </c>
      <c r="I1538">
        <v>0</v>
      </c>
      <c r="J1538">
        <v>4</v>
      </c>
      <c r="M1538" t="s">
        <v>1655</v>
      </c>
    </row>
    <row r="1539" spans="1:13" ht="15" customHeight="1">
      <c r="A1539" s="10">
        <v>46183</v>
      </c>
      <c r="B1539" t="s">
        <v>1</v>
      </c>
      <c r="C1539" t="s">
        <v>310</v>
      </c>
      <c r="D1539">
        <v>0</v>
      </c>
      <c r="E1539">
        <v>2</v>
      </c>
      <c r="I1539">
        <v>0</v>
      </c>
      <c r="J1539">
        <v>2</v>
      </c>
      <c r="M1539" t="s">
        <v>1656</v>
      </c>
    </row>
    <row r="1540" spans="1:13" ht="15" customHeight="1">
      <c r="A1540" s="10">
        <v>46183</v>
      </c>
      <c r="B1540" t="s">
        <v>1</v>
      </c>
      <c r="C1540" t="s">
        <v>312</v>
      </c>
      <c r="D1540">
        <v>0</v>
      </c>
      <c r="E1540">
        <v>3</v>
      </c>
      <c r="I1540">
        <v>0</v>
      </c>
      <c r="J1540">
        <v>3</v>
      </c>
      <c r="M1540" t="s">
        <v>1657</v>
      </c>
    </row>
    <row r="1541" spans="1:13" ht="15" customHeight="1">
      <c r="A1541" s="10">
        <v>46183</v>
      </c>
      <c r="B1541" t="s">
        <v>1</v>
      </c>
      <c r="C1541" t="s">
        <v>314</v>
      </c>
      <c r="D1541">
        <v>1</v>
      </c>
      <c r="E1541">
        <v>0</v>
      </c>
      <c r="I1541">
        <v>1</v>
      </c>
      <c r="M1541" t="s">
        <v>1658</v>
      </c>
    </row>
    <row r="1542" spans="1:13" ht="15" customHeight="1">
      <c r="A1542" s="10">
        <v>46183</v>
      </c>
      <c r="B1542" t="s">
        <v>1</v>
      </c>
      <c r="C1542" t="s">
        <v>316</v>
      </c>
      <c r="D1542">
        <v>1</v>
      </c>
      <c r="E1542">
        <v>0</v>
      </c>
      <c r="I1542">
        <v>1</v>
      </c>
      <c r="M1542" t="s">
        <v>1659</v>
      </c>
    </row>
    <row r="1543" spans="1:13" ht="15" customHeight="1">
      <c r="A1543" s="10">
        <v>46183</v>
      </c>
      <c r="B1543" t="s">
        <v>1</v>
      </c>
      <c r="C1543" t="s">
        <v>318</v>
      </c>
      <c r="D1543">
        <v>2</v>
      </c>
      <c r="E1543">
        <v>0</v>
      </c>
      <c r="F1543">
        <v>2</v>
      </c>
      <c r="I1543">
        <v>4</v>
      </c>
      <c r="M1543" t="s">
        <v>1660</v>
      </c>
    </row>
    <row r="1544" spans="1:13" ht="15" customHeight="1">
      <c r="A1544" s="10">
        <v>46183</v>
      </c>
      <c r="B1544" t="s">
        <v>1</v>
      </c>
      <c r="C1544" t="s">
        <v>320</v>
      </c>
      <c r="D1544">
        <v>3</v>
      </c>
      <c r="E1544">
        <v>0</v>
      </c>
      <c r="I1544">
        <v>3</v>
      </c>
      <c r="M1544" t="s">
        <v>1661</v>
      </c>
    </row>
    <row r="1545" spans="1:13" ht="15" customHeight="1">
      <c r="A1545" s="10">
        <v>46183</v>
      </c>
      <c r="B1545" t="s">
        <v>1</v>
      </c>
      <c r="C1545" s="135" t="s">
        <v>168</v>
      </c>
      <c r="D1545">
        <v>1</v>
      </c>
      <c r="E1545">
        <v>0</v>
      </c>
      <c r="I1545">
        <v>1</v>
      </c>
      <c r="M1545" t="s">
        <v>1662</v>
      </c>
    </row>
    <row r="1546" spans="1:13" ht="15" customHeight="1">
      <c r="A1546" s="10">
        <v>46183</v>
      </c>
      <c r="B1546" t="s">
        <v>1</v>
      </c>
      <c r="C1546" s="135" t="s">
        <v>170</v>
      </c>
      <c r="D1546">
        <v>1</v>
      </c>
      <c r="E1546">
        <v>0</v>
      </c>
      <c r="I1546">
        <v>1</v>
      </c>
      <c r="M1546" t="s">
        <v>1663</v>
      </c>
    </row>
    <row r="1547" spans="1:13" ht="15" customHeight="1">
      <c r="A1547" s="10">
        <v>46183</v>
      </c>
      <c r="B1547" t="s">
        <v>1</v>
      </c>
      <c r="C1547" s="135" t="s">
        <v>171</v>
      </c>
      <c r="D1547">
        <v>2</v>
      </c>
      <c r="E1547">
        <v>0</v>
      </c>
      <c r="I1547">
        <v>2</v>
      </c>
      <c r="M1547" t="s">
        <v>1664</v>
      </c>
    </row>
    <row r="1548" spans="1:13" ht="15" customHeight="1">
      <c r="A1548" s="10">
        <v>46183</v>
      </c>
      <c r="B1548" t="s">
        <v>1</v>
      </c>
      <c r="C1548" s="135" t="s">
        <v>172</v>
      </c>
      <c r="D1548">
        <v>1</v>
      </c>
      <c r="E1548">
        <v>0</v>
      </c>
      <c r="I1548">
        <v>1</v>
      </c>
      <c r="M1548" t="s">
        <v>1665</v>
      </c>
    </row>
    <row r="1549" spans="1:13" ht="15" customHeight="1">
      <c r="A1549" s="10">
        <v>46183</v>
      </c>
      <c r="B1549" t="s">
        <v>1</v>
      </c>
      <c r="C1549" t="s">
        <v>176</v>
      </c>
      <c r="D1549">
        <v>0</v>
      </c>
      <c r="E1549">
        <v>10</v>
      </c>
      <c r="H1549">
        <v>1</v>
      </c>
      <c r="I1549">
        <v>0</v>
      </c>
      <c r="J1549">
        <v>9</v>
      </c>
      <c r="M1549" t="s">
        <v>1666</v>
      </c>
    </row>
    <row r="1550" spans="1:13" ht="15" customHeight="1">
      <c r="A1550" s="10">
        <v>46183</v>
      </c>
      <c r="B1550" t="s">
        <v>1</v>
      </c>
      <c r="C1550" t="s">
        <v>178</v>
      </c>
      <c r="D1550">
        <v>0</v>
      </c>
      <c r="E1550">
        <v>4</v>
      </c>
      <c r="H1550">
        <v>3</v>
      </c>
      <c r="I1550">
        <v>0</v>
      </c>
      <c r="J1550">
        <v>1</v>
      </c>
      <c r="M1550" t="s">
        <v>1667</v>
      </c>
    </row>
    <row r="1551" spans="1:13" ht="15" customHeight="1">
      <c r="A1551" s="10">
        <v>46183</v>
      </c>
      <c r="B1551" t="s">
        <v>1</v>
      </c>
      <c r="C1551" t="s">
        <v>179</v>
      </c>
      <c r="D1551">
        <v>0</v>
      </c>
      <c r="E1551">
        <v>13</v>
      </c>
      <c r="H1551">
        <v>1</v>
      </c>
      <c r="I1551">
        <v>0</v>
      </c>
      <c r="J1551">
        <v>12</v>
      </c>
      <c r="M1551" t="s">
        <v>1668</v>
      </c>
    </row>
    <row r="1552" spans="1:13" ht="15" customHeight="1">
      <c r="A1552" s="10">
        <v>46183</v>
      </c>
      <c r="B1552" t="s">
        <v>1</v>
      </c>
      <c r="C1552" t="s">
        <v>180</v>
      </c>
      <c r="D1552">
        <v>0</v>
      </c>
      <c r="E1552">
        <v>9</v>
      </c>
      <c r="H1552">
        <v>1</v>
      </c>
      <c r="I1552">
        <v>0</v>
      </c>
      <c r="J1552">
        <v>8</v>
      </c>
      <c r="M1552" t="s">
        <v>1669</v>
      </c>
    </row>
    <row r="1553" spans="1:13" ht="15" customHeight="1">
      <c r="A1553" s="10">
        <v>46183</v>
      </c>
      <c r="B1553" t="s">
        <v>1</v>
      </c>
      <c r="C1553" s="135" t="s">
        <v>182</v>
      </c>
      <c r="D1553">
        <v>0</v>
      </c>
      <c r="E1553">
        <v>281</v>
      </c>
      <c r="I1553">
        <v>0</v>
      </c>
      <c r="J1553">
        <v>270</v>
      </c>
      <c r="M1553" t="s">
        <v>1670</v>
      </c>
    </row>
    <row r="1554" spans="1:13" ht="15" customHeight="1">
      <c r="A1554" s="10">
        <v>46183</v>
      </c>
      <c r="B1554" t="s">
        <v>1</v>
      </c>
      <c r="C1554" s="135" t="s">
        <v>184</v>
      </c>
      <c r="D1554">
        <v>1</v>
      </c>
      <c r="E1554">
        <v>25</v>
      </c>
      <c r="I1554">
        <v>1</v>
      </c>
      <c r="J1554">
        <v>17</v>
      </c>
      <c r="M1554" t="s">
        <v>1671</v>
      </c>
    </row>
    <row r="1555" spans="1:13" ht="15" customHeight="1">
      <c r="A1555" s="10">
        <v>46183</v>
      </c>
      <c r="B1555" t="s">
        <v>1</v>
      </c>
      <c r="C1555" s="135" t="s">
        <v>185</v>
      </c>
      <c r="D1555">
        <v>1</v>
      </c>
      <c r="E1555">
        <v>45</v>
      </c>
      <c r="I1555">
        <v>1</v>
      </c>
      <c r="J1555">
        <v>56</v>
      </c>
      <c r="M1555" t="s">
        <v>1672</v>
      </c>
    </row>
    <row r="1556" spans="1:13" ht="15" customHeight="1">
      <c r="A1556" s="10">
        <v>46183</v>
      </c>
      <c r="B1556" t="s">
        <v>1</v>
      </c>
      <c r="C1556" s="135" t="s">
        <v>186</v>
      </c>
      <c r="D1556">
        <v>1</v>
      </c>
      <c r="E1556">
        <v>82</v>
      </c>
      <c r="I1556">
        <v>1</v>
      </c>
      <c r="J1556">
        <v>74</v>
      </c>
      <c r="M1556" t="s">
        <v>1673</v>
      </c>
    </row>
    <row r="1557" spans="1:13" ht="15" customHeight="1">
      <c r="A1557" s="10">
        <v>46183</v>
      </c>
      <c r="B1557" t="s">
        <v>1</v>
      </c>
      <c r="C1557" t="s">
        <v>337</v>
      </c>
      <c r="D1557">
        <v>1</v>
      </c>
      <c r="E1557">
        <v>304</v>
      </c>
      <c r="F1557">
        <v>1</v>
      </c>
      <c r="I1557">
        <v>2</v>
      </c>
      <c r="J1557">
        <v>225</v>
      </c>
      <c r="M1557" t="s">
        <v>1674</v>
      </c>
    </row>
    <row r="1558" spans="1:13" ht="15" customHeight="1">
      <c r="A1558" s="10">
        <v>46183</v>
      </c>
      <c r="B1558" t="s">
        <v>1</v>
      </c>
      <c r="C1558" s="135" t="s">
        <v>191</v>
      </c>
      <c r="D1558">
        <v>1</v>
      </c>
      <c r="E1558">
        <v>340</v>
      </c>
      <c r="I1558">
        <v>1</v>
      </c>
      <c r="J1558">
        <v>340</v>
      </c>
      <c r="M1558" t="s">
        <v>1675</v>
      </c>
    </row>
    <row r="1559" spans="1:13" ht="15" customHeight="1">
      <c r="A1559" s="10">
        <v>46183</v>
      </c>
      <c r="B1559" t="s">
        <v>1</v>
      </c>
      <c r="C1559" s="135" t="s">
        <v>193</v>
      </c>
      <c r="D1559">
        <v>1</v>
      </c>
      <c r="E1559">
        <v>466</v>
      </c>
      <c r="I1559">
        <v>1</v>
      </c>
      <c r="J1559">
        <v>466</v>
      </c>
      <c r="M1559" t="s">
        <v>1676</v>
      </c>
    </row>
    <row r="1560" spans="1:13" ht="15" customHeight="1">
      <c r="A1560" s="10">
        <v>46183</v>
      </c>
      <c r="B1560" t="s">
        <v>1</v>
      </c>
      <c r="C1560" s="135" t="s">
        <v>194</v>
      </c>
      <c r="D1560">
        <v>1</v>
      </c>
      <c r="E1560">
        <v>29</v>
      </c>
      <c r="I1560">
        <v>1</v>
      </c>
      <c r="J1560">
        <v>29</v>
      </c>
      <c r="M1560" t="s">
        <v>1677</v>
      </c>
    </row>
    <row r="1561" spans="1:13" ht="15" customHeight="1">
      <c r="A1561" s="10">
        <v>46183</v>
      </c>
      <c r="B1561" t="s">
        <v>1</v>
      </c>
      <c r="C1561" s="135" t="s">
        <v>196</v>
      </c>
      <c r="D1561">
        <v>1</v>
      </c>
      <c r="E1561">
        <v>98</v>
      </c>
      <c r="I1561">
        <v>1</v>
      </c>
      <c r="J1561">
        <v>98</v>
      </c>
      <c r="M1561" t="s">
        <v>1678</v>
      </c>
    </row>
    <row r="1562" spans="1:13" ht="15" customHeight="1">
      <c r="A1562" s="10">
        <v>46184</v>
      </c>
      <c r="B1562" t="s">
        <v>1</v>
      </c>
      <c r="C1562" t="s">
        <v>23</v>
      </c>
      <c r="D1562">
        <v>4</v>
      </c>
      <c r="E1562">
        <v>1450</v>
      </c>
      <c r="I1562">
        <v>2</v>
      </c>
      <c r="J1562">
        <v>1778</v>
      </c>
      <c r="M1562" t="s">
        <v>1679</v>
      </c>
    </row>
    <row r="1563" spans="1:13" ht="15" customHeight="1">
      <c r="A1563" s="10">
        <v>46184</v>
      </c>
      <c r="B1563" t="s">
        <v>1</v>
      </c>
      <c r="C1563" t="s">
        <v>26</v>
      </c>
      <c r="D1563">
        <v>1</v>
      </c>
      <c r="E1563">
        <v>429</v>
      </c>
      <c r="I1563">
        <v>1</v>
      </c>
      <c r="J1563">
        <v>343</v>
      </c>
      <c r="M1563" t="s">
        <v>1680</v>
      </c>
    </row>
    <row r="1564" spans="1:13" ht="15" customHeight="1">
      <c r="A1564" s="10">
        <v>46184</v>
      </c>
      <c r="B1564" t="s">
        <v>1</v>
      </c>
      <c r="C1564" t="s">
        <v>27</v>
      </c>
      <c r="D1564">
        <v>1</v>
      </c>
      <c r="E1564">
        <v>496</v>
      </c>
      <c r="I1564">
        <v>1</v>
      </c>
      <c r="J1564">
        <v>490</v>
      </c>
      <c r="M1564" t="s">
        <v>1681</v>
      </c>
    </row>
    <row r="1565" spans="1:13" ht="15" customHeight="1">
      <c r="A1565" s="10">
        <v>46184</v>
      </c>
      <c r="B1565" t="s">
        <v>1</v>
      </c>
      <c r="C1565" t="s">
        <v>29</v>
      </c>
      <c r="D1565">
        <v>1</v>
      </c>
      <c r="E1565">
        <v>319</v>
      </c>
      <c r="I1565">
        <v>1</v>
      </c>
      <c r="J1565">
        <v>81</v>
      </c>
      <c r="M1565" t="s">
        <v>1682</v>
      </c>
    </row>
    <row r="1566" spans="1:13" ht="15" customHeight="1">
      <c r="A1566" s="10">
        <v>46184</v>
      </c>
      <c r="B1566" t="s">
        <v>1</v>
      </c>
      <c r="C1566" t="s">
        <v>30</v>
      </c>
      <c r="D1566">
        <v>1</v>
      </c>
      <c r="E1566">
        <v>508</v>
      </c>
      <c r="I1566">
        <v>1</v>
      </c>
      <c r="J1566">
        <v>508</v>
      </c>
      <c r="M1566" t="s">
        <v>1683</v>
      </c>
    </row>
    <row r="1567" spans="1:13" ht="15" customHeight="1">
      <c r="A1567" s="10">
        <v>46184</v>
      </c>
      <c r="B1567" t="s">
        <v>1</v>
      </c>
      <c r="C1567" t="s">
        <v>31</v>
      </c>
      <c r="D1567">
        <v>1</v>
      </c>
      <c r="E1567">
        <v>223</v>
      </c>
      <c r="I1567">
        <v>0</v>
      </c>
      <c r="J1567">
        <v>972</v>
      </c>
      <c r="M1567" t="s">
        <v>1684</v>
      </c>
    </row>
    <row r="1568" spans="1:13" ht="15" customHeight="1">
      <c r="A1568" s="10">
        <v>46184</v>
      </c>
      <c r="B1568" t="s">
        <v>1</v>
      </c>
      <c r="C1568" t="s">
        <v>32</v>
      </c>
      <c r="D1568">
        <v>2</v>
      </c>
      <c r="E1568">
        <v>303</v>
      </c>
      <c r="I1568">
        <v>2</v>
      </c>
      <c r="J1568">
        <v>303</v>
      </c>
      <c r="M1568" t="s">
        <v>1685</v>
      </c>
    </row>
    <row r="1569" spans="1:13" ht="15" customHeight="1">
      <c r="A1569" s="10">
        <v>46184</v>
      </c>
      <c r="B1569" t="s">
        <v>1</v>
      </c>
      <c r="C1569" t="s">
        <v>223</v>
      </c>
      <c r="D1569">
        <v>7</v>
      </c>
      <c r="E1569">
        <v>174</v>
      </c>
      <c r="I1569">
        <v>6</v>
      </c>
      <c r="J1569">
        <v>655</v>
      </c>
      <c r="M1569" t="s">
        <v>1686</v>
      </c>
    </row>
    <row r="1570" spans="1:13" ht="15" customHeight="1">
      <c r="A1570" s="10">
        <v>46184</v>
      </c>
      <c r="B1570" t="s">
        <v>1</v>
      </c>
      <c r="C1570" t="s">
        <v>35</v>
      </c>
      <c r="D1570">
        <v>10</v>
      </c>
      <c r="E1570">
        <v>0</v>
      </c>
      <c r="H1570">
        <v>2</v>
      </c>
      <c r="I1570">
        <v>8</v>
      </c>
      <c r="M1570" t="s">
        <v>1687</v>
      </c>
    </row>
    <row r="1571" spans="1:13" ht="15" customHeight="1">
      <c r="A1571" s="10">
        <v>46184</v>
      </c>
      <c r="B1571" t="s">
        <v>1</v>
      </c>
      <c r="C1571" t="s">
        <v>37</v>
      </c>
      <c r="D1571">
        <v>4</v>
      </c>
      <c r="E1571">
        <v>0</v>
      </c>
      <c r="I1571">
        <v>4</v>
      </c>
      <c r="M1571" t="s">
        <v>1688</v>
      </c>
    </row>
    <row r="1572" spans="1:13" ht="15" customHeight="1">
      <c r="A1572" s="10">
        <v>46184</v>
      </c>
      <c r="B1572" t="s">
        <v>1</v>
      </c>
      <c r="C1572" t="s">
        <v>39</v>
      </c>
      <c r="D1572">
        <v>0</v>
      </c>
      <c r="E1572">
        <v>0</v>
      </c>
      <c r="F1572">
        <v>15</v>
      </c>
      <c r="I1572">
        <v>15</v>
      </c>
      <c r="J1572">
        <v>0</v>
      </c>
      <c r="M1572" t="s">
        <v>1689</v>
      </c>
    </row>
    <row r="1573" spans="1:13" ht="15" customHeight="1">
      <c r="A1573" s="10">
        <v>46184</v>
      </c>
      <c r="B1573" t="s">
        <v>1</v>
      </c>
      <c r="C1573" t="s">
        <v>41</v>
      </c>
      <c r="D1573">
        <v>0</v>
      </c>
      <c r="E1573">
        <v>0</v>
      </c>
      <c r="F1573">
        <v>15</v>
      </c>
      <c r="H1573">
        <v>1</v>
      </c>
      <c r="I1573">
        <v>14</v>
      </c>
      <c r="J1573">
        <v>0</v>
      </c>
      <c r="M1573" t="s">
        <v>1690</v>
      </c>
    </row>
    <row r="1574" spans="1:13" ht="15" customHeight="1">
      <c r="A1574" s="10">
        <v>46184</v>
      </c>
      <c r="B1574" t="s">
        <v>1</v>
      </c>
      <c r="C1574" t="s">
        <v>234</v>
      </c>
      <c r="D1574">
        <v>27</v>
      </c>
      <c r="E1574">
        <v>0</v>
      </c>
      <c r="F1574">
        <v>60</v>
      </c>
      <c r="H1574">
        <v>14</v>
      </c>
      <c r="I1574">
        <v>46</v>
      </c>
      <c r="J1574">
        <v>0</v>
      </c>
      <c r="K1574">
        <v>27</v>
      </c>
      <c r="M1574" t="s">
        <v>1691</v>
      </c>
    </row>
    <row r="1575" spans="1:13" ht="15" customHeight="1">
      <c r="A1575" s="10">
        <v>46184</v>
      </c>
      <c r="B1575" t="s">
        <v>1</v>
      </c>
      <c r="C1575" t="s">
        <v>237</v>
      </c>
      <c r="D1575">
        <v>10</v>
      </c>
      <c r="E1575">
        <v>0</v>
      </c>
      <c r="I1575">
        <v>10</v>
      </c>
      <c r="J1575">
        <v>0</v>
      </c>
      <c r="M1575" t="s">
        <v>1692</v>
      </c>
    </row>
    <row r="1576" spans="1:13" ht="15" customHeight="1">
      <c r="A1576" s="10">
        <v>46184</v>
      </c>
      <c r="B1576" t="s">
        <v>1</v>
      </c>
      <c r="C1576" s="135" t="s">
        <v>58</v>
      </c>
      <c r="D1576">
        <v>10</v>
      </c>
      <c r="E1576">
        <v>0</v>
      </c>
      <c r="H1576">
        <v>4</v>
      </c>
      <c r="I1576">
        <v>6</v>
      </c>
      <c r="J1576">
        <v>0</v>
      </c>
      <c r="M1576" t="s">
        <v>1693</v>
      </c>
    </row>
    <row r="1577" spans="1:13" ht="15" customHeight="1">
      <c r="A1577" s="10">
        <v>46184</v>
      </c>
      <c r="B1577" t="s">
        <v>1</v>
      </c>
      <c r="C1577" s="135" t="s">
        <v>60</v>
      </c>
      <c r="D1577">
        <v>10</v>
      </c>
      <c r="E1577">
        <v>0</v>
      </c>
      <c r="H1577">
        <v>3</v>
      </c>
      <c r="I1577">
        <v>7</v>
      </c>
      <c r="J1577">
        <v>0</v>
      </c>
      <c r="M1577" t="s">
        <v>1694</v>
      </c>
    </row>
    <row r="1578" spans="1:13" ht="15" customHeight="1">
      <c r="A1578" s="10">
        <v>46184</v>
      </c>
      <c r="B1578" t="s">
        <v>1</v>
      </c>
      <c r="C1578" s="135" t="s">
        <v>61</v>
      </c>
      <c r="D1578">
        <v>4</v>
      </c>
      <c r="E1578">
        <v>0</v>
      </c>
      <c r="H1578">
        <v>3</v>
      </c>
      <c r="I1578">
        <v>1</v>
      </c>
      <c r="J1578">
        <v>0</v>
      </c>
      <c r="M1578" t="s">
        <v>1695</v>
      </c>
    </row>
    <row r="1579" spans="1:13" ht="15" customHeight="1">
      <c r="A1579" s="10">
        <v>46184</v>
      </c>
      <c r="B1579" t="s">
        <v>1</v>
      </c>
      <c r="C1579" s="135" t="s">
        <v>62</v>
      </c>
      <c r="D1579">
        <v>5</v>
      </c>
      <c r="E1579">
        <v>0</v>
      </c>
      <c r="H1579">
        <v>1</v>
      </c>
      <c r="I1579">
        <v>4</v>
      </c>
      <c r="J1579">
        <v>0</v>
      </c>
      <c r="M1579" t="s">
        <v>1696</v>
      </c>
    </row>
    <row r="1580" spans="1:13" ht="15" customHeight="1">
      <c r="A1580" s="10">
        <v>46184</v>
      </c>
      <c r="B1580" t="s">
        <v>1</v>
      </c>
      <c r="C1580" s="135" t="s">
        <v>63</v>
      </c>
      <c r="D1580">
        <v>3</v>
      </c>
      <c r="E1580">
        <v>0</v>
      </c>
      <c r="H1580">
        <v>1</v>
      </c>
      <c r="I1580">
        <v>2</v>
      </c>
      <c r="J1580">
        <v>0</v>
      </c>
      <c r="M1580" t="s">
        <v>1697</v>
      </c>
    </row>
    <row r="1581" spans="1:13" ht="15" customHeight="1">
      <c r="A1581" s="10">
        <v>46184</v>
      </c>
      <c r="B1581" t="s">
        <v>1</v>
      </c>
      <c r="C1581" s="135" t="s">
        <v>64</v>
      </c>
      <c r="D1581">
        <v>6</v>
      </c>
      <c r="E1581">
        <v>0</v>
      </c>
      <c r="I1581">
        <v>6</v>
      </c>
      <c r="J1581">
        <v>0</v>
      </c>
      <c r="M1581" t="s">
        <v>1698</v>
      </c>
    </row>
    <row r="1582" spans="1:13" ht="15" customHeight="1">
      <c r="A1582" s="10">
        <v>46184</v>
      </c>
      <c r="B1582" t="s">
        <v>1</v>
      </c>
      <c r="C1582" t="s">
        <v>66</v>
      </c>
      <c r="D1582">
        <v>5</v>
      </c>
      <c r="E1582">
        <v>0</v>
      </c>
      <c r="I1582">
        <v>5</v>
      </c>
      <c r="J1582">
        <v>0</v>
      </c>
      <c r="M1582" t="s">
        <v>1699</v>
      </c>
    </row>
    <row r="1583" spans="1:13" ht="15" customHeight="1">
      <c r="A1583" s="10">
        <v>46184</v>
      </c>
      <c r="B1583" t="s">
        <v>1</v>
      </c>
      <c r="C1583" t="s">
        <v>67</v>
      </c>
      <c r="D1583">
        <v>6</v>
      </c>
      <c r="E1583">
        <v>0</v>
      </c>
      <c r="I1583">
        <v>6</v>
      </c>
      <c r="J1583">
        <v>0</v>
      </c>
      <c r="M1583" t="s">
        <v>1700</v>
      </c>
    </row>
    <row r="1584" spans="1:13" ht="15" customHeight="1">
      <c r="A1584" s="10">
        <v>46184</v>
      </c>
      <c r="B1584" t="s">
        <v>1</v>
      </c>
      <c r="C1584" t="s">
        <v>71</v>
      </c>
      <c r="D1584">
        <v>2</v>
      </c>
      <c r="E1584">
        <v>386</v>
      </c>
      <c r="I1584">
        <v>2</v>
      </c>
      <c r="J1584">
        <v>208</v>
      </c>
      <c r="M1584" t="s">
        <v>1701</v>
      </c>
    </row>
    <row r="1585" spans="1:13" ht="15" customHeight="1">
      <c r="A1585" s="10">
        <v>46184</v>
      </c>
      <c r="B1585" t="s">
        <v>1</v>
      </c>
      <c r="C1585" t="s">
        <v>73</v>
      </c>
      <c r="D1585">
        <v>2</v>
      </c>
      <c r="E1585">
        <v>368</v>
      </c>
      <c r="I1585">
        <v>2</v>
      </c>
      <c r="J1585">
        <v>295</v>
      </c>
      <c r="M1585" t="s">
        <v>1702</v>
      </c>
    </row>
    <row r="1586" spans="1:13" ht="15" customHeight="1">
      <c r="A1586" s="10">
        <v>46184</v>
      </c>
      <c r="B1586" t="s">
        <v>1</v>
      </c>
      <c r="C1586" t="s">
        <v>75</v>
      </c>
      <c r="D1586">
        <v>1</v>
      </c>
      <c r="E1586">
        <v>212</v>
      </c>
      <c r="I1586">
        <v>1</v>
      </c>
      <c r="J1586">
        <v>212</v>
      </c>
      <c r="M1586" t="s">
        <v>1703</v>
      </c>
    </row>
    <row r="1587" spans="1:13" ht="15" customHeight="1">
      <c r="A1587" s="10">
        <v>46184</v>
      </c>
      <c r="B1587" t="s">
        <v>1</v>
      </c>
      <c r="C1587" t="s">
        <v>77</v>
      </c>
      <c r="D1587">
        <v>0</v>
      </c>
      <c r="E1587">
        <v>890</v>
      </c>
      <c r="I1587">
        <v>0</v>
      </c>
      <c r="J1587">
        <v>890</v>
      </c>
      <c r="M1587" t="s">
        <v>1704</v>
      </c>
    </row>
    <row r="1588" spans="1:13" ht="15" customHeight="1">
      <c r="A1588" s="10">
        <v>46184</v>
      </c>
      <c r="B1588" t="s">
        <v>1</v>
      </c>
      <c r="C1588" t="s">
        <v>79</v>
      </c>
      <c r="D1588">
        <v>1</v>
      </c>
      <c r="E1588">
        <v>506</v>
      </c>
      <c r="I1588">
        <v>1</v>
      </c>
      <c r="J1588">
        <v>331</v>
      </c>
      <c r="M1588" t="s">
        <v>1705</v>
      </c>
    </row>
    <row r="1589" spans="1:13" ht="15" customHeight="1">
      <c r="A1589" s="10">
        <v>46184</v>
      </c>
      <c r="B1589" t="s">
        <v>1</v>
      </c>
      <c r="C1589" t="s">
        <v>81</v>
      </c>
      <c r="D1589">
        <v>1</v>
      </c>
      <c r="E1589">
        <v>394</v>
      </c>
      <c r="I1589">
        <v>1</v>
      </c>
      <c r="J1589">
        <v>369</v>
      </c>
      <c r="M1589" t="s">
        <v>1706</v>
      </c>
    </row>
    <row r="1590" spans="1:13" ht="15" customHeight="1">
      <c r="A1590" s="10">
        <v>46184</v>
      </c>
      <c r="B1590" t="s">
        <v>1</v>
      </c>
      <c r="C1590" t="s">
        <v>83</v>
      </c>
      <c r="D1590">
        <v>1</v>
      </c>
      <c r="E1590">
        <v>342</v>
      </c>
      <c r="I1590">
        <v>1</v>
      </c>
      <c r="J1590">
        <v>342</v>
      </c>
      <c r="M1590" t="s">
        <v>1707</v>
      </c>
    </row>
    <row r="1591" spans="1:13" ht="15" customHeight="1">
      <c r="A1591" s="10">
        <v>46184</v>
      </c>
      <c r="B1591" t="s">
        <v>1</v>
      </c>
      <c r="C1591" t="s">
        <v>84</v>
      </c>
      <c r="D1591">
        <v>1</v>
      </c>
      <c r="E1591">
        <v>291</v>
      </c>
      <c r="I1591">
        <v>1</v>
      </c>
      <c r="J1591">
        <v>291</v>
      </c>
      <c r="M1591" t="s">
        <v>1708</v>
      </c>
    </row>
    <row r="1592" spans="1:13" ht="15" customHeight="1">
      <c r="A1592" s="10">
        <v>46184</v>
      </c>
      <c r="B1592" t="s">
        <v>1</v>
      </c>
      <c r="C1592" t="s">
        <v>85</v>
      </c>
      <c r="D1592">
        <v>0</v>
      </c>
      <c r="E1592">
        <v>170</v>
      </c>
      <c r="I1592">
        <v>0</v>
      </c>
      <c r="J1592">
        <v>160</v>
      </c>
      <c r="M1592" t="s">
        <v>1709</v>
      </c>
    </row>
    <row r="1593" spans="1:13" ht="15" customHeight="1">
      <c r="A1593" s="10">
        <v>46184</v>
      </c>
      <c r="B1593" t="s">
        <v>1</v>
      </c>
      <c r="C1593" t="s">
        <v>87</v>
      </c>
      <c r="D1593">
        <v>2</v>
      </c>
      <c r="E1593">
        <v>167</v>
      </c>
      <c r="I1593">
        <v>2</v>
      </c>
      <c r="J1593">
        <v>167</v>
      </c>
      <c r="M1593" t="s">
        <v>1710</v>
      </c>
    </row>
    <row r="1594" spans="1:13" ht="15" customHeight="1">
      <c r="A1594" s="10">
        <v>46184</v>
      </c>
      <c r="B1594" t="s">
        <v>1</v>
      </c>
      <c r="C1594" t="s">
        <v>88</v>
      </c>
      <c r="D1594">
        <v>1</v>
      </c>
      <c r="E1594">
        <v>264</v>
      </c>
      <c r="I1594">
        <v>1</v>
      </c>
      <c r="J1594">
        <v>264</v>
      </c>
      <c r="M1594" t="s">
        <v>1711</v>
      </c>
    </row>
    <row r="1595" spans="1:13" ht="15" customHeight="1">
      <c r="A1595" s="10">
        <v>46184</v>
      </c>
      <c r="B1595" t="s">
        <v>1</v>
      </c>
      <c r="C1595" t="s">
        <v>89</v>
      </c>
      <c r="D1595">
        <v>1</v>
      </c>
      <c r="E1595">
        <v>352</v>
      </c>
      <c r="I1595">
        <v>1</v>
      </c>
      <c r="J1595">
        <v>352</v>
      </c>
      <c r="M1595" t="s">
        <v>1712</v>
      </c>
    </row>
    <row r="1596" spans="1:13" ht="15" customHeight="1">
      <c r="A1596" s="10">
        <v>46184</v>
      </c>
      <c r="B1596" t="s">
        <v>1</v>
      </c>
      <c r="C1596" t="s">
        <v>90</v>
      </c>
      <c r="D1596">
        <v>1</v>
      </c>
      <c r="E1596">
        <v>830</v>
      </c>
      <c r="I1596">
        <v>1</v>
      </c>
      <c r="J1596">
        <v>830</v>
      </c>
      <c r="M1596" t="s">
        <v>1713</v>
      </c>
    </row>
    <row r="1597" spans="1:13" ht="15" customHeight="1">
      <c r="A1597" s="10">
        <v>46184</v>
      </c>
      <c r="B1597" t="s">
        <v>1</v>
      </c>
      <c r="C1597" t="s">
        <v>92</v>
      </c>
      <c r="D1597">
        <v>1</v>
      </c>
      <c r="E1597">
        <v>815</v>
      </c>
      <c r="I1597">
        <v>1</v>
      </c>
      <c r="J1597">
        <v>815</v>
      </c>
      <c r="M1597" t="s">
        <v>1714</v>
      </c>
    </row>
    <row r="1598" spans="1:13" ht="15" customHeight="1">
      <c r="A1598" s="10">
        <v>46184</v>
      </c>
      <c r="B1598" t="s">
        <v>1</v>
      </c>
      <c r="C1598" t="s">
        <v>94</v>
      </c>
      <c r="D1598">
        <v>6</v>
      </c>
      <c r="E1598">
        <v>138</v>
      </c>
      <c r="I1598">
        <v>5</v>
      </c>
      <c r="J1598">
        <v>78</v>
      </c>
      <c r="K1598">
        <v>62</v>
      </c>
      <c r="M1598" t="s">
        <v>1715</v>
      </c>
    </row>
    <row r="1599" spans="1:13" ht="15" customHeight="1">
      <c r="A1599" s="10">
        <v>46184</v>
      </c>
      <c r="B1599" t="s">
        <v>1</v>
      </c>
      <c r="C1599" t="s">
        <v>203</v>
      </c>
      <c r="D1599">
        <v>3</v>
      </c>
      <c r="E1599">
        <v>211</v>
      </c>
      <c r="I1599">
        <v>3</v>
      </c>
      <c r="J1599">
        <v>124</v>
      </c>
      <c r="M1599" t="s">
        <v>1716</v>
      </c>
    </row>
    <row r="1600" spans="1:13" ht="15" customHeight="1">
      <c r="A1600" s="10">
        <v>46184</v>
      </c>
      <c r="B1600" t="s">
        <v>1</v>
      </c>
      <c r="C1600" t="s">
        <v>101</v>
      </c>
      <c r="D1600">
        <v>1</v>
      </c>
      <c r="E1600">
        <v>65</v>
      </c>
      <c r="I1600">
        <v>1</v>
      </c>
      <c r="J1600">
        <v>465</v>
      </c>
      <c r="M1600" t="s">
        <v>1717</v>
      </c>
    </row>
    <row r="1601" spans="1:13" ht="15" customHeight="1">
      <c r="A1601" s="10">
        <v>46184</v>
      </c>
      <c r="B1601" t="s">
        <v>1</v>
      </c>
      <c r="C1601" t="s">
        <v>103</v>
      </c>
      <c r="D1601">
        <v>0</v>
      </c>
      <c r="E1601">
        <v>3</v>
      </c>
      <c r="I1601">
        <v>0</v>
      </c>
      <c r="J1601">
        <v>1</v>
      </c>
      <c r="M1601" t="s">
        <v>1718</v>
      </c>
    </row>
    <row r="1602" spans="1:13" ht="15" customHeight="1">
      <c r="A1602" s="10">
        <v>46184</v>
      </c>
      <c r="B1602" t="s">
        <v>1</v>
      </c>
      <c r="C1602" t="s">
        <v>106</v>
      </c>
      <c r="D1602">
        <v>2</v>
      </c>
      <c r="E1602">
        <v>154</v>
      </c>
      <c r="I1602">
        <v>1</v>
      </c>
      <c r="J1602">
        <v>1035</v>
      </c>
      <c r="M1602" t="s">
        <v>1719</v>
      </c>
    </row>
    <row r="1603" spans="1:13" ht="15" customHeight="1">
      <c r="A1603" s="10">
        <v>46184</v>
      </c>
      <c r="B1603" t="s">
        <v>1</v>
      </c>
      <c r="C1603" t="s">
        <v>108</v>
      </c>
      <c r="D1603">
        <v>1</v>
      </c>
      <c r="E1603">
        <v>208</v>
      </c>
      <c r="I1603">
        <v>1</v>
      </c>
      <c r="J1603">
        <v>1090</v>
      </c>
      <c r="M1603" t="s">
        <v>1720</v>
      </c>
    </row>
    <row r="1604" spans="1:13" ht="15" customHeight="1">
      <c r="A1604" s="10">
        <v>46184</v>
      </c>
      <c r="B1604" t="s">
        <v>1</v>
      </c>
      <c r="C1604" t="s">
        <v>109</v>
      </c>
      <c r="D1604">
        <v>2</v>
      </c>
      <c r="E1604">
        <v>950</v>
      </c>
      <c r="I1604">
        <v>2</v>
      </c>
      <c r="J1604">
        <v>482</v>
      </c>
      <c r="M1604" t="s">
        <v>1721</v>
      </c>
    </row>
    <row r="1605" spans="1:13" ht="15" customHeight="1">
      <c r="A1605" s="10">
        <v>46184</v>
      </c>
      <c r="B1605" t="s">
        <v>1</v>
      </c>
      <c r="C1605" t="s">
        <v>112</v>
      </c>
      <c r="D1605">
        <v>1</v>
      </c>
      <c r="E1605">
        <v>9</v>
      </c>
      <c r="I1605">
        <v>1</v>
      </c>
      <c r="J1605">
        <v>4</v>
      </c>
      <c r="M1605" t="s">
        <v>1722</v>
      </c>
    </row>
    <row r="1606" spans="1:13" ht="15" customHeight="1">
      <c r="A1606" s="10">
        <v>46184</v>
      </c>
      <c r="B1606" t="s">
        <v>1</v>
      </c>
      <c r="C1606" t="s">
        <v>114</v>
      </c>
      <c r="D1606">
        <v>2</v>
      </c>
      <c r="E1606">
        <v>3</v>
      </c>
      <c r="I1606">
        <v>1</v>
      </c>
      <c r="J1606">
        <v>47</v>
      </c>
      <c r="M1606" t="s">
        <v>1723</v>
      </c>
    </row>
    <row r="1607" spans="1:13" ht="15" customHeight="1">
      <c r="A1607" s="10">
        <v>46184</v>
      </c>
      <c r="B1607" t="s">
        <v>1</v>
      </c>
      <c r="C1607" t="s">
        <v>115</v>
      </c>
      <c r="D1607">
        <v>1</v>
      </c>
      <c r="E1607">
        <v>6</v>
      </c>
      <c r="I1607">
        <v>1</v>
      </c>
      <c r="J1607">
        <v>0</v>
      </c>
      <c r="M1607" t="s">
        <v>1724</v>
      </c>
    </row>
    <row r="1608" spans="1:13" ht="15" customHeight="1">
      <c r="A1608" s="10">
        <v>46184</v>
      </c>
      <c r="B1608" t="s">
        <v>1</v>
      </c>
      <c r="C1608" t="s">
        <v>116</v>
      </c>
      <c r="D1608">
        <v>2</v>
      </c>
      <c r="E1608">
        <v>37</v>
      </c>
      <c r="I1608">
        <v>2</v>
      </c>
      <c r="J1608">
        <v>20</v>
      </c>
      <c r="M1608" t="s">
        <v>1725</v>
      </c>
    </row>
    <row r="1609" spans="1:13" ht="15" customHeight="1">
      <c r="A1609" s="10">
        <v>46184</v>
      </c>
      <c r="B1609" t="s">
        <v>1</v>
      </c>
      <c r="C1609" t="s">
        <v>119</v>
      </c>
      <c r="D1609">
        <v>2</v>
      </c>
      <c r="E1609">
        <v>0</v>
      </c>
      <c r="I1609">
        <v>2</v>
      </c>
      <c r="M1609" t="s">
        <v>1726</v>
      </c>
    </row>
    <row r="1610" spans="1:13" ht="15" customHeight="1">
      <c r="A1610" s="10">
        <v>46184</v>
      </c>
      <c r="B1610" t="s">
        <v>1</v>
      </c>
      <c r="C1610" t="s">
        <v>120</v>
      </c>
      <c r="D1610">
        <v>2</v>
      </c>
      <c r="E1610">
        <v>0</v>
      </c>
      <c r="I1610">
        <v>2</v>
      </c>
      <c r="M1610" t="s">
        <v>1727</v>
      </c>
    </row>
    <row r="1611" spans="1:13" ht="15" customHeight="1">
      <c r="A1611" s="10">
        <v>46184</v>
      </c>
      <c r="B1611" t="s">
        <v>1</v>
      </c>
      <c r="C1611" t="s">
        <v>121</v>
      </c>
      <c r="D1611">
        <v>2</v>
      </c>
      <c r="E1611">
        <v>0</v>
      </c>
      <c r="I1611">
        <v>2</v>
      </c>
      <c r="M1611" t="s">
        <v>1728</v>
      </c>
    </row>
    <row r="1612" spans="1:13" ht="15" customHeight="1">
      <c r="A1612" s="10">
        <v>46184</v>
      </c>
      <c r="B1612" t="s">
        <v>1</v>
      </c>
      <c r="C1612" t="s">
        <v>123</v>
      </c>
      <c r="D1612">
        <v>1</v>
      </c>
      <c r="E1612">
        <v>0</v>
      </c>
      <c r="I1612">
        <v>1</v>
      </c>
      <c r="M1612" t="s">
        <v>1729</v>
      </c>
    </row>
    <row r="1613" spans="1:13" ht="15" customHeight="1">
      <c r="A1613" s="10">
        <v>46184</v>
      </c>
      <c r="B1613" t="s">
        <v>1</v>
      </c>
      <c r="C1613" t="s">
        <v>124</v>
      </c>
      <c r="D1613">
        <v>2</v>
      </c>
      <c r="E1613">
        <v>0</v>
      </c>
      <c r="I1613">
        <v>1</v>
      </c>
      <c r="M1613" t="s">
        <v>1730</v>
      </c>
    </row>
    <row r="1614" spans="1:13" ht="15" customHeight="1">
      <c r="A1614" s="10">
        <v>46184</v>
      </c>
      <c r="B1614" t="s">
        <v>1</v>
      </c>
      <c r="C1614" t="s">
        <v>125</v>
      </c>
      <c r="D1614">
        <v>2</v>
      </c>
      <c r="E1614">
        <v>0</v>
      </c>
      <c r="I1614">
        <v>2</v>
      </c>
      <c r="M1614" t="s">
        <v>1731</v>
      </c>
    </row>
    <row r="1615" spans="1:13" ht="15" customHeight="1">
      <c r="A1615" s="10">
        <v>46184</v>
      </c>
      <c r="B1615" t="s">
        <v>1</v>
      </c>
      <c r="C1615" t="s">
        <v>126</v>
      </c>
      <c r="D1615">
        <v>1</v>
      </c>
      <c r="E1615">
        <v>0</v>
      </c>
      <c r="I1615">
        <v>1</v>
      </c>
      <c r="M1615" t="s">
        <v>1732</v>
      </c>
    </row>
    <row r="1616" spans="1:13" ht="15" customHeight="1">
      <c r="A1616" s="10">
        <v>46184</v>
      </c>
      <c r="B1616" t="s">
        <v>1</v>
      </c>
      <c r="C1616" t="s">
        <v>128</v>
      </c>
      <c r="D1616">
        <v>2</v>
      </c>
      <c r="E1616">
        <v>0</v>
      </c>
      <c r="I1616">
        <v>1</v>
      </c>
      <c r="M1616" t="s">
        <v>1733</v>
      </c>
    </row>
    <row r="1617" spans="1:13" ht="15" customHeight="1">
      <c r="A1617" s="10">
        <v>46184</v>
      </c>
      <c r="B1617" t="s">
        <v>1</v>
      </c>
      <c r="C1617" t="s">
        <v>130</v>
      </c>
      <c r="D1617">
        <v>4</v>
      </c>
      <c r="E1617">
        <v>0</v>
      </c>
      <c r="I1617">
        <v>4</v>
      </c>
      <c r="M1617" t="s">
        <v>1734</v>
      </c>
    </row>
    <row r="1618" spans="1:13" ht="15" customHeight="1">
      <c r="A1618" s="10">
        <v>46184</v>
      </c>
      <c r="B1618" t="s">
        <v>1</v>
      </c>
      <c r="C1618" t="s">
        <v>285</v>
      </c>
      <c r="D1618">
        <v>2</v>
      </c>
      <c r="E1618">
        <v>0</v>
      </c>
      <c r="I1618">
        <v>2</v>
      </c>
      <c r="M1618" t="s">
        <v>1735</v>
      </c>
    </row>
    <row r="1619" spans="1:13" ht="15" customHeight="1">
      <c r="A1619" s="10">
        <v>46184</v>
      </c>
      <c r="B1619" t="s">
        <v>1</v>
      </c>
      <c r="C1619" t="s">
        <v>287</v>
      </c>
      <c r="D1619">
        <v>2</v>
      </c>
      <c r="E1619">
        <v>0</v>
      </c>
      <c r="I1619">
        <v>2</v>
      </c>
      <c r="M1619" t="s">
        <v>1736</v>
      </c>
    </row>
    <row r="1620" spans="1:13" ht="15" customHeight="1">
      <c r="A1620" s="10">
        <v>46184</v>
      </c>
      <c r="B1620" t="s">
        <v>1</v>
      </c>
      <c r="C1620" t="s">
        <v>289</v>
      </c>
      <c r="D1620">
        <v>2</v>
      </c>
      <c r="E1620">
        <v>0</v>
      </c>
      <c r="I1620">
        <v>2</v>
      </c>
      <c r="M1620" t="s">
        <v>1737</v>
      </c>
    </row>
    <row r="1621" spans="1:13" ht="15" customHeight="1">
      <c r="A1621" s="10">
        <v>46184</v>
      </c>
      <c r="B1621" t="s">
        <v>1</v>
      </c>
      <c r="C1621" t="s">
        <v>291</v>
      </c>
      <c r="D1621">
        <v>2</v>
      </c>
      <c r="E1621">
        <v>0</v>
      </c>
      <c r="I1621">
        <v>2</v>
      </c>
      <c r="M1621" t="s">
        <v>1738</v>
      </c>
    </row>
    <row r="1622" spans="1:13" ht="15" customHeight="1">
      <c r="A1622" s="10">
        <v>46184</v>
      </c>
      <c r="B1622" t="s">
        <v>1</v>
      </c>
      <c r="C1622" t="s">
        <v>293</v>
      </c>
      <c r="D1622">
        <v>4</v>
      </c>
      <c r="E1622">
        <v>0</v>
      </c>
      <c r="I1622">
        <v>4</v>
      </c>
      <c r="M1622" t="s">
        <v>1739</v>
      </c>
    </row>
    <row r="1623" spans="1:13" ht="15" customHeight="1">
      <c r="A1623" s="10">
        <v>46184</v>
      </c>
      <c r="B1623" t="s">
        <v>1</v>
      </c>
      <c r="C1623" s="135" t="s">
        <v>138</v>
      </c>
      <c r="D1623">
        <v>0</v>
      </c>
      <c r="E1623">
        <v>36</v>
      </c>
      <c r="I1623">
        <v>0</v>
      </c>
      <c r="J1623">
        <v>25</v>
      </c>
      <c r="M1623" t="s">
        <v>1740</v>
      </c>
    </row>
    <row r="1624" spans="1:13" ht="15" customHeight="1">
      <c r="A1624" s="10">
        <v>46184</v>
      </c>
      <c r="B1624" t="s">
        <v>1</v>
      </c>
      <c r="C1624" s="135" t="s">
        <v>139</v>
      </c>
      <c r="D1624">
        <v>0</v>
      </c>
      <c r="E1624">
        <v>50</v>
      </c>
      <c r="I1624">
        <v>0</v>
      </c>
      <c r="J1624">
        <v>47</v>
      </c>
      <c r="M1624" t="s">
        <v>1741</v>
      </c>
    </row>
    <row r="1625" spans="1:13" ht="15" customHeight="1">
      <c r="A1625" s="10">
        <v>46184</v>
      </c>
      <c r="B1625" t="s">
        <v>1</v>
      </c>
      <c r="C1625" s="135" t="s">
        <v>140</v>
      </c>
      <c r="D1625">
        <v>0</v>
      </c>
      <c r="E1625">
        <v>28</v>
      </c>
      <c r="I1625">
        <v>0</v>
      </c>
      <c r="J1625">
        <v>27</v>
      </c>
      <c r="M1625" t="s">
        <v>1742</v>
      </c>
    </row>
    <row r="1626" spans="1:13" ht="15" customHeight="1">
      <c r="A1626" s="10">
        <v>46184</v>
      </c>
      <c r="B1626" t="s">
        <v>1</v>
      </c>
      <c r="C1626" s="135" t="s">
        <v>143</v>
      </c>
      <c r="D1626">
        <v>0</v>
      </c>
      <c r="E1626">
        <v>36</v>
      </c>
      <c r="I1626">
        <v>0</v>
      </c>
      <c r="J1626">
        <v>33</v>
      </c>
      <c r="M1626" t="s">
        <v>1743</v>
      </c>
    </row>
    <row r="1627" spans="1:13" ht="15" customHeight="1">
      <c r="A1627" s="10">
        <v>46184</v>
      </c>
      <c r="B1627" t="s">
        <v>1</v>
      </c>
      <c r="C1627" s="135" t="s">
        <v>145</v>
      </c>
      <c r="D1627">
        <v>0</v>
      </c>
      <c r="E1627">
        <v>39</v>
      </c>
      <c r="I1627">
        <v>0</v>
      </c>
      <c r="J1627">
        <v>36</v>
      </c>
      <c r="M1627" t="s">
        <v>1744</v>
      </c>
    </row>
    <row r="1628" spans="1:13" ht="15" customHeight="1">
      <c r="A1628" s="10">
        <v>46184</v>
      </c>
      <c r="B1628" t="s">
        <v>1</v>
      </c>
      <c r="C1628" s="135" t="s">
        <v>147</v>
      </c>
      <c r="D1628">
        <v>0</v>
      </c>
      <c r="E1628">
        <v>34</v>
      </c>
      <c r="I1628">
        <v>0</v>
      </c>
      <c r="J1628">
        <v>34</v>
      </c>
      <c r="M1628" t="s">
        <v>1745</v>
      </c>
    </row>
    <row r="1629" spans="1:13" ht="15" customHeight="1">
      <c r="A1629" s="10">
        <v>46184</v>
      </c>
      <c r="B1629" t="s">
        <v>1</v>
      </c>
      <c r="C1629" t="s">
        <v>302</v>
      </c>
      <c r="D1629">
        <v>2</v>
      </c>
      <c r="E1629">
        <v>0</v>
      </c>
      <c r="I1629">
        <v>2</v>
      </c>
      <c r="M1629" t="s">
        <v>1746</v>
      </c>
    </row>
    <row r="1630" spans="1:13" ht="15" customHeight="1">
      <c r="A1630" s="10">
        <v>46184</v>
      </c>
      <c r="B1630" t="s">
        <v>1</v>
      </c>
      <c r="C1630" t="s">
        <v>150</v>
      </c>
      <c r="D1630">
        <v>2</v>
      </c>
      <c r="E1630">
        <v>0</v>
      </c>
      <c r="I1630">
        <v>2</v>
      </c>
      <c r="M1630" t="s">
        <v>1747</v>
      </c>
    </row>
    <row r="1631" spans="1:13" ht="15" customHeight="1">
      <c r="A1631" s="10">
        <v>46184</v>
      </c>
      <c r="B1631" t="s">
        <v>1</v>
      </c>
      <c r="C1631" t="s">
        <v>151</v>
      </c>
      <c r="D1631">
        <v>2</v>
      </c>
      <c r="E1631">
        <v>0</v>
      </c>
      <c r="I1631">
        <v>2</v>
      </c>
      <c r="M1631" t="s">
        <v>1748</v>
      </c>
    </row>
    <row r="1632" spans="1:13" ht="15" customHeight="1">
      <c r="A1632" s="10">
        <v>46184</v>
      </c>
      <c r="B1632" t="s">
        <v>1</v>
      </c>
      <c r="C1632" t="s">
        <v>152</v>
      </c>
      <c r="D1632">
        <v>2</v>
      </c>
      <c r="E1632">
        <v>0</v>
      </c>
      <c r="I1632">
        <v>2</v>
      </c>
      <c r="M1632" t="s">
        <v>1749</v>
      </c>
    </row>
    <row r="1633" spans="1:13" ht="15" customHeight="1">
      <c r="A1633" s="10">
        <v>46184</v>
      </c>
      <c r="B1633" t="s">
        <v>1</v>
      </c>
      <c r="C1633" t="s">
        <v>153</v>
      </c>
      <c r="D1633">
        <v>2</v>
      </c>
      <c r="E1633">
        <v>0</v>
      </c>
      <c r="I1633">
        <v>2</v>
      </c>
      <c r="M1633" t="s">
        <v>1750</v>
      </c>
    </row>
    <row r="1634" spans="1:13" ht="15" customHeight="1">
      <c r="A1634" s="10">
        <v>46184</v>
      </c>
      <c r="B1634" t="s">
        <v>1</v>
      </c>
      <c r="C1634" t="s">
        <v>308</v>
      </c>
      <c r="D1634">
        <v>0</v>
      </c>
      <c r="E1634">
        <v>4</v>
      </c>
      <c r="I1634">
        <v>0</v>
      </c>
      <c r="J1634">
        <v>3</v>
      </c>
      <c r="M1634" t="s">
        <v>1751</v>
      </c>
    </row>
    <row r="1635" spans="1:13" ht="15" customHeight="1">
      <c r="A1635" s="10">
        <v>46184</v>
      </c>
      <c r="B1635" t="s">
        <v>1</v>
      </c>
      <c r="C1635" t="s">
        <v>310</v>
      </c>
      <c r="D1635">
        <v>0</v>
      </c>
      <c r="E1635">
        <v>2</v>
      </c>
      <c r="I1635">
        <v>0</v>
      </c>
      <c r="J1635">
        <v>2</v>
      </c>
      <c r="M1635" t="s">
        <v>1752</v>
      </c>
    </row>
    <row r="1636" spans="1:13" ht="15" customHeight="1">
      <c r="A1636" s="10">
        <v>46184</v>
      </c>
      <c r="B1636" t="s">
        <v>1</v>
      </c>
      <c r="C1636" t="s">
        <v>312</v>
      </c>
      <c r="D1636">
        <v>0</v>
      </c>
      <c r="E1636">
        <v>3</v>
      </c>
      <c r="I1636">
        <v>0</v>
      </c>
      <c r="J1636">
        <v>3</v>
      </c>
      <c r="M1636" t="s">
        <v>1753</v>
      </c>
    </row>
    <row r="1637" spans="1:13" ht="15" customHeight="1">
      <c r="A1637" s="10">
        <v>46184</v>
      </c>
      <c r="B1637" t="s">
        <v>1</v>
      </c>
      <c r="C1637" t="s">
        <v>314</v>
      </c>
      <c r="D1637">
        <v>1</v>
      </c>
      <c r="E1637">
        <v>0</v>
      </c>
      <c r="I1637">
        <v>1</v>
      </c>
      <c r="M1637" t="s">
        <v>1754</v>
      </c>
    </row>
    <row r="1638" spans="1:13" ht="15" customHeight="1">
      <c r="A1638" s="10">
        <v>46184</v>
      </c>
      <c r="B1638" t="s">
        <v>1</v>
      </c>
      <c r="C1638" t="s">
        <v>316</v>
      </c>
      <c r="D1638">
        <v>1</v>
      </c>
      <c r="E1638">
        <v>0</v>
      </c>
      <c r="I1638">
        <v>1</v>
      </c>
      <c r="M1638" t="s">
        <v>1755</v>
      </c>
    </row>
    <row r="1639" spans="1:13" ht="15" customHeight="1">
      <c r="A1639" s="10">
        <v>46184</v>
      </c>
      <c r="B1639" t="s">
        <v>1</v>
      </c>
      <c r="C1639" t="s">
        <v>318</v>
      </c>
      <c r="D1639">
        <v>4</v>
      </c>
      <c r="E1639">
        <v>0</v>
      </c>
      <c r="I1639">
        <v>4</v>
      </c>
      <c r="M1639" t="s">
        <v>1756</v>
      </c>
    </row>
    <row r="1640" spans="1:13" ht="15" customHeight="1">
      <c r="A1640" s="10">
        <v>46184</v>
      </c>
      <c r="B1640" t="s">
        <v>1</v>
      </c>
      <c r="C1640" t="s">
        <v>320</v>
      </c>
      <c r="D1640">
        <v>3</v>
      </c>
      <c r="E1640">
        <v>0</v>
      </c>
      <c r="I1640">
        <v>3</v>
      </c>
      <c r="M1640" t="s">
        <v>1757</v>
      </c>
    </row>
    <row r="1641" spans="1:13" ht="15" customHeight="1">
      <c r="A1641" s="10">
        <v>46184</v>
      </c>
      <c r="B1641" t="s">
        <v>1</v>
      </c>
      <c r="C1641" s="135" t="s">
        <v>168</v>
      </c>
      <c r="D1641">
        <v>1</v>
      </c>
      <c r="E1641">
        <v>0</v>
      </c>
      <c r="I1641">
        <v>1</v>
      </c>
      <c r="M1641" t="s">
        <v>1758</v>
      </c>
    </row>
    <row r="1642" spans="1:13" ht="15" customHeight="1">
      <c r="A1642" s="10">
        <v>46184</v>
      </c>
      <c r="B1642" t="s">
        <v>1</v>
      </c>
      <c r="C1642" s="135" t="s">
        <v>170</v>
      </c>
      <c r="D1642">
        <v>1</v>
      </c>
      <c r="E1642">
        <v>0</v>
      </c>
      <c r="I1642">
        <v>1</v>
      </c>
      <c r="M1642" t="s">
        <v>1759</v>
      </c>
    </row>
    <row r="1643" spans="1:13" ht="15" customHeight="1">
      <c r="A1643" s="10">
        <v>46184</v>
      </c>
      <c r="B1643" t="s">
        <v>1</v>
      </c>
      <c r="C1643" s="135" t="s">
        <v>171</v>
      </c>
      <c r="D1643">
        <v>2</v>
      </c>
      <c r="E1643">
        <v>0</v>
      </c>
      <c r="I1643">
        <v>2</v>
      </c>
      <c r="M1643" t="s">
        <v>1760</v>
      </c>
    </row>
    <row r="1644" spans="1:13" ht="15" customHeight="1">
      <c r="A1644" s="10">
        <v>46184</v>
      </c>
      <c r="B1644" t="s">
        <v>1</v>
      </c>
      <c r="C1644" s="135" t="s">
        <v>172</v>
      </c>
      <c r="D1644">
        <v>1</v>
      </c>
      <c r="E1644">
        <v>0</v>
      </c>
      <c r="I1644">
        <v>1</v>
      </c>
      <c r="M1644" t="s">
        <v>1761</v>
      </c>
    </row>
    <row r="1645" spans="1:13" ht="15" customHeight="1">
      <c r="A1645" s="10">
        <v>46184</v>
      </c>
      <c r="B1645" t="s">
        <v>1</v>
      </c>
      <c r="C1645" t="s">
        <v>176</v>
      </c>
      <c r="D1645">
        <v>0</v>
      </c>
      <c r="E1645">
        <v>9</v>
      </c>
      <c r="I1645">
        <v>0</v>
      </c>
      <c r="J1645">
        <v>9</v>
      </c>
      <c r="M1645" t="s">
        <v>1762</v>
      </c>
    </row>
    <row r="1646" spans="1:13" ht="15" customHeight="1">
      <c r="A1646" s="10">
        <v>46184</v>
      </c>
      <c r="B1646" t="s">
        <v>1</v>
      </c>
      <c r="C1646" t="s">
        <v>178</v>
      </c>
      <c r="D1646">
        <v>0</v>
      </c>
      <c r="E1646">
        <v>1</v>
      </c>
      <c r="G1646">
        <v>10</v>
      </c>
      <c r="H1646">
        <v>1</v>
      </c>
      <c r="I1646">
        <v>0</v>
      </c>
      <c r="J1646">
        <v>10</v>
      </c>
      <c r="M1646" t="s">
        <v>1763</v>
      </c>
    </row>
    <row r="1647" spans="1:13" ht="15" customHeight="1">
      <c r="A1647" s="10">
        <v>46184</v>
      </c>
      <c r="B1647" t="s">
        <v>1</v>
      </c>
      <c r="C1647" t="s">
        <v>179</v>
      </c>
      <c r="D1647">
        <v>0</v>
      </c>
      <c r="E1647">
        <v>12</v>
      </c>
      <c r="I1647">
        <v>0</v>
      </c>
      <c r="J1647">
        <v>12</v>
      </c>
      <c r="M1647" t="s">
        <v>1764</v>
      </c>
    </row>
    <row r="1648" spans="1:13" ht="15" customHeight="1">
      <c r="A1648" s="10">
        <v>46184</v>
      </c>
      <c r="B1648" t="s">
        <v>1</v>
      </c>
      <c r="C1648" t="s">
        <v>180</v>
      </c>
      <c r="D1648">
        <v>0</v>
      </c>
      <c r="E1648">
        <v>8</v>
      </c>
      <c r="G1648">
        <v>10</v>
      </c>
      <c r="H1648">
        <v>2</v>
      </c>
      <c r="I1648">
        <v>0</v>
      </c>
      <c r="J1648">
        <v>16</v>
      </c>
      <c r="M1648" t="s">
        <v>1765</v>
      </c>
    </row>
    <row r="1649" spans="1:13" ht="15" customHeight="1">
      <c r="A1649" s="10">
        <v>46184</v>
      </c>
      <c r="B1649" t="s">
        <v>1</v>
      </c>
      <c r="C1649" s="135" t="s">
        <v>182</v>
      </c>
      <c r="D1649">
        <v>0</v>
      </c>
      <c r="E1649">
        <v>270</v>
      </c>
      <c r="I1649">
        <v>0</v>
      </c>
      <c r="J1649">
        <v>270</v>
      </c>
      <c r="M1649" t="s">
        <v>1766</v>
      </c>
    </row>
    <row r="1650" spans="1:13" ht="15" customHeight="1">
      <c r="A1650" s="10">
        <v>46184</v>
      </c>
      <c r="B1650" t="s">
        <v>1</v>
      </c>
      <c r="C1650" s="135" t="s">
        <v>184</v>
      </c>
      <c r="D1650">
        <v>1</v>
      </c>
      <c r="E1650">
        <v>17</v>
      </c>
      <c r="I1650">
        <v>1</v>
      </c>
      <c r="J1650">
        <v>7</v>
      </c>
      <c r="M1650" t="s">
        <v>1767</v>
      </c>
    </row>
    <row r="1651" spans="1:13" ht="15" customHeight="1">
      <c r="A1651" s="10">
        <v>46184</v>
      </c>
      <c r="B1651" t="s">
        <v>1</v>
      </c>
      <c r="C1651" s="135" t="s">
        <v>185</v>
      </c>
      <c r="D1651">
        <v>1</v>
      </c>
      <c r="E1651">
        <v>56</v>
      </c>
      <c r="I1651">
        <v>1</v>
      </c>
      <c r="J1651">
        <v>56</v>
      </c>
      <c r="M1651" t="s">
        <v>1768</v>
      </c>
    </row>
    <row r="1652" spans="1:13" ht="15" customHeight="1">
      <c r="A1652" s="10">
        <v>46184</v>
      </c>
      <c r="B1652" t="s">
        <v>1</v>
      </c>
      <c r="C1652" s="135" t="s">
        <v>186</v>
      </c>
      <c r="D1652">
        <v>1</v>
      </c>
      <c r="E1652">
        <v>74</v>
      </c>
      <c r="I1652">
        <v>1</v>
      </c>
      <c r="J1652">
        <v>60</v>
      </c>
      <c r="M1652" t="s">
        <v>1769</v>
      </c>
    </row>
    <row r="1653" spans="1:13" ht="15" customHeight="1">
      <c r="A1653" s="10">
        <v>46184</v>
      </c>
      <c r="B1653" t="s">
        <v>1</v>
      </c>
      <c r="C1653" t="s">
        <v>337</v>
      </c>
      <c r="D1653">
        <v>2</v>
      </c>
      <c r="E1653">
        <v>225</v>
      </c>
      <c r="I1653">
        <v>2</v>
      </c>
      <c r="M1653" t="s">
        <v>1770</v>
      </c>
    </row>
    <row r="1654" spans="1:13" ht="15" customHeight="1">
      <c r="A1654" s="10">
        <v>46184</v>
      </c>
      <c r="B1654" t="s">
        <v>1</v>
      </c>
      <c r="C1654" s="135" t="s">
        <v>191</v>
      </c>
      <c r="D1654">
        <v>1</v>
      </c>
      <c r="E1654">
        <v>340</v>
      </c>
      <c r="I1654">
        <v>1</v>
      </c>
      <c r="J1654">
        <v>290</v>
      </c>
      <c r="M1654" t="s">
        <v>1771</v>
      </c>
    </row>
    <row r="1655" spans="1:13" ht="15" customHeight="1">
      <c r="A1655" s="10">
        <v>46184</v>
      </c>
      <c r="B1655" t="s">
        <v>1</v>
      </c>
      <c r="C1655" s="135" t="s">
        <v>193</v>
      </c>
      <c r="D1655">
        <v>1</v>
      </c>
      <c r="E1655">
        <v>466</v>
      </c>
      <c r="I1655">
        <v>1</v>
      </c>
      <c r="J1655">
        <v>466</v>
      </c>
      <c r="M1655" t="s">
        <v>1772</v>
      </c>
    </row>
    <row r="1656" spans="1:13" ht="15" customHeight="1">
      <c r="A1656" s="10">
        <v>46184</v>
      </c>
      <c r="B1656" t="s">
        <v>1</v>
      </c>
      <c r="C1656" s="135" t="s">
        <v>194</v>
      </c>
      <c r="D1656">
        <v>1</v>
      </c>
      <c r="E1656">
        <v>29</v>
      </c>
      <c r="I1656">
        <v>1</v>
      </c>
      <c r="J1656">
        <v>29</v>
      </c>
      <c r="M1656" t="s">
        <v>1773</v>
      </c>
    </row>
    <row r="1657" spans="1:13" ht="15" customHeight="1">
      <c r="A1657" s="10">
        <v>46184</v>
      </c>
      <c r="B1657" t="s">
        <v>1</v>
      </c>
      <c r="C1657" s="135" t="s">
        <v>196</v>
      </c>
      <c r="D1657">
        <v>1</v>
      </c>
      <c r="E1657">
        <v>98</v>
      </c>
      <c r="I1657">
        <v>1</v>
      </c>
      <c r="J1657">
        <v>98</v>
      </c>
      <c r="M1657" t="s">
        <v>1774</v>
      </c>
    </row>
    <row r="1658" spans="1:13" ht="15" customHeight="1">
      <c r="A1658" s="10">
        <v>46184</v>
      </c>
      <c r="B1658" t="s">
        <v>1</v>
      </c>
      <c r="C1658" t="s">
        <v>232</v>
      </c>
      <c r="D1658">
        <v>20</v>
      </c>
      <c r="E1658">
        <v>0</v>
      </c>
      <c r="I1658">
        <v>0</v>
      </c>
      <c r="J1658">
        <v>0</v>
      </c>
      <c r="K1658">
        <v>20</v>
      </c>
      <c r="M1658" t="s">
        <v>1775</v>
      </c>
    </row>
    <row r="1659" spans="1:13" ht="15" customHeight="1">
      <c r="A1659" s="10">
        <v>46185</v>
      </c>
      <c r="B1659" t="s">
        <v>1</v>
      </c>
      <c r="C1659" t="s">
        <v>23</v>
      </c>
      <c r="D1659">
        <v>2</v>
      </c>
      <c r="E1659">
        <v>1778</v>
      </c>
      <c r="I1659">
        <v>2</v>
      </c>
      <c r="J1659">
        <v>542</v>
      </c>
      <c r="M1659" t="s">
        <v>1776</v>
      </c>
    </row>
    <row r="1660" spans="1:13" ht="15" customHeight="1">
      <c r="A1660" s="10">
        <v>46185</v>
      </c>
      <c r="B1660" t="s">
        <v>1</v>
      </c>
      <c r="C1660" t="s">
        <v>26</v>
      </c>
      <c r="D1660">
        <v>1</v>
      </c>
      <c r="E1660">
        <v>343</v>
      </c>
      <c r="I1660">
        <v>1</v>
      </c>
      <c r="J1660">
        <v>340</v>
      </c>
      <c r="M1660" t="s">
        <v>1777</v>
      </c>
    </row>
    <row r="1661" spans="1:13" ht="15" customHeight="1">
      <c r="A1661" s="10">
        <v>46185</v>
      </c>
      <c r="B1661" t="s">
        <v>1</v>
      </c>
      <c r="C1661" t="s">
        <v>27</v>
      </c>
      <c r="D1661">
        <v>1</v>
      </c>
      <c r="E1661">
        <v>490</v>
      </c>
      <c r="I1661">
        <v>1</v>
      </c>
      <c r="J1661">
        <v>330</v>
      </c>
      <c r="M1661" t="s">
        <v>1778</v>
      </c>
    </row>
    <row r="1662" spans="1:13" ht="15" customHeight="1">
      <c r="A1662" s="10">
        <v>46185</v>
      </c>
      <c r="B1662" t="s">
        <v>1</v>
      </c>
      <c r="C1662" t="s">
        <v>28</v>
      </c>
      <c r="D1662">
        <v>0</v>
      </c>
      <c r="E1662">
        <v>0</v>
      </c>
      <c r="I1662">
        <v>0</v>
      </c>
      <c r="J1662">
        <v>0</v>
      </c>
      <c r="M1662" t="s">
        <v>1779</v>
      </c>
    </row>
    <row r="1663" spans="1:13" ht="15" customHeight="1">
      <c r="A1663" s="10">
        <v>46185</v>
      </c>
      <c r="B1663" t="s">
        <v>1</v>
      </c>
      <c r="C1663" t="s">
        <v>29</v>
      </c>
      <c r="D1663">
        <v>1</v>
      </c>
      <c r="E1663">
        <v>81</v>
      </c>
      <c r="I1663">
        <v>1</v>
      </c>
      <c r="J1663">
        <v>0</v>
      </c>
      <c r="M1663" t="s">
        <v>1780</v>
      </c>
    </row>
    <row r="1664" spans="1:13" ht="15" customHeight="1">
      <c r="A1664" s="10">
        <v>46185</v>
      </c>
      <c r="B1664" t="s">
        <v>1</v>
      </c>
      <c r="C1664" t="s">
        <v>30</v>
      </c>
      <c r="D1664">
        <v>1</v>
      </c>
      <c r="E1664">
        <v>508</v>
      </c>
      <c r="I1664">
        <v>1</v>
      </c>
      <c r="J1664">
        <v>500</v>
      </c>
      <c r="M1664" t="s">
        <v>1781</v>
      </c>
    </row>
    <row r="1665" spans="1:13" ht="15" customHeight="1">
      <c r="A1665" s="10">
        <v>46185</v>
      </c>
      <c r="B1665" t="s">
        <v>1</v>
      </c>
      <c r="C1665" t="s">
        <v>31</v>
      </c>
      <c r="D1665">
        <v>0</v>
      </c>
      <c r="E1665">
        <v>972</v>
      </c>
      <c r="I1665">
        <v>0</v>
      </c>
      <c r="J1665">
        <v>599</v>
      </c>
      <c r="M1665" t="s">
        <v>1782</v>
      </c>
    </row>
    <row r="1666" spans="1:13" ht="15" customHeight="1">
      <c r="A1666" s="10">
        <v>46185</v>
      </c>
      <c r="B1666" t="s">
        <v>1</v>
      </c>
      <c r="C1666" t="s">
        <v>32</v>
      </c>
      <c r="D1666">
        <v>2</v>
      </c>
      <c r="E1666">
        <v>303</v>
      </c>
      <c r="I1666">
        <v>2</v>
      </c>
      <c r="J1666">
        <v>303</v>
      </c>
      <c r="M1666" t="s">
        <v>1783</v>
      </c>
    </row>
    <row r="1667" spans="1:13" ht="15" customHeight="1">
      <c r="A1667" s="10">
        <v>46185</v>
      </c>
      <c r="B1667" t="s">
        <v>1</v>
      </c>
      <c r="C1667" t="s">
        <v>223</v>
      </c>
      <c r="D1667">
        <v>6</v>
      </c>
      <c r="E1667">
        <v>655</v>
      </c>
      <c r="I1667">
        <v>5</v>
      </c>
      <c r="J1667">
        <v>863</v>
      </c>
      <c r="M1667" t="s">
        <v>1784</v>
      </c>
    </row>
    <row r="1668" spans="1:13" ht="15" customHeight="1">
      <c r="A1668" s="10">
        <v>46185</v>
      </c>
      <c r="B1668" t="s">
        <v>1</v>
      </c>
      <c r="C1668" t="s">
        <v>35</v>
      </c>
      <c r="D1668">
        <v>8</v>
      </c>
      <c r="E1668">
        <v>0</v>
      </c>
      <c r="H1668">
        <v>2</v>
      </c>
      <c r="I1668">
        <v>6</v>
      </c>
      <c r="M1668" t="s">
        <v>1785</v>
      </c>
    </row>
    <row r="1669" spans="1:13" ht="15" customHeight="1">
      <c r="A1669" s="10">
        <v>46185</v>
      </c>
      <c r="B1669" t="s">
        <v>1</v>
      </c>
      <c r="C1669" t="s">
        <v>37</v>
      </c>
      <c r="D1669">
        <v>4</v>
      </c>
      <c r="E1669">
        <v>0</v>
      </c>
      <c r="I1669">
        <v>4</v>
      </c>
      <c r="M1669" t="s">
        <v>1786</v>
      </c>
    </row>
    <row r="1670" spans="1:13" ht="15" customHeight="1">
      <c r="A1670" s="10">
        <v>46185</v>
      </c>
      <c r="B1670" t="s">
        <v>1</v>
      </c>
      <c r="C1670" t="s">
        <v>39</v>
      </c>
      <c r="D1670">
        <v>15</v>
      </c>
      <c r="E1670">
        <v>0</v>
      </c>
      <c r="I1670">
        <v>15</v>
      </c>
      <c r="J1670">
        <v>0</v>
      </c>
      <c r="M1670" t="s">
        <v>1787</v>
      </c>
    </row>
    <row r="1671" spans="1:13" ht="15" customHeight="1">
      <c r="A1671" s="10">
        <v>46185</v>
      </c>
      <c r="B1671" t="s">
        <v>1</v>
      </c>
      <c r="C1671" t="s">
        <v>41</v>
      </c>
      <c r="D1671">
        <v>14</v>
      </c>
      <c r="E1671">
        <v>0</v>
      </c>
      <c r="H1671">
        <v>1</v>
      </c>
      <c r="I1671">
        <v>13</v>
      </c>
      <c r="J1671">
        <v>0</v>
      </c>
      <c r="M1671" t="s">
        <v>1788</v>
      </c>
    </row>
    <row r="1672" spans="1:13" ht="15" customHeight="1">
      <c r="A1672" s="10">
        <v>46185</v>
      </c>
      <c r="B1672" t="s">
        <v>1</v>
      </c>
      <c r="C1672" t="s">
        <v>232</v>
      </c>
      <c r="D1672">
        <v>0</v>
      </c>
      <c r="E1672">
        <v>0</v>
      </c>
      <c r="H1672">
        <v>0</v>
      </c>
      <c r="I1672">
        <v>0</v>
      </c>
      <c r="J1672">
        <v>0</v>
      </c>
      <c r="M1672" t="s">
        <v>1789</v>
      </c>
    </row>
    <row r="1673" spans="1:13" ht="15" customHeight="1">
      <c r="A1673" s="10">
        <v>46185</v>
      </c>
      <c r="B1673" t="s">
        <v>1</v>
      </c>
      <c r="C1673" t="s">
        <v>234</v>
      </c>
      <c r="D1673">
        <v>46</v>
      </c>
      <c r="E1673">
        <v>0</v>
      </c>
      <c r="H1673">
        <v>9</v>
      </c>
      <c r="I1673">
        <v>37</v>
      </c>
      <c r="J1673">
        <v>0</v>
      </c>
      <c r="M1673" t="s">
        <v>1790</v>
      </c>
    </row>
    <row r="1674" spans="1:13" ht="15" customHeight="1">
      <c r="A1674" s="10">
        <v>46185</v>
      </c>
      <c r="B1674" t="s">
        <v>1</v>
      </c>
      <c r="C1674" t="s">
        <v>237</v>
      </c>
      <c r="D1674">
        <v>10</v>
      </c>
      <c r="E1674">
        <v>0</v>
      </c>
      <c r="H1674">
        <v>1</v>
      </c>
      <c r="I1674">
        <v>9</v>
      </c>
      <c r="J1674">
        <v>0</v>
      </c>
      <c r="M1674" t="s">
        <v>1791</v>
      </c>
    </row>
    <row r="1675" spans="1:13" ht="15" customHeight="1">
      <c r="A1675" s="10">
        <v>46185</v>
      </c>
      <c r="B1675" t="s">
        <v>1</v>
      </c>
      <c r="C1675" s="135" t="s">
        <v>58</v>
      </c>
      <c r="D1675">
        <v>6</v>
      </c>
      <c r="E1675">
        <v>0</v>
      </c>
      <c r="H1675">
        <v>2</v>
      </c>
      <c r="I1675">
        <v>4</v>
      </c>
      <c r="J1675">
        <v>0</v>
      </c>
      <c r="M1675" t="s">
        <v>1792</v>
      </c>
    </row>
    <row r="1676" spans="1:13" ht="15" customHeight="1">
      <c r="A1676" s="10">
        <v>46185</v>
      </c>
      <c r="B1676" t="s">
        <v>1</v>
      </c>
      <c r="C1676" s="135" t="s">
        <v>60</v>
      </c>
      <c r="D1676">
        <v>7</v>
      </c>
      <c r="E1676">
        <v>0</v>
      </c>
      <c r="H1676">
        <v>6</v>
      </c>
      <c r="I1676">
        <v>1</v>
      </c>
      <c r="J1676">
        <v>0</v>
      </c>
      <c r="M1676" t="s">
        <v>1793</v>
      </c>
    </row>
    <row r="1677" spans="1:13" ht="15" customHeight="1">
      <c r="A1677" s="10">
        <v>46185</v>
      </c>
      <c r="B1677" t="s">
        <v>1</v>
      </c>
      <c r="C1677" s="135" t="s">
        <v>61</v>
      </c>
      <c r="D1677">
        <v>1</v>
      </c>
      <c r="E1677">
        <v>0</v>
      </c>
      <c r="H1677">
        <v>1</v>
      </c>
      <c r="I1677">
        <v>0</v>
      </c>
      <c r="J1677">
        <v>0</v>
      </c>
      <c r="M1677" t="s">
        <v>1794</v>
      </c>
    </row>
    <row r="1678" spans="1:13" ht="15" customHeight="1">
      <c r="A1678" s="10">
        <v>46185</v>
      </c>
      <c r="B1678" t="s">
        <v>1</v>
      </c>
      <c r="C1678" s="135" t="s">
        <v>62</v>
      </c>
      <c r="D1678">
        <v>4</v>
      </c>
      <c r="E1678">
        <v>0</v>
      </c>
      <c r="H1678">
        <v>2</v>
      </c>
      <c r="I1678">
        <v>2</v>
      </c>
      <c r="J1678">
        <v>0</v>
      </c>
      <c r="M1678" t="s">
        <v>1795</v>
      </c>
    </row>
    <row r="1679" spans="1:13" ht="15" customHeight="1">
      <c r="A1679" s="10">
        <v>46185</v>
      </c>
      <c r="B1679" t="s">
        <v>1</v>
      </c>
      <c r="C1679" s="135" t="s">
        <v>63</v>
      </c>
      <c r="D1679">
        <v>2</v>
      </c>
      <c r="E1679">
        <v>0</v>
      </c>
      <c r="H1679">
        <v>1</v>
      </c>
      <c r="I1679">
        <v>1</v>
      </c>
      <c r="J1679">
        <v>0</v>
      </c>
      <c r="M1679" t="s">
        <v>1796</v>
      </c>
    </row>
    <row r="1680" spans="1:13" ht="15" customHeight="1">
      <c r="A1680" s="10">
        <v>46185</v>
      </c>
      <c r="B1680" t="s">
        <v>1</v>
      </c>
      <c r="C1680" s="135" t="s">
        <v>64</v>
      </c>
      <c r="D1680">
        <v>6</v>
      </c>
      <c r="E1680">
        <v>0</v>
      </c>
      <c r="H1680">
        <v>2</v>
      </c>
      <c r="I1680">
        <v>4</v>
      </c>
      <c r="J1680">
        <v>0</v>
      </c>
      <c r="M1680" t="s">
        <v>1797</v>
      </c>
    </row>
    <row r="1681" spans="1:13" ht="15" customHeight="1">
      <c r="A1681" s="10">
        <v>46185</v>
      </c>
      <c r="B1681" t="s">
        <v>1</v>
      </c>
      <c r="C1681" t="s">
        <v>66</v>
      </c>
      <c r="D1681">
        <v>5</v>
      </c>
      <c r="E1681">
        <v>0</v>
      </c>
      <c r="I1681">
        <v>5</v>
      </c>
      <c r="J1681">
        <v>0</v>
      </c>
      <c r="M1681" t="s">
        <v>1798</v>
      </c>
    </row>
    <row r="1682" spans="1:13" ht="15" customHeight="1">
      <c r="A1682" s="10">
        <v>46185</v>
      </c>
      <c r="B1682" t="s">
        <v>1</v>
      </c>
      <c r="C1682" t="s">
        <v>67</v>
      </c>
      <c r="D1682">
        <v>6</v>
      </c>
      <c r="E1682">
        <v>0</v>
      </c>
      <c r="H1682">
        <v>1</v>
      </c>
      <c r="I1682">
        <v>5</v>
      </c>
      <c r="J1682">
        <v>0</v>
      </c>
      <c r="M1682" t="s">
        <v>1799</v>
      </c>
    </row>
    <row r="1683" spans="1:13" ht="15" customHeight="1">
      <c r="A1683" s="10">
        <v>46185</v>
      </c>
      <c r="B1683" t="s">
        <v>1</v>
      </c>
      <c r="C1683" t="s">
        <v>71</v>
      </c>
      <c r="D1683">
        <v>2</v>
      </c>
      <c r="E1683">
        <v>208</v>
      </c>
      <c r="I1683">
        <v>2</v>
      </c>
      <c r="J1683">
        <v>134</v>
      </c>
      <c r="M1683" t="s">
        <v>1800</v>
      </c>
    </row>
    <row r="1684" spans="1:13" ht="15" customHeight="1">
      <c r="A1684" s="10">
        <v>46185</v>
      </c>
      <c r="B1684" t="s">
        <v>1</v>
      </c>
      <c r="C1684" t="s">
        <v>73</v>
      </c>
      <c r="D1684">
        <v>2</v>
      </c>
      <c r="E1684">
        <v>295</v>
      </c>
      <c r="I1684">
        <v>2</v>
      </c>
      <c r="J1684">
        <v>262</v>
      </c>
      <c r="M1684" t="s">
        <v>1801</v>
      </c>
    </row>
    <row r="1685" spans="1:13" ht="15" customHeight="1">
      <c r="A1685" s="10">
        <v>46185</v>
      </c>
      <c r="B1685" t="s">
        <v>1</v>
      </c>
      <c r="C1685" t="s">
        <v>75</v>
      </c>
      <c r="D1685">
        <v>1</v>
      </c>
      <c r="E1685">
        <v>212</v>
      </c>
      <c r="I1685">
        <v>0</v>
      </c>
      <c r="J1685">
        <v>212</v>
      </c>
      <c r="M1685" t="s">
        <v>1802</v>
      </c>
    </row>
    <row r="1686" spans="1:13" ht="15" customHeight="1">
      <c r="A1686" s="10">
        <v>46185</v>
      </c>
      <c r="B1686" t="s">
        <v>1</v>
      </c>
      <c r="C1686" t="s">
        <v>77</v>
      </c>
      <c r="D1686">
        <v>0</v>
      </c>
      <c r="E1686">
        <v>890</v>
      </c>
      <c r="I1686">
        <v>0</v>
      </c>
      <c r="J1686">
        <v>890</v>
      </c>
      <c r="M1686" t="s">
        <v>1803</v>
      </c>
    </row>
    <row r="1687" spans="1:13" ht="15" customHeight="1">
      <c r="A1687" s="10">
        <v>46185</v>
      </c>
      <c r="B1687" t="s">
        <v>1</v>
      </c>
      <c r="C1687" t="s">
        <v>79</v>
      </c>
      <c r="D1687">
        <v>1</v>
      </c>
      <c r="E1687">
        <v>331</v>
      </c>
      <c r="I1687">
        <v>1</v>
      </c>
      <c r="J1687">
        <v>158</v>
      </c>
      <c r="M1687" t="s">
        <v>1804</v>
      </c>
    </row>
    <row r="1688" spans="1:13" ht="15" customHeight="1">
      <c r="A1688" s="10">
        <v>46185</v>
      </c>
      <c r="B1688" t="s">
        <v>1</v>
      </c>
      <c r="C1688" t="s">
        <v>81</v>
      </c>
      <c r="D1688">
        <v>1</v>
      </c>
      <c r="E1688">
        <v>369</v>
      </c>
      <c r="I1688">
        <v>1</v>
      </c>
      <c r="J1688">
        <v>369</v>
      </c>
      <c r="M1688" t="s">
        <v>1805</v>
      </c>
    </row>
    <row r="1689" spans="1:13" ht="15" customHeight="1">
      <c r="A1689" s="10">
        <v>46185</v>
      </c>
      <c r="B1689" t="s">
        <v>1</v>
      </c>
      <c r="C1689" t="s">
        <v>83</v>
      </c>
      <c r="D1689">
        <v>1</v>
      </c>
      <c r="E1689">
        <v>342</v>
      </c>
      <c r="I1689">
        <v>1</v>
      </c>
      <c r="J1689">
        <v>342</v>
      </c>
      <c r="M1689" t="s">
        <v>1806</v>
      </c>
    </row>
    <row r="1690" spans="1:13" ht="15" customHeight="1">
      <c r="A1690" s="10">
        <v>46185</v>
      </c>
      <c r="B1690" t="s">
        <v>1</v>
      </c>
      <c r="C1690" t="s">
        <v>84</v>
      </c>
      <c r="D1690">
        <v>1</v>
      </c>
      <c r="E1690">
        <v>291</v>
      </c>
      <c r="I1690">
        <v>1</v>
      </c>
      <c r="J1690">
        <v>391</v>
      </c>
      <c r="M1690" t="s">
        <v>1807</v>
      </c>
    </row>
    <row r="1691" spans="1:13" ht="15" customHeight="1">
      <c r="A1691" s="10">
        <v>46185</v>
      </c>
      <c r="B1691" t="s">
        <v>1</v>
      </c>
      <c r="C1691" t="s">
        <v>85</v>
      </c>
      <c r="D1691">
        <v>0</v>
      </c>
      <c r="E1691">
        <v>160</v>
      </c>
      <c r="I1691">
        <v>0</v>
      </c>
      <c r="J1691">
        <v>150</v>
      </c>
      <c r="M1691" t="s">
        <v>1808</v>
      </c>
    </row>
    <row r="1692" spans="1:13" ht="15" customHeight="1">
      <c r="A1692" s="10">
        <v>46185</v>
      </c>
      <c r="B1692" t="s">
        <v>1</v>
      </c>
      <c r="C1692" t="s">
        <v>87</v>
      </c>
      <c r="D1692">
        <v>2</v>
      </c>
      <c r="E1692">
        <v>167</v>
      </c>
      <c r="I1692">
        <v>2</v>
      </c>
      <c r="J1692">
        <v>155</v>
      </c>
      <c r="M1692" t="s">
        <v>1809</v>
      </c>
    </row>
    <row r="1693" spans="1:13" ht="15" customHeight="1">
      <c r="A1693" s="10">
        <v>46185</v>
      </c>
      <c r="B1693" t="s">
        <v>1</v>
      </c>
      <c r="C1693" t="s">
        <v>88</v>
      </c>
      <c r="D1693">
        <v>1</v>
      </c>
      <c r="E1693">
        <v>264</v>
      </c>
      <c r="I1693">
        <v>1</v>
      </c>
      <c r="J1693">
        <v>260</v>
      </c>
      <c r="M1693" t="s">
        <v>1810</v>
      </c>
    </row>
    <row r="1694" spans="1:13" ht="15" customHeight="1">
      <c r="A1694" s="10">
        <v>46185</v>
      </c>
      <c r="B1694" t="s">
        <v>1</v>
      </c>
      <c r="C1694" t="s">
        <v>89</v>
      </c>
      <c r="D1694">
        <v>1</v>
      </c>
      <c r="E1694">
        <v>352</v>
      </c>
      <c r="I1694">
        <v>1</v>
      </c>
      <c r="J1694">
        <v>347</v>
      </c>
      <c r="M1694" t="s">
        <v>1811</v>
      </c>
    </row>
    <row r="1695" spans="1:13" ht="15" customHeight="1">
      <c r="A1695" s="10">
        <v>46185</v>
      </c>
      <c r="B1695" t="s">
        <v>1</v>
      </c>
      <c r="C1695" t="s">
        <v>90</v>
      </c>
      <c r="D1695">
        <v>1</v>
      </c>
      <c r="E1695">
        <v>830</v>
      </c>
      <c r="I1695">
        <v>1</v>
      </c>
      <c r="J1695">
        <v>830</v>
      </c>
      <c r="M1695" t="s">
        <v>1812</v>
      </c>
    </row>
    <row r="1696" spans="1:13" ht="15" customHeight="1">
      <c r="A1696" s="10">
        <v>46185</v>
      </c>
      <c r="B1696" t="s">
        <v>1</v>
      </c>
      <c r="C1696" t="s">
        <v>92</v>
      </c>
      <c r="D1696">
        <v>1</v>
      </c>
      <c r="E1696">
        <v>815</v>
      </c>
      <c r="I1696">
        <v>1</v>
      </c>
      <c r="J1696">
        <v>815</v>
      </c>
      <c r="M1696" t="s">
        <v>1813</v>
      </c>
    </row>
    <row r="1697" spans="1:13" ht="15" customHeight="1">
      <c r="A1697" s="10">
        <v>46185</v>
      </c>
      <c r="B1697" t="s">
        <v>1</v>
      </c>
      <c r="C1697" t="s">
        <v>94</v>
      </c>
      <c r="D1697">
        <v>5</v>
      </c>
      <c r="E1697">
        <v>78</v>
      </c>
      <c r="I1697">
        <v>5</v>
      </c>
      <c r="M1697" t="s">
        <v>1814</v>
      </c>
    </row>
    <row r="1698" spans="1:13" ht="15" customHeight="1">
      <c r="A1698" s="10">
        <v>46185</v>
      </c>
      <c r="B1698" t="s">
        <v>1</v>
      </c>
      <c r="C1698" t="s">
        <v>203</v>
      </c>
      <c r="D1698">
        <v>3</v>
      </c>
      <c r="E1698">
        <v>124</v>
      </c>
      <c r="I1698">
        <v>3</v>
      </c>
      <c r="J1698">
        <v>117</v>
      </c>
      <c r="M1698" t="s">
        <v>1815</v>
      </c>
    </row>
    <row r="1699" spans="1:13" ht="15" customHeight="1">
      <c r="A1699" s="10">
        <v>46185</v>
      </c>
      <c r="B1699" t="s">
        <v>1</v>
      </c>
      <c r="C1699" t="s">
        <v>101</v>
      </c>
      <c r="D1699">
        <v>1</v>
      </c>
      <c r="E1699">
        <v>465</v>
      </c>
      <c r="I1699">
        <v>1</v>
      </c>
      <c r="J1699">
        <v>290</v>
      </c>
      <c r="M1699" t="s">
        <v>1816</v>
      </c>
    </row>
    <row r="1700" spans="1:13" ht="15" customHeight="1">
      <c r="A1700" s="10">
        <v>46185</v>
      </c>
      <c r="B1700" t="s">
        <v>1</v>
      </c>
      <c r="C1700" t="s">
        <v>106</v>
      </c>
      <c r="D1700">
        <v>1</v>
      </c>
      <c r="E1700">
        <v>1035</v>
      </c>
      <c r="I1700">
        <v>1</v>
      </c>
      <c r="J1700">
        <v>896</v>
      </c>
      <c r="M1700" t="s">
        <v>1817</v>
      </c>
    </row>
    <row r="1701" spans="1:13" ht="15" customHeight="1">
      <c r="A1701" s="10">
        <v>46185</v>
      </c>
      <c r="B1701" t="s">
        <v>1</v>
      </c>
      <c r="C1701" t="s">
        <v>108</v>
      </c>
      <c r="D1701">
        <v>1</v>
      </c>
      <c r="E1701">
        <v>1090</v>
      </c>
      <c r="I1701">
        <v>1</v>
      </c>
      <c r="J1701">
        <v>1002</v>
      </c>
      <c r="M1701" t="s">
        <v>1818</v>
      </c>
    </row>
    <row r="1702" spans="1:13" ht="15" customHeight="1">
      <c r="A1702" s="10">
        <v>46185</v>
      </c>
      <c r="B1702" t="s">
        <v>1</v>
      </c>
      <c r="C1702" t="s">
        <v>109</v>
      </c>
      <c r="D1702">
        <v>2</v>
      </c>
      <c r="E1702">
        <v>482</v>
      </c>
      <c r="I1702">
        <v>2</v>
      </c>
      <c r="J1702">
        <v>366</v>
      </c>
      <c r="M1702" t="s">
        <v>1819</v>
      </c>
    </row>
    <row r="1703" spans="1:13" ht="15" customHeight="1">
      <c r="A1703" s="10">
        <v>46185</v>
      </c>
      <c r="B1703" t="s">
        <v>1</v>
      </c>
      <c r="C1703" t="s">
        <v>112</v>
      </c>
      <c r="D1703">
        <v>1</v>
      </c>
      <c r="E1703">
        <v>4</v>
      </c>
      <c r="I1703">
        <v>0</v>
      </c>
      <c r="J1703">
        <v>48</v>
      </c>
      <c r="M1703" t="s">
        <v>1820</v>
      </c>
    </row>
    <row r="1704" spans="1:13" ht="15" customHeight="1">
      <c r="A1704" s="10">
        <v>46185</v>
      </c>
      <c r="B1704" t="s">
        <v>1</v>
      </c>
      <c r="C1704" t="s">
        <v>114</v>
      </c>
      <c r="D1704">
        <v>1</v>
      </c>
      <c r="E1704">
        <v>47</v>
      </c>
      <c r="I1704">
        <v>1</v>
      </c>
      <c r="J1704">
        <v>43</v>
      </c>
      <c r="M1704" t="s">
        <v>1821</v>
      </c>
    </row>
    <row r="1705" spans="1:13" ht="15" customHeight="1">
      <c r="A1705" s="10">
        <v>46185</v>
      </c>
      <c r="B1705" t="s">
        <v>1</v>
      </c>
      <c r="C1705" t="s">
        <v>115</v>
      </c>
      <c r="D1705">
        <v>1</v>
      </c>
      <c r="E1705">
        <v>0</v>
      </c>
      <c r="I1705">
        <v>0</v>
      </c>
      <c r="J1705">
        <v>45</v>
      </c>
      <c r="M1705" t="s">
        <v>1822</v>
      </c>
    </row>
    <row r="1706" spans="1:13" ht="15" customHeight="1">
      <c r="A1706" s="10">
        <v>46185</v>
      </c>
      <c r="B1706" t="s">
        <v>1</v>
      </c>
      <c r="C1706" t="s">
        <v>116</v>
      </c>
      <c r="D1706">
        <v>2</v>
      </c>
      <c r="E1706">
        <v>20</v>
      </c>
      <c r="I1706">
        <v>2</v>
      </c>
      <c r="J1706">
        <v>10</v>
      </c>
      <c r="M1706" t="s">
        <v>1823</v>
      </c>
    </row>
    <row r="1707" spans="1:13" ht="15" customHeight="1">
      <c r="A1707" s="10">
        <v>46185</v>
      </c>
      <c r="B1707" t="s">
        <v>1</v>
      </c>
      <c r="C1707" t="s">
        <v>119</v>
      </c>
      <c r="D1707">
        <v>2</v>
      </c>
      <c r="E1707">
        <v>0</v>
      </c>
      <c r="I1707">
        <v>2</v>
      </c>
      <c r="M1707" t="s">
        <v>1824</v>
      </c>
    </row>
    <row r="1708" spans="1:13" ht="15" customHeight="1">
      <c r="A1708" s="10">
        <v>46185</v>
      </c>
      <c r="B1708" t="s">
        <v>1</v>
      </c>
      <c r="C1708" t="s">
        <v>120</v>
      </c>
      <c r="D1708">
        <v>2</v>
      </c>
      <c r="E1708">
        <v>0</v>
      </c>
      <c r="I1708">
        <v>2</v>
      </c>
      <c r="M1708" t="s">
        <v>1825</v>
      </c>
    </row>
    <row r="1709" spans="1:13" ht="15" customHeight="1">
      <c r="A1709" s="10">
        <v>46185</v>
      </c>
      <c r="B1709" t="s">
        <v>1</v>
      </c>
      <c r="C1709" t="s">
        <v>121</v>
      </c>
      <c r="D1709">
        <v>2</v>
      </c>
      <c r="E1709">
        <v>0</v>
      </c>
      <c r="I1709">
        <v>2</v>
      </c>
      <c r="M1709" t="s">
        <v>1826</v>
      </c>
    </row>
    <row r="1710" spans="1:13" ht="15" customHeight="1">
      <c r="A1710" s="10">
        <v>46185</v>
      </c>
      <c r="B1710" t="s">
        <v>1</v>
      </c>
      <c r="C1710" t="s">
        <v>123</v>
      </c>
      <c r="D1710">
        <v>1</v>
      </c>
      <c r="E1710">
        <v>0</v>
      </c>
      <c r="I1710">
        <v>1</v>
      </c>
      <c r="M1710" t="s">
        <v>1827</v>
      </c>
    </row>
    <row r="1711" spans="1:13" ht="15" customHeight="1">
      <c r="A1711" s="10">
        <v>46185</v>
      </c>
      <c r="B1711" t="s">
        <v>1</v>
      </c>
      <c r="C1711" t="s">
        <v>124</v>
      </c>
      <c r="D1711">
        <v>1</v>
      </c>
      <c r="E1711">
        <v>0</v>
      </c>
      <c r="I1711">
        <v>1</v>
      </c>
      <c r="M1711" t="s">
        <v>1828</v>
      </c>
    </row>
    <row r="1712" spans="1:13" ht="15" customHeight="1">
      <c r="A1712" s="10">
        <v>46185</v>
      </c>
      <c r="B1712" t="s">
        <v>1</v>
      </c>
      <c r="C1712" t="s">
        <v>125</v>
      </c>
      <c r="D1712">
        <v>2</v>
      </c>
      <c r="E1712">
        <v>0</v>
      </c>
      <c r="I1712">
        <v>2</v>
      </c>
      <c r="M1712" t="s">
        <v>1829</v>
      </c>
    </row>
    <row r="1713" spans="1:13" ht="15" customHeight="1">
      <c r="A1713" s="10">
        <v>46185</v>
      </c>
      <c r="B1713" t="s">
        <v>1</v>
      </c>
      <c r="C1713" t="s">
        <v>126</v>
      </c>
      <c r="D1713">
        <v>1</v>
      </c>
      <c r="E1713">
        <v>0</v>
      </c>
      <c r="I1713">
        <v>1</v>
      </c>
      <c r="M1713" t="s">
        <v>1830</v>
      </c>
    </row>
    <row r="1714" spans="1:13" ht="15" customHeight="1">
      <c r="A1714" s="10">
        <v>46185</v>
      </c>
      <c r="B1714" t="s">
        <v>1</v>
      </c>
      <c r="C1714" t="s">
        <v>128</v>
      </c>
      <c r="D1714">
        <v>1</v>
      </c>
      <c r="E1714">
        <v>0</v>
      </c>
      <c r="I1714">
        <v>1</v>
      </c>
      <c r="M1714" t="s">
        <v>1831</v>
      </c>
    </row>
    <row r="1715" spans="1:13" ht="15" customHeight="1">
      <c r="A1715" s="10">
        <v>46185</v>
      </c>
      <c r="B1715" t="s">
        <v>1</v>
      </c>
      <c r="C1715" t="s">
        <v>130</v>
      </c>
      <c r="D1715">
        <v>4</v>
      </c>
      <c r="E1715">
        <v>0</v>
      </c>
      <c r="I1715">
        <v>4</v>
      </c>
      <c r="M1715" t="s">
        <v>1832</v>
      </c>
    </row>
    <row r="1716" spans="1:13" ht="15" customHeight="1">
      <c r="A1716" s="10">
        <v>46185</v>
      </c>
      <c r="B1716" t="s">
        <v>1</v>
      </c>
      <c r="C1716" t="s">
        <v>285</v>
      </c>
      <c r="D1716">
        <v>2</v>
      </c>
      <c r="E1716">
        <v>0</v>
      </c>
      <c r="I1716">
        <v>2</v>
      </c>
      <c r="M1716" t="s">
        <v>1833</v>
      </c>
    </row>
    <row r="1717" spans="1:13" ht="15" customHeight="1">
      <c r="A1717" s="10">
        <v>46185</v>
      </c>
      <c r="B1717" t="s">
        <v>1</v>
      </c>
      <c r="C1717" t="s">
        <v>287</v>
      </c>
      <c r="D1717">
        <v>2</v>
      </c>
      <c r="E1717">
        <v>0</v>
      </c>
      <c r="I1717">
        <v>2</v>
      </c>
      <c r="M1717" t="s">
        <v>1834</v>
      </c>
    </row>
    <row r="1718" spans="1:13" ht="15" customHeight="1">
      <c r="A1718" s="10">
        <v>46185</v>
      </c>
      <c r="B1718" t="s">
        <v>1</v>
      </c>
      <c r="C1718" t="s">
        <v>289</v>
      </c>
      <c r="D1718">
        <v>2</v>
      </c>
      <c r="E1718">
        <v>0</v>
      </c>
      <c r="I1718">
        <v>2</v>
      </c>
      <c r="M1718" t="s">
        <v>1835</v>
      </c>
    </row>
    <row r="1719" spans="1:13" ht="15" customHeight="1">
      <c r="A1719" s="10">
        <v>46185</v>
      </c>
      <c r="B1719" t="s">
        <v>1</v>
      </c>
      <c r="C1719" t="s">
        <v>291</v>
      </c>
      <c r="D1719">
        <v>2</v>
      </c>
      <c r="E1719">
        <v>0</v>
      </c>
      <c r="I1719">
        <v>2</v>
      </c>
      <c r="M1719" t="s">
        <v>1836</v>
      </c>
    </row>
    <row r="1720" spans="1:13" ht="15" customHeight="1">
      <c r="A1720" s="10">
        <v>46185</v>
      </c>
      <c r="B1720" t="s">
        <v>1</v>
      </c>
      <c r="C1720" t="s">
        <v>293</v>
      </c>
      <c r="D1720">
        <v>4</v>
      </c>
      <c r="E1720">
        <v>0</v>
      </c>
      <c r="I1720">
        <v>4</v>
      </c>
      <c r="M1720" t="s">
        <v>1837</v>
      </c>
    </row>
    <row r="1721" spans="1:13" ht="15" customHeight="1">
      <c r="A1721" s="10">
        <v>46185</v>
      </c>
      <c r="B1721" t="s">
        <v>1</v>
      </c>
      <c r="C1721" s="135" t="s">
        <v>138</v>
      </c>
      <c r="D1721">
        <v>0</v>
      </c>
      <c r="E1721">
        <v>25</v>
      </c>
      <c r="I1721">
        <v>0</v>
      </c>
      <c r="J1721">
        <v>24</v>
      </c>
      <c r="M1721" t="s">
        <v>1838</v>
      </c>
    </row>
    <row r="1722" spans="1:13" ht="15" customHeight="1">
      <c r="A1722" s="10">
        <v>46185</v>
      </c>
      <c r="B1722" t="s">
        <v>1</v>
      </c>
      <c r="C1722" s="135" t="s">
        <v>139</v>
      </c>
      <c r="D1722">
        <v>0</v>
      </c>
      <c r="E1722">
        <v>47</v>
      </c>
      <c r="I1722">
        <v>0</v>
      </c>
      <c r="J1722">
        <v>45</v>
      </c>
      <c r="M1722" t="s">
        <v>1839</v>
      </c>
    </row>
    <row r="1723" spans="1:13" ht="15" customHeight="1">
      <c r="A1723" s="10">
        <v>46185</v>
      </c>
      <c r="B1723" t="s">
        <v>1</v>
      </c>
      <c r="C1723" s="135" t="s">
        <v>140</v>
      </c>
      <c r="D1723">
        <v>0</v>
      </c>
      <c r="E1723">
        <v>27</v>
      </c>
      <c r="I1723">
        <v>0</v>
      </c>
      <c r="J1723">
        <v>22</v>
      </c>
      <c r="M1723" t="s">
        <v>1840</v>
      </c>
    </row>
    <row r="1724" spans="1:13" ht="15" customHeight="1">
      <c r="A1724" s="10">
        <v>46185</v>
      </c>
      <c r="B1724" t="s">
        <v>1</v>
      </c>
      <c r="C1724" s="135" t="s">
        <v>143</v>
      </c>
      <c r="D1724">
        <v>0</v>
      </c>
      <c r="E1724">
        <v>33</v>
      </c>
      <c r="I1724">
        <v>0</v>
      </c>
      <c r="J1724">
        <v>33</v>
      </c>
      <c r="M1724" t="s">
        <v>1841</v>
      </c>
    </row>
    <row r="1725" spans="1:13" ht="15" customHeight="1">
      <c r="A1725" s="10">
        <v>46185</v>
      </c>
      <c r="B1725" t="s">
        <v>1</v>
      </c>
      <c r="C1725" s="135" t="s">
        <v>145</v>
      </c>
      <c r="D1725">
        <v>0</v>
      </c>
      <c r="E1725">
        <v>36</v>
      </c>
      <c r="I1725">
        <v>0</v>
      </c>
      <c r="J1725">
        <v>36</v>
      </c>
      <c r="M1725" t="s">
        <v>1842</v>
      </c>
    </row>
    <row r="1726" spans="1:13" ht="15" customHeight="1">
      <c r="A1726" s="10">
        <v>46185</v>
      </c>
      <c r="B1726" t="s">
        <v>1</v>
      </c>
      <c r="C1726" s="135" t="s">
        <v>147</v>
      </c>
      <c r="D1726">
        <v>0</v>
      </c>
      <c r="E1726">
        <v>34</v>
      </c>
      <c r="I1726">
        <v>0</v>
      </c>
      <c r="J1726">
        <v>34</v>
      </c>
      <c r="M1726" t="s">
        <v>1843</v>
      </c>
    </row>
    <row r="1727" spans="1:13" ht="15" customHeight="1">
      <c r="A1727" s="10">
        <v>46185</v>
      </c>
      <c r="B1727" t="s">
        <v>1</v>
      </c>
      <c r="C1727" t="s">
        <v>302</v>
      </c>
      <c r="D1727">
        <v>2</v>
      </c>
      <c r="E1727">
        <v>0</v>
      </c>
      <c r="I1727">
        <v>2</v>
      </c>
      <c r="M1727" t="s">
        <v>1844</v>
      </c>
    </row>
    <row r="1728" spans="1:13" ht="15" customHeight="1">
      <c r="A1728" s="10">
        <v>46185</v>
      </c>
      <c r="B1728" t="s">
        <v>1</v>
      </c>
      <c r="C1728" t="s">
        <v>150</v>
      </c>
      <c r="D1728">
        <v>2</v>
      </c>
      <c r="E1728">
        <v>0</v>
      </c>
      <c r="I1728">
        <v>2</v>
      </c>
      <c r="M1728" t="s">
        <v>1845</v>
      </c>
    </row>
    <row r="1729" spans="1:13" ht="15" customHeight="1">
      <c r="A1729" s="10">
        <v>46185</v>
      </c>
      <c r="B1729" t="s">
        <v>1</v>
      </c>
      <c r="C1729" t="s">
        <v>151</v>
      </c>
      <c r="D1729">
        <v>2</v>
      </c>
      <c r="E1729">
        <v>0</v>
      </c>
      <c r="I1729">
        <v>2</v>
      </c>
      <c r="M1729" t="s">
        <v>1846</v>
      </c>
    </row>
    <row r="1730" spans="1:13" ht="15" customHeight="1">
      <c r="A1730" s="10">
        <v>46185</v>
      </c>
      <c r="B1730" t="s">
        <v>1</v>
      </c>
      <c r="C1730" t="s">
        <v>152</v>
      </c>
      <c r="D1730">
        <v>2</v>
      </c>
      <c r="E1730">
        <v>0</v>
      </c>
      <c r="I1730">
        <v>2</v>
      </c>
      <c r="M1730" t="s">
        <v>1847</v>
      </c>
    </row>
    <row r="1731" spans="1:13" ht="15" customHeight="1">
      <c r="A1731" s="10">
        <v>46185</v>
      </c>
      <c r="B1731" t="s">
        <v>1</v>
      </c>
      <c r="C1731" t="s">
        <v>153</v>
      </c>
      <c r="D1731">
        <v>2</v>
      </c>
      <c r="E1731">
        <v>0</v>
      </c>
      <c r="I1731">
        <v>2</v>
      </c>
      <c r="M1731" t="s">
        <v>1848</v>
      </c>
    </row>
    <row r="1732" spans="1:13" ht="15" customHeight="1">
      <c r="A1732" s="10">
        <v>46185</v>
      </c>
      <c r="B1732" t="s">
        <v>1</v>
      </c>
      <c r="C1732" t="s">
        <v>308</v>
      </c>
      <c r="D1732">
        <v>0</v>
      </c>
      <c r="E1732">
        <v>3</v>
      </c>
      <c r="I1732">
        <v>0</v>
      </c>
      <c r="J1732">
        <v>3</v>
      </c>
      <c r="M1732" t="s">
        <v>1849</v>
      </c>
    </row>
    <row r="1733" spans="1:13" ht="15" customHeight="1">
      <c r="A1733" s="10">
        <v>46185</v>
      </c>
      <c r="B1733" t="s">
        <v>1</v>
      </c>
      <c r="C1733" t="s">
        <v>310</v>
      </c>
      <c r="D1733">
        <v>0</v>
      </c>
      <c r="E1733">
        <v>2</v>
      </c>
      <c r="I1733">
        <v>0</v>
      </c>
      <c r="J1733">
        <v>2</v>
      </c>
      <c r="M1733" t="s">
        <v>1850</v>
      </c>
    </row>
    <row r="1734" spans="1:13" ht="15" customHeight="1">
      <c r="A1734" s="10">
        <v>46185</v>
      </c>
      <c r="B1734" t="s">
        <v>1</v>
      </c>
      <c r="C1734" t="s">
        <v>312</v>
      </c>
      <c r="D1734">
        <v>0</v>
      </c>
      <c r="E1734">
        <v>3</v>
      </c>
      <c r="I1734">
        <v>0</v>
      </c>
      <c r="J1734">
        <v>2</v>
      </c>
      <c r="M1734" t="s">
        <v>1851</v>
      </c>
    </row>
    <row r="1735" spans="1:13" ht="15" customHeight="1">
      <c r="A1735" s="10">
        <v>46185</v>
      </c>
      <c r="B1735" t="s">
        <v>1</v>
      </c>
      <c r="C1735" t="s">
        <v>314</v>
      </c>
      <c r="D1735">
        <v>1</v>
      </c>
      <c r="E1735">
        <v>0</v>
      </c>
      <c r="I1735">
        <v>1</v>
      </c>
      <c r="M1735" t="s">
        <v>1852</v>
      </c>
    </row>
    <row r="1736" spans="1:13" ht="15" customHeight="1">
      <c r="A1736" s="10">
        <v>46185</v>
      </c>
      <c r="B1736" t="s">
        <v>1</v>
      </c>
      <c r="C1736" t="s">
        <v>316</v>
      </c>
      <c r="D1736">
        <v>1</v>
      </c>
      <c r="E1736">
        <v>0</v>
      </c>
      <c r="I1736">
        <v>1</v>
      </c>
      <c r="M1736" t="s">
        <v>1853</v>
      </c>
    </row>
    <row r="1737" spans="1:13" ht="15" customHeight="1">
      <c r="A1737" s="10">
        <v>46185</v>
      </c>
      <c r="B1737" t="s">
        <v>1</v>
      </c>
      <c r="C1737" t="s">
        <v>318</v>
      </c>
      <c r="D1737">
        <v>4</v>
      </c>
      <c r="E1737">
        <v>0</v>
      </c>
      <c r="I1737">
        <v>3</v>
      </c>
      <c r="M1737" t="s">
        <v>1854</v>
      </c>
    </row>
    <row r="1738" spans="1:13" ht="15" customHeight="1">
      <c r="A1738" s="10">
        <v>46185</v>
      </c>
      <c r="B1738" t="s">
        <v>1</v>
      </c>
      <c r="C1738" t="s">
        <v>320</v>
      </c>
      <c r="D1738">
        <v>3</v>
      </c>
      <c r="E1738">
        <v>0</v>
      </c>
      <c r="I1738">
        <v>3</v>
      </c>
      <c r="M1738" t="s">
        <v>1855</v>
      </c>
    </row>
    <row r="1739" spans="1:13" ht="15" customHeight="1">
      <c r="A1739" s="10">
        <v>46185</v>
      </c>
      <c r="B1739" t="s">
        <v>1</v>
      </c>
      <c r="C1739" s="135" t="s">
        <v>168</v>
      </c>
      <c r="D1739">
        <v>1</v>
      </c>
      <c r="E1739">
        <v>0</v>
      </c>
      <c r="I1739">
        <v>1</v>
      </c>
      <c r="M1739" t="s">
        <v>1856</v>
      </c>
    </row>
    <row r="1740" spans="1:13" ht="15" customHeight="1">
      <c r="A1740" s="10">
        <v>46185</v>
      </c>
      <c r="B1740" t="s">
        <v>1</v>
      </c>
      <c r="C1740" s="135" t="s">
        <v>170</v>
      </c>
      <c r="D1740">
        <v>1</v>
      </c>
      <c r="E1740">
        <v>0</v>
      </c>
      <c r="I1740">
        <v>1</v>
      </c>
      <c r="M1740" t="s">
        <v>1857</v>
      </c>
    </row>
    <row r="1741" spans="1:13" ht="15" customHeight="1">
      <c r="A1741" s="10">
        <v>46185</v>
      </c>
      <c r="B1741" t="s">
        <v>1</v>
      </c>
      <c r="C1741" s="135" t="s">
        <v>171</v>
      </c>
      <c r="D1741">
        <v>2</v>
      </c>
      <c r="E1741">
        <v>0</v>
      </c>
      <c r="I1741">
        <v>2</v>
      </c>
      <c r="M1741" t="s">
        <v>1858</v>
      </c>
    </row>
    <row r="1742" spans="1:13" ht="15" customHeight="1">
      <c r="A1742" s="10">
        <v>46185</v>
      </c>
      <c r="B1742" t="s">
        <v>1</v>
      </c>
      <c r="C1742" s="135" t="s">
        <v>172</v>
      </c>
      <c r="D1742">
        <v>1</v>
      </c>
      <c r="E1742">
        <v>0</v>
      </c>
      <c r="I1742">
        <v>1</v>
      </c>
      <c r="M1742" t="s">
        <v>1859</v>
      </c>
    </row>
    <row r="1743" spans="1:13" ht="15" customHeight="1">
      <c r="A1743" s="10">
        <v>46185</v>
      </c>
      <c r="B1743" t="s">
        <v>1</v>
      </c>
      <c r="C1743" t="s">
        <v>176</v>
      </c>
      <c r="D1743">
        <v>0</v>
      </c>
      <c r="E1743">
        <v>9</v>
      </c>
      <c r="I1743">
        <v>0</v>
      </c>
      <c r="J1743">
        <v>9</v>
      </c>
      <c r="M1743" t="s">
        <v>1860</v>
      </c>
    </row>
    <row r="1744" spans="1:13" ht="15" customHeight="1">
      <c r="A1744" s="10">
        <v>46185</v>
      </c>
      <c r="B1744" t="s">
        <v>1</v>
      </c>
      <c r="C1744" t="s">
        <v>178</v>
      </c>
      <c r="D1744">
        <v>0</v>
      </c>
      <c r="E1744">
        <v>10</v>
      </c>
      <c r="H1744">
        <v>1</v>
      </c>
      <c r="I1744">
        <v>0</v>
      </c>
      <c r="J1744">
        <v>9</v>
      </c>
      <c r="M1744" t="s">
        <v>1861</v>
      </c>
    </row>
    <row r="1745" spans="1:13" ht="15" customHeight="1">
      <c r="A1745" s="10">
        <v>46185</v>
      </c>
      <c r="B1745" t="s">
        <v>1</v>
      </c>
      <c r="C1745" t="s">
        <v>179</v>
      </c>
      <c r="D1745">
        <v>0</v>
      </c>
      <c r="E1745">
        <v>12</v>
      </c>
      <c r="I1745">
        <v>0</v>
      </c>
      <c r="J1745">
        <v>12</v>
      </c>
      <c r="M1745" t="s">
        <v>1862</v>
      </c>
    </row>
    <row r="1746" spans="1:13" ht="15" customHeight="1">
      <c r="A1746" s="10">
        <v>46185</v>
      </c>
      <c r="B1746" t="s">
        <v>1</v>
      </c>
      <c r="C1746" t="s">
        <v>180</v>
      </c>
      <c r="D1746">
        <v>0</v>
      </c>
      <c r="E1746">
        <v>16</v>
      </c>
      <c r="I1746">
        <v>0</v>
      </c>
      <c r="J1746">
        <v>16</v>
      </c>
      <c r="M1746" t="s">
        <v>1863</v>
      </c>
    </row>
    <row r="1747" spans="1:13" ht="15" customHeight="1">
      <c r="A1747" s="10">
        <v>46185</v>
      </c>
      <c r="B1747" t="s">
        <v>1</v>
      </c>
      <c r="C1747" s="135" t="s">
        <v>182</v>
      </c>
      <c r="D1747">
        <v>0</v>
      </c>
      <c r="E1747">
        <v>270</v>
      </c>
      <c r="I1747">
        <v>0</v>
      </c>
      <c r="J1747">
        <v>270</v>
      </c>
      <c r="M1747" t="s">
        <v>1864</v>
      </c>
    </row>
    <row r="1748" spans="1:13" ht="15" customHeight="1">
      <c r="A1748" s="10">
        <v>46185</v>
      </c>
      <c r="B1748" t="s">
        <v>1</v>
      </c>
      <c r="C1748" s="135" t="s">
        <v>184</v>
      </c>
      <c r="D1748">
        <v>1</v>
      </c>
      <c r="E1748">
        <v>7</v>
      </c>
      <c r="I1748">
        <v>1</v>
      </c>
      <c r="J1748">
        <v>7</v>
      </c>
      <c r="M1748" t="s">
        <v>1865</v>
      </c>
    </row>
    <row r="1749" spans="1:13" ht="15" customHeight="1">
      <c r="A1749" s="10">
        <v>46185</v>
      </c>
      <c r="B1749" t="s">
        <v>1</v>
      </c>
      <c r="C1749" s="135" t="s">
        <v>185</v>
      </c>
      <c r="D1749">
        <v>1</v>
      </c>
      <c r="E1749">
        <v>56</v>
      </c>
      <c r="I1749">
        <v>1</v>
      </c>
      <c r="J1749">
        <v>56</v>
      </c>
      <c r="M1749" t="s">
        <v>1866</v>
      </c>
    </row>
    <row r="1750" spans="1:13" ht="15" customHeight="1">
      <c r="A1750" s="10">
        <v>46185</v>
      </c>
      <c r="B1750" t="s">
        <v>1</v>
      </c>
      <c r="C1750" s="135" t="s">
        <v>186</v>
      </c>
      <c r="D1750">
        <v>1</v>
      </c>
      <c r="E1750">
        <v>60</v>
      </c>
      <c r="I1750">
        <v>1</v>
      </c>
      <c r="J1750">
        <v>60</v>
      </c>
      <c r="M1750" t="s">
        <v>1867</v>
      </c>
    </row>
    <row r="1751" spans="1:13" ht="15" customHeight="1">
      <c r="A1751" s="10">
        <v>46185</v>
      </c>
      <c r="B1751" t="s">
        <v>1</v>
      </c>
      <c r="C1751" t="s">
        <v>337</v>
      </c>
      <c r="D1751">
        <v>2</v>
      </c>
      <c r="E1751">
        <v>225</v>
      </c>
      <c r="I1751">
        <v>1</v>
      </c>
      <c r="J1751">
        <v>332</v>
      </c>
      <c r="M1751" t="s">
        <v>1868</v>
      </c>
    </row>
    <row r="1752" spans="1:13" ht="15" customHeight="1">
      <c r="A1752" s="10">
        <v>46185</v>
      </c>
      <c r="B1752" t="s">
        <v>1</v>
      </c>
      <c r="C1752" t="s">
        <v>339</v>
      </c>
      <c r="D1752">
        <v>0</v>
      </c>
      <c r="E1752">
        <v>0</v>
      </c>
      <c r="I1752">
        <v>0</v>
      </c>
      <c r="J1752">
        <v>0</v>
      </c>
      <c r="M1752" t="s">
        <v>1869</v>
      </c>
    </row>
    <row r="1753" spans="1:13" ht="15" customHeight="1">
      <c r="A1753" s="10">
        <v>46185</v>
      </c>
      <c r="B1753" t="s">
        <v>1</v>
      </c>
      <c r="C1753" s="135" t="s">
        <v>191</v>
      </c>
      <c r="D1753">
        <v>1</v>
      </c>
      <c r="E1753">
        <v>290</v>
      </c>
      <c r="I1753">
        <v>1</v>
      </c>
      <c r="J1753">
        <v>265</v>
      </c>
      <c r="M1753" t="s">
        <v>1870</v>
      </c>
    </row>
    <row r="1754" spans="1:13" ht="15" customHeight="1">
      <c r="A1754" s="10">
        <v>46185</v>
      </c>
      <c r="B1754" t="s">
        <v>1</v>
      </c>
      <c r="C1754" s="135" t="s">
        <v>193</v>
      </c>
      <c r="D1754">
        <v>1</v>
      </c>
      <c r="E1754">
        <v>466</v>
      </c>
      <c r="I1754">
        <v>1</v>
      </c>
      <c r="J1754">
        <v>446</v>
      </c>
      <c r="M1754" t="s">
        <v>1871</v>
      </c>
    </row>
    <row r="1755" spans="1:13" ht="15" customHeight="1">
      <c r="A1755" s="10">
        <v>46185</v>
      </c>
      <c r="B1755" t="s">
        <v>1</v>
      </c>
      <c r="C1755" s="135" t="s">
        <v>194</v>
      </c>
      <c r="D1755">
        <v>1</v>
      </c>
      <c r="E1755">
        <v>29</v>
      </c>
      <c r="I1755">
        <v>1</v>
      </c>
      <c r="J1755">
        <v>29</v>
      </c>
      <c r="M1755" t="s">
        <v>1872</v>
      </c>
    </row>
    <row r="1756" spans="1:13" ht="15" customHeight="1">
      <c r="A1756" s="10">
        <v>46185</v>
      </c>
      <c r="B1756" t="s">
        <v>1</v>
      </c>
      <c r="C1756" s="135" t="s">
        <v>196</v>
      </c>
      <c r="D1756">
        <v>1</v>
      </c>
      <c r="E1756">
        <v>98</v>
      </c>
      <c r="I1756">
        <v>1</v>
      </c>
      <c r="J1756">
        <v>98</v>
      </c>
      <c r="M1756" t="s">
        <v>1873</v>
      </c>
    </row>
    <row r="1757" spans="1:13" ht="15" customHeight="1">
      <c r="A1757" s="10">
        <v>46186</v>
      </c>
      <c r="B1757" t="s">
        <v>1</v>
      </c>
      <c r="C1757" t="s">
        <v>23</v>
      </c>
      <c r="D1757">
        <v>2</v>
      </c>
      <c r="E1757">
        <v>542</v>
      </c>
      <c r="F1757">
        <v>4</v>
      </c>
      <c r="I1757">
        <v>6</v>
      </c>
      <c r="J1757">
        <v>540</v>
      </c>
      <c r="M1757" t="s">
        <v>1874</v>
      </c>
    </row>
    <row r="1758" spans="1:13" ht="15" customHeight="1">
      <c r="A1758" s="10">
        <v>46186</v>
      </c>
      <c r="B1758" t="s">
        <v>1</v>
      </c>
      <c r="C1758" t="s">
        <v>26</v>
      </c>
      <c r="D1758">
        <v>1</v>
      </c>
      <c r="E1758">
        <v>340</v>
      </c>
      <c r="I1758">
        <v>1</v>
      </c>
      <c r="J1758">
        <v>340</v>
      </c>
      <c r="M1758" t="s">
        <v>1875</v>
      </c>
    </row>
    <row r="1759" spans="1:13" ht="15" customHeight="1">
      <c r="A1759" s="10">
        <v>46186</v>
      </c>
      <c r="B1759" t="s">
        <v>1</v>
      </c>
      <c r="C1759" t="s">
        <v>27</v>
      </c>
      <c r="D1759">
        <v>1</v>
      </c>
      <c r="E1759">
        <v>330</v>
      </c>
      <c r="I1759">
        <v>1</v>
      </c>
      <c r="J1759">
        <v>330</v>
      </c>
      <c r="M1759" t="s">
        <v>1876</v>
      </c>
    </row>
    <row r="1760" spans="1:13" ht="15" customHeight="1">
      <c r="A1760" s="10">
        <v>46186</v>
      </c>
      <c r="B1760" t="s">
        <v>1</v>
      </c>
      <c r="C1760" t="s">
        <v>28</v>
      </c>
      <c r="D1760">
        <v>0</v>
      </c>
      <c r="E1760">
        <v>0</v>
      </c>
      <c r="I1760">
        <v>0</v>
      </c>
      <c r="J1760">
        <v>0</v>
      </c>
      <c r="M1760" t="s">
        <v>1877</v>
      </c>
    </row>
    <row r="1761" spans="1:13" ht="15" customHeight="1">
      <c r="A1761" s="10">
        <v>46186</v>
      </c>
      <c r="B1761" t="s">
        <v>1</v>
      </c>
      <c r="C1761" t="s">
        <v>29</v>
      </c>
      <c r="D1761">
        <v>1</v>
      </c>
      <c r="E1761">
        <v>0</v>
      </c>
      <c r="I1761">
        <v>1</v>
      </c>
      <c r="J1761">
        <v>0</v>
      </c>
      <c r="M1761" t="s">
        <v>1878</v>
      </c>
    </row>
    <row r="1762" spans="1:13" ht="15" customHeight="1">
      <c r="A1762" s="10">
        <v>46186</v>
      </c>
      <c r="B1762" t="s">
        <v>1</v>
      </c>
      <c r="C1762" t="s">
        <v>30</v>
      </c>
      <c r="D1762">
        <v>1</v>
      </c>
      <c r="E1762">
        <v>500</v>
      </c>
      <c r="I1762">
        <v>1</v>
      </c>
      <c r="J1762">
        <v>500</v>
      </c>
      <c r="M1762" t="s">
        <v>1879</v>
      </c>
    </row>
    <row r="1763" spans="1:13" ht="15" customHeight="1">
      <c r="A1763" s="10">
        <v>46186</v>
      </c>
      <c r="B1763" t="s">
        <v>1</v>
      </c>
      <c r="C1763" t="s">
        <v>31</v>
      </c>
      <c r="D1763">
        <v>0</v>
      </c>
      <c r="E1763">
        <v>599</v>
      </c>
      <c r="F1763">
        <v>1</v>
      </c>
      <c r="G1763">
        <v>350</v>
      </c>
      <c r="I1763">
        <v>1</v>
      </c>
      <c r="J1763">
        <v>499</v>
      </c>
      <c r="M1763" t="s">
        <v>1880</v>
      </c>
    </row>
    <row r="1764" spans="1:13" ht="15" customHeight="1">
      <c r="A1764" s="10">
        <v>46186</v>
      </c>
      <c r="B1764" t="s">
        <v>1</v>
      </c>
      <c r="C1764" t="s">
        <v>32</v>
      </c>
      <c r="D1764">
        <v>2</v>
      </c>
      <c r="E1764">
        <v>303</v>
      </c>
      <c r="I1764">
        <v>2</v>
      </c>
      <c r="J1764">
        <v>300</v>
      </c>
      <c r="M1764" t="s">
        <v>1881</v>
      </c>
    </row>
    <row r="1765" spans="1:13" ht="15" customHeight="1">
      <c r="A1765" s="10">
        <v>46186</v>
      </c>
      <c r="B1765" t="s">
        <v>1</v>
      </c>
      <c r="C1765" t="s">
        <v>223</v>
      </c>
      <c r="D1765">
        <v>5</v>
      </c>
      <c r="E1765">
        <v>863</v>
      </c>
      <c r="F1765">
        <v>2</v>
      </c>
      <c r="I1765">
        <v>7</v>
      </c>
      <c r="J1765">
        <v>683</v>
      </c>
      <c r="M1765" t="s">
        <v>1882</v>
      </c>
    </row>
    <row r="1766" spans="1:13" ht="15" customHeight="1">
      <c r="A1766" s="10">
        <v>46186</v>
      </c>
      <c r="B1766" t="s">
        <v>1</v>
      </c>
      <c r="C1766" t="s">
        <v>35</v>
      </c>
      <c r="D1766">
        <v>6</v>
      </c>
      <c r="E1766">
        <v>0</v>
      </c>
      <c r="F1766">
        <v>5</v>
      </c>
      <c r="I1766">
        <v>11</v>
      </c>
      <c r="M1766" t="s">
        <v>1883</v>
      </c>
    </row>
    <row r="1767" spans="1:13" ht="15" customHeight="1">
      <c r="A1767" s="10">
        <v>46186</v>
      </c>
      <c r="B1767" t="s">
        <v>1</v>
      </c>
      <c r="C1767" t="s">
        <v>37</v>
      </c>
      <c r="D1767">
        <v>4</v>
      </c>
      <c r="E1767">
        <v>0</v>
      </c>
      <c r="I1767">
        <v>4</v>
      </c>
      <c r="M1767" t="s">
        <v>1884</v>
      </c>
    </row>
    <row r="1768" spans="1:13" ht="15" customHeight="1">
      <c r="A1768" s="10">
        <v>46186</v>
      </c>
      <c r="B1768" t="s">
        <v>1</v>
      </c>
      <c r="C1768" t="s">
        <v>39</v>
      </c>
      <c r="D1768">
        <v>15</v>
      </c>
      <c r="E1768">
        <v>0</v>
      </c>
      <c r="I1768">
        <v>15</v>
      </c>
      <c r="J1768">
        <v>0</v>
      </c>
      <c r="M1768" t="s">
        <v>1885</v>
      </c>
    </row>
    <row r="1769" spans="1:13" ht="15" customHeight="1">
      <c r="A1769" s="10">
        <v>46186</v>
      </c>
      <c r="B1769" t="s">
        <v>1</v>
      </c>
      <c r="C1769" t="s">
        <v>41</v>
      </c>
      <c r="D1769">
        <v>13</v>
      </c>
      <c r="E1769">
        <v>0</v>
      </c>
      <c r="I1769">
        <v>13</v>
      </c>
      <c r="J1769">
        <v>0</v>
      </c>
      <c r="M1769" t="s">
        <v>1886</v>
      </c>
    </row>
    <row r="1770" spans="1:13" ht="15" customHeight="1">
      <c r="A1770" s="10">
        <v>46186</v>
      </c>
      <c r="B1770" t="s">
        <v>1</v>
      </c>
      <c r="C1770" t="s">
        <v>232</v>
      </c>
      <c r="D1770">
        <v>0</v>
      </c>
      <c r="E1770">
        <v>0</v>
      </c>
      <c r="I1770">
        <v>0</v>
      </c>
      <c r="J1770">
        <v>0</v>
      </c>
      <c r="M1770" t="s">
        <v>1887</v>
      </c>
    </row>
    <row r="1771" spans="1:13" ht="15" customHeight="1">
      <c r="A1771" s="10">
        <v>46186</v>
      </c>
      <c r="B1771" t="s">
        <v>1</v>
      </c>
      <c r="C1771" t="s">
        <v>234</v>
      </c>
      <c r="D1771">
        <v>37</v>
      </c>
      <c r="E1771">
        <v>0</v>
      </c>
      <c r="F1771">
        <v>50</v>
      </c>
      <c r="H1771">
        <v>3</v>
      </c>
      <c r="I1771">
        <v>84</v>
      </c>
      <c r="J1771">
        <v>0</v>
      </c>
      <c r="M1771" t="s">
        <v>1888</v>
      </c>
    </row>
    <row r="1772" spans="1:13" ht="15" customHeight="1">
      <c r="A1772" s="10">
        <v>46186</v>
      </c>
      <c r="B1772" t="s">
        <v>1</v>
      </c>
      <c r="C1772" t="s">
        <v>237</v>
      </c>
      <c r="D1772">
        <v>9</v>
      </c>
      <c r="E1772">
        <v>0</v>
      </c>
      <c r="I1772">
        <v>9</v>
      </c>
      <c r="J1772">
        <v>0</v>
      </c>
      <c r="M1772" t="s">
        <v>1889</v>
      </c>
    </row>
    <row r="1773" spans="1:13" ht="15" customHeight="1">
      <c r="A1773" s="10">
        <v>46186</v>
      </c>
      <c r="B1773" t="s">
        <v>1</v>
      </c>
      <c r="C1773" s="135" t="s">
        <v>58</v>
      </c>
      <c r="D1773">
        <v>4</v>
      </c>
      <c r="E1773">
        <v>0</v>
      </c>
      <c r="F1773">
        <v>5</v>
      </c>
      <c r="I1773">
        <v>9</v>
      </c>
      <c r="J1773">
        <v>0</v>
      </c>
      <c r="M1773" t="s">
        <v>1890</v>
      </c>
    </row>
    <row r="1774" spans="1:13" ht="15" customHeight="1">
      <c r="A1774" s="10">
        <v>46186</v>
      </c>
      <c r="B1774" t="s">
        <v>1</v>
      </c>
      <c r="C1774" s="135" t="s">
        <v>60</v>
      </c>
      <c r="D1774">
        <v>1</v>
      </c>
      <c r="E1774">
        <v>0</v>
      </c>
      <c r="F1774">
        <v>5</v>
      </c>
      <c r="I1774">
        <v>6</v>
      </c>
      <c r="J1774">
        <v>0</v>
      </c>
      <c r="M1774" t="s">
        <v>1891</v>
      </c>
    </row>
    <row r="1775" spans="1:13" ht="15" customHeight="1">
      <c r="A1775" s="10">
        <v>46186</v>
      </c>
      <c r="B1775" t="s">
        <v>1</v>
      </c>
      <c r="C1775" s="135" t="s">
        <v>61</v>
      </c>
      <c r="D1775">
        <v>0</v>
      </c>
      <c r="E1775">
        <v>0</v>
      </c>
      <c r="F1775">
        <v>10</v>
      </c>
      <c r="I1775">
        <v>10</v>
      </c>
      <c r="J1775">
        <v>0</v>
      </c>
      <c r="M1775" t="s">
        <v>1892</v>
      </c>
    </row>
    <row r="1776" spans="1:13" ht="15" customHeight="1">
      <c r="A1776" s="10">
        <v>46186</v>
      </c>
      <c r="B1776" t="s">
        <v>1</v>
      </c>
      <c r="C1776" s="135" t="s">
        <v>62</v>
      </c>
      <c r="D1776">
        <v>2</v>
      </c>
      <c r="E1776">
        <v>0</v>
      </c>
      <c r="F1776">
        <v>5</v>
      </c>
      <c r="I1776">
        <v>7</v>
      </c>
      <c r="J1776">
        <v>0</v>
      </c>
      <c r="M1776" t="s">
        <v>1893</v>
      </c>
    </row>
    <row r="1777" spans="1:13" ht="15" customHeight="1">
      <c r="A1777" s="10">
        <v>46186</v>
      </c>
      <c r="B1777" t="s">
        <v>1</v>
      </c>
      <c r="C1777" s="135" t="s">
        <v>63</v>
      </c>
      <c r="D1777">
        <v>1</v>
      </c>
      <c r="E1777">
        <v>0</v>
      </c>
      <c r="F1777">
        <v>5</v>
      </c>
      <c r="I1777">
        <v>6</v>
      </c>
      <c r="J1777">
        <v>0</v>
      </c>
      <c r="M1777" t="s">
        <v>1894</v>
      </c>
    </row>
    <row r="1778" spans="1:13" ht="15" customHeight="1">
      <c r="A1778" s="10">
        <v>46186</v>
      </c>
      <c r="B1778" t="s">
        <v>1</v>
      </c>
      <c r="C1778" s="135" t="s">
        <v>64</v>
      </c>
      <c r="D1778">
        <v>4</v>
      </c>
      <c r="E1778">
        <v>0</v>
      </c>
      <c r="I1778">
        <v>4</v>
      </c>
      <c r="J1778">
        <v>0</v>
      </c>
      <c r="M1778" t="s">
        <v>1895</v>
      </c>
    </row>
    <row r="1779" spans="1:13" ht="15" customHeight="1">
      <c r="A1779" s="10">
        <v>46186</v>
      </c>
      <c r="B1779" t="s">
        <v>1</v>
      </c>
      <c r="C1779" t="s">
        <v>66</v>
      </c>
      <c r="D1779">
        <v>5</v>
      </c>
      <c r="E1779">
        <v>0</v>
      </c>
      <c r="I1779">
        <v>5</v>
      </c>
      <c r="J1779">
        <v>0</v>
      </c>
      <c r="M1779" t="s">
        <v>1896</v>
      </c>
    </row>
    <row r="1780" spans="1:13" ht="15" customHeight="1">
      <c r="A1780" s="10">
        <v>46186</v>
      </c>
      <c r="B1780" t="s">
        <v>1</v>
      </c>
      <c r="C1780" t="s">
        <v>67</v>
      </c>
      <c r="D1780">
        <v>5</v>
      </c>
      <c r="E1780">
        <v>0</v>
      </c>
      <c r="I1780">
        <v>5</v>
      </c>
      <c r="J1780">
        <v>0</v>
      </c>
      <c r="M1780" t="s">
        <v>1897</v>
      </c>
    </row>
    <row r="1781" spans="1:13" ht="15" customHeight="1">
      <c r="A1781" s="10">
        <v>46186</v>
      </c>
      <c r="B1781" t="s">
        <v>1</v>
      </c>
      <c r="C1781" t="s">
        <v>68</v>
      </c>
      <c r="D1781">
        <v>0</v>
      </c>
      <c r="E1781">
        <v>0</v>
      </c>
      <c r="F1781">
        <v>4</v>
      </c>
      <c r="I1781">
        <v>4</v>
      </c>
      <c r="J1781">
        <v>0</v>
      </c>
      <c r="M1781" t="s">
        <v>1898</v>
      </c>
    </row>
    <row r="1782" spans="1:13" ht="15" customHeight="1">
      <c r="A1782" s="10">
        <v>46186</v>
      </c>
      <c r="B1782" t="s">
        <v>1</v>
      </c>
      <c r="C1782" t="s">
        <v>71</v>
      </c>
      <c r="D1782">
        <v>2</v>
      </c>
      <c r="E1782">
        <v>134</v>
      </c>
      <c r="I1782">
        <v>2</v>
      </c>
      <c r="J1782">
        <v>74</v>
      </c>
      <c r="M1782" t="s">
        <v>1899</v>
      </c>
    </row>
    <row r="1783" spans="1:13" ht="15" customHeight="1">
      <c r="A1783" s="10">
        <v>46186</v>
      </c>
      <c r="B1783" t="s">
        <v>1</v>
      </c>
      <c r="C1783" t="s">
        <v>73</v>
      </c>
      <c r="D1783">
        <v>2</v>
      </c>
      <c r="E1783">
        <v>262</v>
      </c>
      <c r="I1783">
        <v>2</v>
      </c>
      <c r="J1783">
        <v>260</v>
      </c>
      <c r="M1783" t="s">
        <v>1900</v>
      </c>
    </row>
    <row r="1784" spans="1:13" ht="15" customHeight="1">
      <c r="A1784" s="10">
        <v>46186</v>
      </c>
      <c r="B1784" t="s">
        <v>1</v>
      </c>
      <c r="C1784" t="s">
        <v>75</v>
      </c>
      <c r="D1784">
        <v>0</v>
      </c>
      <c r="E1784">
        <v>212</v>
      </c>
      <c r="F1784">
        <v>1</v>
      </c>
      <c r="I1784">
        <v>1</v>
      </c>
      <c r="J1784">
        <v>210</v>
      </c>
      <c r="M1784" t="s">
        <v>1901</v>
      </c>
    </row>
    <row r="1785" spans="1:13" ht="15" customHeight="1">
      <c r="A1785" s="10">
        <v>46186</v>
      </c>
      <c r="B1785" t="s">
        <v>1</v>
      </c>
      <c r="C1785" t="s">
        <v>77</v>
      </c>
      <c r="D1785">
        <v>0</v>
      </c>
      <c r="E1785">
        <v>890</v>
      </c>
      <c r="I1785">
        <v>0</v>
      </c>
      <c r="J1785">
        <v>890</v>
      </c>
      <c r="M1785" t="s">
        <v>1902</v>
      </c>
    </row>
    <row r="1786" spans="1:13" ht="15" customHeight="1">
      <c r="A1786" s="10">
        <v>46186</v>
      </c>
      <c r="B1786" t="s">
        <v>1</v>
      </c>
      <c r="C1786" t="s">
        <v>79</v>
      </c>
      <c r="D1786">
        <v>1</v>
      </c>
      <c r="E1786">
        <v>158</v>
      </c>
      <c r="I1786">
        <v>1</v>
      </c>
      <c r="J1786">
        <v>158</v>
      </c>
      <c r="M1786" t="s">
        <v>1903</v>
      </c>
    </row>
    <row r="1787" spans="1:13" ht="15" customHeight="1">
      <c r="A1787" s="10">
        <v>46186</v>
      </c>
      <c r="B1787" t="s">
        <v>1</v>
      </c>
      <c r="C1787" t="s">
        <v>81</v>
      </c>
      <c r="D1787">
        <v>1</v>
      </c>
      <c r="E1787">
        <v>369</v>
      </c>
      <c r="I1787">
        <v>1</v>
      </c>
      <c r="J1787">
        <v>369</v>
      </c>
      <c r="M1787" t="s">
        <v>1904</v>
      </c>
    </row>
    <row r="1788" spans="1:13" ht="15" customHeight="1">
      <c r="A1788" s="10">
        <v>46186</v>
      </c>
      <c r="B1788" t="s">
        <v>1</v>
      </c>
      <c r="C1788" t="s">
        <v>83</v>
      </c>
      <c r="D1788">
        <v>1</v>
      </c>
      <c r="E1788">
        <v>342</v>
      </c>
      <c r="I1788">
        <v>1</v>
      </c>
      <c r="J1788">
        <v>342</v>
      </c>
      <c r="M1788" t="s">
        <v>1905</v>
      </c>
    </row>
    <row r="1789" spans="1:13" ht="15" customHeight="1">
      <c r="A1789" s="10">
        <v>46186</v>
      </c>
      <c r="B1789" t="s">
        <v>1</v>
      </c>
      <c r="C1789" t="s">
        <v>84</v>
      </c>
      <c r="D1789">
        <v>1</v>
      </c>
      <c r="E1789">
        <v>391</v>
      </c>
      <c r="I1789">
        <v>1</v>
      </c>
      <c r="J1789">
        <v>391</v>
      </c>
      <c r="M1789" t="s">
        <v>1906</v>
      </c>
    </row>
    <row r="1790" spans="1:13" ht="15" customHeight="1">
      <c r="A1790" s="10">
        <v>46186</v>
      </c>
      <c r="B1790" t="s">
        <v>1</v>
      </c>
      <c r="C1790" t="s">
        <v>85</v>
      </c>
      <c r="D1790">
        <v>0</v>
      </c>
      <c r="E1790">
        <v>150</v>
      </c>
      <c r="I1790">
        <v>0</v>
      </c>
      <c r="J1790">
        <v>150</v>
      </c>
      <c r="M1790" t="s">
        <v>1907</v>
      </c>
    </row>
    <row r="1791" spans="1:13" ht="15" customHeight="1">
      <c r="A1791" s="10">
        <v>46186</v>
      </c>
      <c r="B1791" t="s">
        <v>1</v>
      </c>
      <c r="C1791" t="s">
        <v>87</v>
      </c>
      <c r="D1791">
        <v>2</v>
      </c>
      <c r="E1791">
        <v>155</v>
      </c>
      <c r="I1791">
        <v>2</v>
      </c>
      <c r="J1791">
        <v>347</v>
      </c>
      <c r="M1791" t="s">
        <v>1908</v>
      </c>
    </row>
    <row r="1792" spans="1:13" ht="15" customHeight="1">
      <c r="A1792" s="10">
        <v>46186</v>
      </c>
      <c r="B1792" t="s">
        <v>1</v>
      </c>
      <c r="C1792" t="s">
        <v>88</v>
      </c>
      <c r="D1792">
        <v>1</v>
      </c>
      <c r="E1792">
        <v>260</v>
      </c>
      <c r="I1792">
        <v>1</v>
      </c>
      <c r="J1792">
        <v>260</v>
      </c>
      <c r="M1792" t="s">
        <v>1909</v>
      </c>
    </row>
    <row r="1793" spans="1:13" ht="15" customHeight="1">
      <c r="A1793" s="10">
        <v>46186</v>
      </c>
      <c r="B1793" t="s">
        <v>1</v>
      </c>
      <c r="C1793" t="s">
        <v>89</v>
      </c>
      <c r="D1793">
        <v>1</v>
      </c>
      <c r="E1793">
        <v>347</v>
      </c>
      <c r="I1793">
        <v>1</v>
      </c>
      <c r="J1793">
        <v>347</v>
      </c>
      <c r="M1793" t="s">
        <v>1910</v>
      </c>
    </row>
    <row r="1794" spans="1:13" ht="15" customHeight="1">
      <c r="A1794" s="10">
        <v>46186</v>
      </c>
      <c r="B1794" t="s">
        <v>1</v>
      </c>
      <c r="C1794" t="s">
        <v>90</v>
      </c>
      <c r="D1794">
        <v>1</v>
      </c>
      <c r="E1794">
        <v>830</v>
      </c>
      <c r="I1794">
        <v>1</v>
      </c>
      <c r="J1794">
        <v>830</v>
      </c>
      <c r="M1794" t="s">
        <v>1911</v>
      </c>
    </row>
    <row r="1795" spans="1:13" ht="15" customHeight="1">
      <c r="A1795" s="10">
        <v>46186</v>
      </c>
      <c r="B1795" t="s">
        <v>1</v>
      </c>
      <c r="C1795" t="s">
        <v>92</v>
      </c>
      <c r="D1795">
        <v>1</v>
      </c>
      <c r="E1795">
        <v>815</v>
      </c>
      <c r="I1795">
        <v>1</v>
      </c>
      <c r="J1795">
        <v>815</v>
      </c>
      <c r="M1795" t="s">
        <v>1912</v>
      </c>
    </row>
    <row r="1796" spans="1:13" ht="15" customHeight="1">
      <c r="A1796" s="10">
        <v>46186</v>
      </c>
      <c r="B1796" t="s">
        <v>1</v>
      </c>
      <c r="C1796" t="s">
        <v>94</v>
      </c>
      <c r="D1796">
        <v>5</v>
      </c>
      <c r="E1796">
        <v>78</v>
      </c>
      <c r="G1796">
        <v>1</v>
      </c>
      <c r="I1796">
        <v>6</v>
      </c>
      <c r="J1796">
        <v>0</v>
      </c>
      <c r="M1796" t="s">
        <v>1913</v>
      </c>
    </row>
    <row r="1797" spans="1:13" ht="15" customHeight="1">
      <c r="A1797" s="10">
        <v>46186</v>
      </c>
      <c r="B1797" t="s">
        <v>1</v>
      </c>
      <c r="C1797" t="s">
        <v>96</v>
      </c>
      <c r="D1797">
        <v>0</v>
      </c>
      <c r="E1797">
        <v>261</v>
      </c>
      <c r="I1797">
        <v>0</v>
      </c>
      <c r="J1797">
        <v>0</v>
      </c>
      <c r="M1797" t="s">
        <v>1914</v>
      </c>
    </row>
    <row r="1798" spans="1:13" ht="15" customHeight="1">
      <c r="A1798" s="10">
        <v>46186</v>
      </c>
      <c r="B1798" t="s">
        <v>1</v>
      </c>
      <c r="C1798" t="s">
        <v>98</v>
      </c>
      <c r="D1798">
        <v>0</v>
      </c>
      <c r="E1798">
        <v>0</v>
      </c>
      <c r="G1798">
        <v>3</v>
      </c>
      <c r="I1798">
        <v>3</v>
      </c>
      <c r="J1798">
        <v>0</v>
      </c>
      <c r="M1798" t="s">
        <v>1915</v>
      </c>
    </row>
    <row r="1799" spans="1:13" ht="15" customHeight="1">
      <c r="A1799" s="10">
        <v>46186</v>
      </c>
      <c r="B1799" t="s">
        <v>1</v>
      </c>
      <c r="C1799" t="s">
        <v>203</v>
      </c>
      <c r="D1799">
        <v>3</v>
      </c>
      <c r="E1799">
        <v>117</v>
      </c>
      <c r="I1799">
        <v>3</v>
      </c>
      <c r="J1799">
        <v>110</v>
      </c>
      <c r="M1799" t="s">
        <v>1916</v>
      </c>
    </row>
    <row r="1800" spans="1:13" ht="15" customHeight="1">
      <c r="A1800" s="10">
        <v>46186</v>
      </c>
      <c r="B1800" t="s">
        <v>1</v>
      </c>
      <c r="C1800" t="s">
        <v>100</v>
      </c>
      <c r="D1800">
        <v>2</v>
      </c>
      <c r="E1800">
        <v>400</v>
      </c>
      <c r="I1800">
        <v>0</v>
      </c>
      <c r="J1800">
        <v>0</v>
      </c>
      <c r="M1800" t="s">
        <v>1917</v>
      </c>
    </row>
    <row r="1801" spans="1:13" ht="15" customHeight="1">
      <c r="A1801" s="10">
        <v>46186</v>
      </c>
      <c r="B1801" t="s">
        <v>1</v>
      </c>
      <c r="C1801" t="s">
        <v>101</v>
      </c>
      <c r="D1801">
        <v>1</v>
      </c>
      <c r="E1801">
        <v>290</v>
      </c>
      <c r="F1801">
        <v>1</v>
      </c>
      <c r="I1801">
        <v>1</v>
      </c>
      <c r="J1801">
        <v>290</v>
      </c>
      <c r="M1801" t="s">
        <v>1918</v>
      </c>
    </row>
    <row r="1802" spans="1:13" ht="15" customHeight="1">
      <c r="A1802" s="10">
        <v>46186</v>
      </c>
      <c r="B1802" t="s">
        <v>1</v>
      </c>
      <c r="C1802" t="s">
        <v>103</v>
      </c>
      <c r="D1802">
        <v>0</v>
      </c>
      <c r="E1802">
        <v>1</v>
      </c>
      <c r="I1802">
        <v>0</v>
      </c>
      <c r="J1802">
        <v>0</v>
      </c>
      <c r="M1802" t="s">
        <v>1919</v>
      </c>
    </row>
    <row r="1803" spans="1:13" ht="15" customHeight="1">
      <c r="A1803" s="10">
        <v>46186</v>
      </c>
      <c r="B1803" t="s">
        <v>1</v>
      </c>
      <c r="C1803" t="s">
        <v>106</v>
      </c>
      <c r="D1803">
        <v>1</v>
      </c>
      <c r="E1803">
        <v>896</v>
      </c>
      <c r="I1803">
        <v>1</v>
      </c>
      <c r="J1803">
        <v>896</v>
      </c>
      <c r="M1803" t="s">
        <v>1920</v>
      </c>
    </row>
    <row r="1804" spans="1:13" ht="15" customHeight="1">
      <c r="A1804" s="10">
        <v>46186</v>
      </c>
      <c r="B1804" t="s">
        <v>1</v>
      </c>
      <c r="C1804" t="s">
        <v>108</v>
      </c>
      <c r="D1804">
        <v>1</v>
      </c>
      <c r="E1804">
        <v>1002</v>
      </c>
      <c r="I1804">
        <v>0</v>
      </c>
      <c r="J1804">
        <v>1002</v>
      </c>
      <c r="M1804" t="s">
        <v>1921</v>
      </c>
    </row>
    <row r="1805" spans="1:13" ht="15" customHeight="1">
      <c r="A1805" s="10">
        <v>46186</v>
      </c>
      <c r="B1805" t="s">
        <v>1</v>
      </c>
      <c r="C1805" t="s">
        <v>109</v>
      </c>
      <c r="D1805">
        <v>2</v>
      </c>
      <c r="E1805">
        <v>366</v>
      </c>
      <c r="I1805">
        <v>2</v>
      </c>
      <c r="J1805">
        <v>366</v>
      </c>
      <c r="M1805" t="s">
        <v>1922</v>
      </c>
    </row>
    <row r="1806" spans="1:13" ht="15" customHeight="1">
      <c r="A1806" s="10">
        <v>46186</v>
      </c>
      <c r="B1806" t="s">
        <v>1</v>
      </c>
      <c r="C1806" t="s">
        <v>112</v>
      </c>
      <c r="D1806">
        <v>0</v>
      </c>
      <c r="E1806">
        <v>48</v>
      </c>
      <c r="F1806">
        <v>1</v>
      </c>
      <c r="I1806">
        <v>1</v>
      </c>
      <c r="J1806">
        <v>48</v>
      </c>
      <c r="M1806" t="s">
        <v>1923</v>
      </c>
    </row>
    <row r="1807" spans="1:13" ht="15" customHeight="1">
      <c r="A1807" s="10">
        <v>46186</v>
      </c>
      <c r="B1807" t="s">
        <v>1</v>
      </c>
      <c r="C1807" t="s">
        <v>114</v>
      </c>
      <c r="D1807">
        <v>1</v>
      </c>
      <c r="E1807">
        <v>43</v>
      </c>
      <c r="I1807">
        <v>1</v>
      </c>
      <c r="J1807">
        <v>40</v>
      </c>
      <c r="M1807" t="s">
        <v>1924</v>
      </c>
    </row>
    <row r="1808" spans="1:13" ht="15" customHeight="1">
      <c r="A1808" s="10">
        <v>46186</v>
      </c>
      <c r="B1808" t="s">
        <v>1</v>
      </c>
      <c r="C1808" t="s">
        <v>115</v>
      </c>
      <c r="D1808">
        <v>0</v>
      </c>
      <c r="E1808">
        <v>45</v>
      </c>
      <c r="F1808">
        <v>1</v>
      </c>
      <c r="I1808">
        <v>1</v>
      </c>
      <c r="J1808">
        <v>45</v>
      </c>
      <c r="M1808" t="s">
        <v>1925</v>
      </c>
    </row>
    <row r="1809" spans="1:13" ht="15" customHeight="1">
      <c r="A1809" s="10">
        <v>46186</v>
      </c>
      <c r="B1809" t="s">
        <v>1</v>
      </c>
      <c r="C1809" t="s">
        <v>116</v>
      </c>
      <c r="D1809">
        <v>2</v>
      </c>
      <c r="E1809">
        <v>10</v>
      </c>
      <c r="I1809">
        <v>2</v>
      </c>
      <c r="J1809">
        <v>7</v>
      </c>
      <c r="M1809" t="s">
        <v>1926</v>
      </c>
    </row>
    <row r="1810" spans="1:13" ht="15" customHeight="1">
      <c r="A1810" s="10">
        <v>46186</v>
      </c>
      <c r="B1810" t="s">
        <v>1</v>
      </c>
      <c r="C1810" t="s">
        <v>119</v>
      </c>
      <c r="D1810">
        <v>2</v>
      </c>
      <c r="E1810">
        <v>0</v>
      </c>
      <c r="I1810">
        <v>2</v>
      </c>
      <c r="M1810" t="s">
        <v>1927</v>
      </c>
    </row>
    <row r="1811" spans="1:13" ht="15" customHeight="1">
      <c r="A1811" s="10">
        <v>46186</v>
      </c>
      <c r="B1811" t="s">
        <v>1</v>
      </c>
      <c r="C1811" t="s">
        <v>120</v>
      </c>
      <c r="D1811">
        <v>2</v>
      </c>
      <c r="E1811">
        <v>0</v>
      </c>
      <c r="I1811">
        <v>2</v>
      </c>
      <c r="M1811" t="s">
        <v>1928</v>
      </c>
    </row>
    <row r="1812" spans="1:13" ht="15" customHeight="1">
      <c r="A1812" s="10">
        <v>46186</v>
      </c>
      <c r="B1812" t="s">
        <v>1</v>
      </c>
      <c r="C1812" t="s">
        <v>121</v>
      </c>
      <c r="D1812">
        <v>2</v>
      </c>
      <c r="E1812">
        <v>0</v>
      </c>
      <c r="I1812">
        <v>2</v>
      </c>
      <c r="M1812" t="s">
        <v>1929</v>
      </c>
    </row>
    <row r="1813" spans="1:13" ht="15" customHeight="1">
      <c r="A1813" s="10">
        <v>46186</v>
      </c>
      <c r="B1813" t="s">
        <v>1</v>
      </c>
      <c r="C1813" t="s">
        <v>123</v>
      </c>
      <c r="D1813">
        <v>1</v>
      </c>
      <c r="E1813">
        <v>0</v>
      </c>
      <c r="F1813">
        <v>1</v>
      </c>
      <c r="I1813">
        <v>2</v>
      </c>
      <c r="M1813" t="s">
        <v>1930</v>
      </c>
    </row>
    <row r="1814" spans="1:13" ht="15" customHeight="1">
      <c r="A1814" s="10">
        <v>46186</v>
      </c>
      <c r="B1814" t="s">
        <v>1</v>
      </c>
      <c r="C1814" t="s">
        <v>124</v>
      </c>
      <c r="D1814">
        <v>1</v>
      </c>
      <c r="E1814">
        <v>0</v>
      </c>
      <c r="F1814">
        <v>1</v>
      </c>
      <c r="I1814">
        <v>2</v>
      </c>
      <c r="M1814" t="s">
        <v>1931</v>
      </c>
    </row>
    <row r="1815" spans="1:13" ht="15" customHeight="1">
      <c r="A1815" s="10">
        <v>46186</v>
      </c>
      <c r="B1815" t="s">
        <v>1</v>
      </c>
      <c r="C1815" t="s">
        <v>125</v>
      </c>
      <c r="D1815">
        <v>2</v>
      </c>
      <c r="E1815">
        <v>0</v>
      </c>
      <c r="I1815">
        <v>2</v>
      </c>
      <c r="M1815" t="s">
        <v>1932</v>
      </c>
    </row>
    <row r="1816" spans="1:13" ht="15" customHeight="1">
      <c r="A1816" s="10">
        <v>46186</v>
      </c>
      <c r="B1816" t="s">
        <v>1</v>
      </c>
      <c r="C1816" t="s">
        <v>126</v>
      </c>
      <c r="D1816">
        <v>1</v>
      </c>
      <c r="E1816">
        <v>0</v>
      </c>
      <c r="F1816">
        <v>1</v>
      </c>
      <c r="I1816">
        <v>2</v>
      </c>
      <c r="M1816" t="s">
        <v>1933</v>
      </c>
    </row>
    <row r="1817" spans="1:13" ht="15" customHeight="1">
      <c r="A1817" s="10">
        <v>46186</v>
      </c>
      <c r="B1817" t="s">
        <v>1</v>
      </c>
      <c r="C1817" t="s">
        <v>128</v>
      </c>
      <c r="D1817">
        <v>1</v>
      </c>
      <c r="E1817">
        <v>0</v>
      </c>
      <c r="F1817">
        <v>1</v>
      </c>
      <c r="I1817">
        <v>2</v>
      </c>
      <c r="M1817" t="s">
        <v>1934</v>
      </c>
    </row>
    <row r="1818" spans="1:13" ht="15" customHeight="1">
      <c r="A1818" s="10">
        <v>46186</v>
      </c>
      <c r="B1818" t="s">
        <v>1</v>
      </c>
      <c r="C1818" t="s">
        <v>130</v>
      </c>
      <c r="D1818">
        <v>4</v>
      </c>
      <c r="E1818">
        <v>0</v>
      </c>
      <c r="I1818">
        <v>4</v>
      </c>
      <c r="M1818" t="s">
        <v>1935</v>
      </c>
    </row>
    <row r="1819" spans="1:13" ht="15" customHeight="1">
      <c r="A1819" s="10">
        <v>46186</v>
      </c>
      <c r="B1819" t="s">
        <v>1</v>
      </c>
      <c r="C1819" t="s">
        <v>285</v>
      </c>
      <c r="D1819">
        <v>2</v>
      </c>
      <c r="E1819">
        <v>0</v>
      </c>
      <c r="I1819">
        <v>2</v>
      </c>
      <c r="M1819" t="s">
        <v>1936</v>
      </c>
    </row>
    <row r="1820" spans="1:13" ht="15" customHeight="1">
      <c r="A1820" s="10">
        <v>46186</v>
      </c>
      <c r="B1820" t="s">
        <v>1</v>
      </c>
      <c r="C1820" t="s">
        <v>287</v>
      </c>
      <c r="D1820">
        <v>2</v>
      </c>
      <c r="E1820">
        <v>0</v>
      </c>
      <c r="I1820">
        <v>2</v>
      </c>
      <c r="M1820" t="s">
        <v>1937</v>
      </c>
    </row>
    <row r="1821" spans="1:13" ht="15" customHeight="1">
      <c r="A1821" s="10">
        <v>46186</v>
      </c>
      <c r="B1821" t="s">
        <v>1</v>
      </c>
      <c r="C1821" t="s">
        <v>289</v>
      </c>
      <c r="D1821">
        <v>2</v>
      </c>
      <c r="E1821">
        <v>0</v>
      </c>
      <c r="I1821">
        <v>2</v>
      </c>
      <c r="M1821" t="s">
        <v>1938</v>
      </c>
    </row>
    <row r="1822" spans="1:13" ht="15" customHeight="1">
      <c r="A1822" s="10">
        <v>46186</v>
      </c>
      <c r="B1822" t="s">
        <v>1</v>
      </c>
      <c r="C1822" t="s">
        <v>291</v>
      </c>
      <c r="D1822">
        <v>2</v>
      </c>
      <c r="E1822">
        <v>0</v>
      </c>
      <c r="I1822">
        <v>2</v>
      </c>
      <c r="M1822" t="s">
        <v>1939</v>
      </c>
    </row>
    <row r="1823" spans="1:13" ht="15" customHeight="1">
      <c r="A1823" s="10">
        <v>46186</v>
      </c>
      <c r="B1823" t="s">
        <v>1</v>
      </c>
      <c r="C1823" t="s">
        <v>293</v>
      </c>
      <c r="D1823">
        <v>4</v>
      </c>
      <c r="E1823">
        <v>0</v>
      </c>
      <c r="I1823">
        <v>4</v>
      </c>
      <c r="M1823" t="s">
        <v>1940</v>
      </c>
    </row>
    <row r="1824" spans="1:13" ht="15" customHeight="1">
      <c r="A1824" s="10">
        <v>46186</v>
      </c>
      <c r="B1824" t="s">
        <v>1</v>
      </c>
      <c r="C1824" s="135" t="s">
        <v>138</v>
      </c>
      <c r="D1824">
        <v>0</v>
      </c>
      <c r="E1824">
        <v>24</v>
      </c>
      <c r="G1824">
        <v>25</v>
      </c>
      <c r="I1824">
        <v>0</v>
      </c>
      <c r="J1824">
        <v>48</v>
      </c>
      <c r="M1824" t="s">
        <v>1941</v>
      </c>
    </row>
    <row r="1825" spans="1:13" ht="15" customHeight="1">
      <c r="A1825" s="10">
        <v>46186</v>
      </c>
      <c r="B1825" t="s">
        <v>1</v>
      </c>
      <c r="C1825" s="135" t="s">
        <v>139</v>
      </c>
      <c r="D1825">
        <v>0</v>
      </c>
      <c r="E1825">
        <v>45</v>
      </c>
      <c r="I1825">
        <v>0</v>
      </c>
      <c r="J1825">
        <v>43</v>
      </c>
      <c r="M1825" t="s">
        <v>1942</v>
      </c>
    </row>
    <row r="1826" spans="1:13" ht="15" customHeight="1">
      <c r="A1826" s="10">
        <v>46186</v>
      </c>
      <c r="B1826" t="s">
        <v>1</v>
      </c>
      <c r="C1826" s="135" t="s">
        <v>140</v>
      </c>
      <c r="D1826">
        <v>0</v>
      </c>
      <c r="E1826">
        <v>22</v>
      </c>
      <c r="I1826">
        <v>0</v>
      </c>
      <c r="J1826">
        <v>21</v>
      </c>
      <c r="M1826" t="s">
        <v>1943</v>
      </c>
    </row>
    <row r="1827" spans="1:13" ht="15" customHeight="1">
      <c r="A1827" s="10">
        <v>46186</v>
      </c>
      <c r="B1827" t="s">
        <v>1</v>
      </c>
      <c r="C1827" s="135" t="s">
        <v>143</v>
      </c>
      <c r="D1827">
        <v>0</v>
      </c>
      <c r="E1827">
        <v>33</v>
      </c>
      <c r="G1827">
        <v>20</v>
      </c>
      <c r="I1827">
        <v>0</v>
      </c>
      <c r="J1827">
        <v>33</v>
      </c>
      <c r="M1827" t="s">
        <v>1944</v>
      </c>
    </row>
    <row r="1828" spans="1:13" ht="15" customHeight="1">
      <c r="A1828" s="10">
        <v>46186</v>
      </c>
      <c r="B1828" t="s">
        <v>1</v>
      </c>
      <c r="C1828" s="135" t="s">
        <v>145</v>
      </c>
      <c r="D1828">
        <v>0</v>
      </c>
      <c r="E1828">
        <v>36</v>
      </c>
      <c r="I1828">
        <v>0</v>
      </c>
      <c r="J1828">
        <v>36</v>
      </c>
      <c r="M1828" t="s">
        <v>1945</v>
      </c>
    </row>
    <row r="1829" spans="1:13" ht="15" customHeight="1">
      <c r="A1829" s="10">
        <v>46186</v>
      </c>
      <c r="B1829" t="s">
        <v>1</v>
      </c>
      <c r="C1829" s="135" t="s">
        <v>147</v>
      </c>
      <c r="D1829">
        <v>0</v>
      </c>
      <c r="E1829">
        <v>34</v>
      </c>
      <c r="I1829">
        <v>0</v>
      </c>
      <c r="J1829">
        <v>33</v>
      </c>
      <c r="M1829" t="s">
        <v>1946</v>
      </c>
    </row>
    <row r="1830" spans="1:13" ht="15" customHeight="1">
      <c r="A1830" s="10">
        <v>46186</v>
      </c>
      <c r="B1830" t="s">
        <v>1</v>
      </c>
      <c r="C1830" t="s">
        <v>302</v>
      </c>
      <c r="D1830">
        <v>2</v>
      </c>
      <c r="E1830">
        <v>0</v>
      </c>
      <c r="I1830">
        <v>2</v>
      </c>
      <c r="M1830" t="s">
        <v>1947</v>
      </c>
    </row>
    <row r="1831" spans="1:13" ht="15" customHeight="1">
      <c r="A1831" s="10">
        <v>46186</v>
      </c>
      <c r="B1831" t="s">
        <v>1</v>
      </c>
      <c r="C1831" t="s">
        <v>150</v>
      </c>
      <c r="D1831">
        <v>2</v>
      </c>
      <c r="E1831">
        <v>0</v>
      </c>
      <c r="I1831">
        <v>2</v>
      </c>
      <c r="M1831" t="s">
        <v>1948</v>
      </c>
    </row>
    <row r="1832" spans="1:13" ht="15" customHeight="1">
      <c r="A1832" s="10">
        <v>46186</v>
      </c>
      <c r="B1832" t="s">
        <v>1</v>
      </c>
      <c r="C1832" t="s">
        <v>151</v>
      </c>
      <c r="D1832">
        <v>2</v>
      </c>
      <c r="E1832">
        <v>0</v>
      </c>
      <c r="I1832">
        <v>2</v>
      </c>
      <c r="M1832" t="s">
        <v>1949</v>
      </c>
    </row>
    <row r="1833" spans="1:13" ht="15" customHeight="1">
      <c r="A1833" s="10">
        <v>46186</v>
      </c>
      <c r="B1833" t="s">
        <v>1</v>
      </c>
      <c r="C1833" t="s">
        <v>152</v>
      </c>
      <c r="D1833">
        <v>2</v>
      </c>
      <c r="E1833">
        <v>0</v>
      </c>
      <c r="I1833">
        <v>2</v>
      </c>
      <c r="M1833" t="s">
        <v>1950</v>
      </c>
    </row>
    <row r="1834" spans="1:13" ht="15" customHeight="1">
      <c r="A1834" s="10">
        <v>46186</v>
      </c>
      <c r="B1834" t="s">
        <v>1</v>
      </c>
      <c r="C1834" t="s">
        <v>153</v>
      </c>
      <c r="D1834">
        <v>2</v>
      </c>
      <c r="E1834">
        <v>0</v>
      </c>
      <c r="I1834">
        <v>2</v>
      </c>
      <c r="M1834" t="s">
        <v>1951</v>
      </c>
    </row>
    <row r="1835" spans="1:13" ht="15" customHeight="1">
      <c r="A1835" s="10">
        <v>46186</v>
      </c>
      <c r="B1835" t="s">
        <v>1</v>
      </c>
      <c r="C1835" t="s">
        <v>308</v>
      </c>
      <c r="D1835">
        <v>0</v>
      </c>
      <c r="E1835">
        <v>3</v>
      </c>
      <c r="I1835">
        <v>0</v>
      </c>
      <c r="J1835">
        <v>3</v>
      </c>
      <c r="M1835" t="s">
        <v>1952</v>
      </c>
    </row>
    <row r="1836" spans="1:13" ht="15" customHeight="1">
      <c r="A1836" s="10">
        <v>46186</v>
      </c>
      <c r="B1836" t="s">
        <v>1</v>
      </c>
      <c r="C1836" t="s">
        <v>310</v>
      </c>
      <c r="D1836">
        <v>0</v>
      </c>
      <c r="E1836">
        <v>2</v>
      </c>
      <c r="I1836">
        <v>0</v>
      </c>
      <c r="J1836">
        <v>2</v>
      </c>
      <c r="M1836" t="s">
        <v>1953</v>
      </c>
    </row>
    <row r="1837" spans="1:13" ht="15" customHeight="1">
      <c r="A1837" s="10">
        <v>46186</v>
      </c>
      <c r="B1837" t="s">
        <v>1</v>
      </c>
      <c r="C1837" t="s">
        <v>314</v>
      </c>
      <c r="D1837">
        <v>1</v>
      </c>
      <c r="E1837">
        <v>0</v>
      </c>
      <c r="I1837">
        <v>2</v>
      </c>
      <c r="M1837" t="s">
        <v>1954</v>
      </c>
    </row>
    <row r="1838" spans="1:13" ht="15" customHeight="1">
      <c r="A1838" s="10">
        <v>46186</v>
      </c>
      <c r="B1838" t="s">
        <v>1</v>
      </c>
      <c r="C1838" t="s">
        <v>316</v>
      </c>
      <c r="D1838">
        <v>1</v>
      </c>
      <c r="E1838">
        <v>0</v>
      </c>
      <c r="I1838">
        <v>1</v>
      </c>
      <c r="M1838" t="s">
        <v>1955</v>
      </c>
    </row>
    <row r="1839" spans="1:13" ht="15" customHeight="1">
      <c r="A1839" s="10">
        <v>46186</v>
      </c>
      <c r="B1839" t="s">
        <v>1</v>
      </c>
      <c r="C1839" t="s">
        <v>318</v>
      </c>
      <c r="D1839">
        <v>3</v>
      </c>
      <c r="E1839">
        <v>0</v>
      </c>
      <c r="I1839">
        <v>1</v>
      </c>
      <c r="M1839" t="s">
        <v>1956</v>
      </c>
    </row>
    <row r="1840" spans="1:13" ht="15" customHeight="1">
      <c r="A1840" s="10">
        <v>46186</v>
      </c>
      <c r="B1840" t="s">
        <v>1</v>
      </c>
      <c r="C1840" t="s">
        <v>320</v>
      </c>
      <c r="D1840">
        <v>3</v>
      </c>
      <c r="E1840">
        <v>0</v>
      </c>
      <c r="I1840">
        <v>2</v>
      </c>
      <c r="M1840" t="s">
        <v>1957</v>
      </c>
    </row>
    <row r="1841" spans="1:13" ht="15" customHeight="1">
      <c r="A1841" s="10">
        <v>46186</v>
      </c>
      <c r="B1841" t="s">
        <v>1</v>
      </c>
      <c r="C1841" t="s">
        <v>322</v>
      </c>
      <c r="D1841">
        <v>0</v>
      </c>
      <c r="E1841">
        <v>0</v>
      </c>
      <c r="I1841">
        <v>3</v>
      </c>
      <c r="M1841" t="s">
        <v>1958</v>
      </c>
    </row>
    <row r="1842" spans="1:13" ht="15" customHeight="1">
      <c r="A1842" s="10">
        <v>46186</v>
      </c>
      <c r="B1842" t="s">
        <v>1</v>
      </c>
      <c r="C1842" s="135" t="s">
        <v>168</v>
      </c>
      <c r="D1842">
        <v>1</v>
      </c>
      <c r="E1842">
        <v>0</v>
      </c>
      <c r="I1842">
        <v>1</v>
      </c>
      <c r="M1842" t="s">
        <v>1959</v>
      </c>
    </row>
    <row r="1843" spans="1:13" ht="15" customHeight="1">
      <c r="A1843" s="10">
        <v>46186</v>
      </c>
      <c r="B1843" t="s">
        <v>1</v>
      </c>
      <c r="C1843" s="135" t="s">
        <v>170</v>
      </c>
      <c r="D1843">
        <v>1</v>
      </c>
      <c r="E1843">
        <v>0</v>
      </c>
      <c r="I1843">
        <v>1</v>
      </c>
      <c r="M1843" t="s">
        <v>1960</v>
      </c>
    </row>
    <row r="1844" spans="1:13" ht="15" customHeight="1">
      <c r="A1844" s="10">
        <v>46186</v>
      </c>
      <c r="B1844" t="s">
        <v>1</v>
      </c>
      <c r="C1844" s="135" t="s">
        <v>171</v>
      </c>
      <c r="D1844">
        <v>2</v>
      </c>
      <c r="E1844">
        <v>0</v>
      </c>
      <c r="I1844">
        <v>2</v>
      </c>
      <c r="M1844" t="s">
        <v>1961</v>
      </c>
    </row>
    <row r="1845" spans="1:13" ht="15" customHeight="1">
      <c r="A1845" s="10">
        <v>46186</v>
      </c>
      <c r="B1845" t="s">
        <v>1</v>
      </c>
      <c r="C1845" s="135" t="s">
        <v>172</v>
      </c>
      <c r="D1845">
        <v>1</v>
      </c>
      <c r="E1845">
        <v>0</v>
      </c>
      <c r="I1845">
        <v>1</v>
      </c>
      <c r="M1845" t="s">
        <v>1962</v>
      </c>
    </row>
    <row r="1846" spans="1:13" ht="15" customHeight="1">
      <c r="A1846" s="10">
        <v>46186</v>
      </c>
      <c r="B1846" t="s">
        <v>1</v>
      </c>
      <c r="C1846" t="s">
        <v>176</v>
      </c>
      <c r="D1846">
        <v>0</v>
      </c>
      <c r="E1846">
        <v>9</v>
      </c>
      <c r="I1846">
        <v>0</v>
      </c>
      <c r="J1846">
        <v>9</v>
      </c>
      <c r="M1846" t="s">
        <v>1963</v>
      </c>
    </row>
    <row r="1847" spans="1:13" ht="15" customHeight="1">
      <c r="A1847" s="10">
        <v>46186</v>
      </c>
      <c r="B1847" t="s">
        <v>1</v>
      </c>
      <c r="C1847" t="s">
        <v>178</v>
      </c>
      <c r="D1847">
        <v>0</v>
      </c>
      <c r="E1847">
        <v>9</v>
      </c>
      <c r="G1847">
        <v>10</v>
      </c>
      <c r="I1847">
        <v>0</v>
      </c>
      <c r="J1847">
        <v>19</v>
      </c>
      <c r="M1847" t="s">
        <v>1964</v>
      </c>
    </row>
    <row r="1848" spans="1:13" ht="15" customHeight="1">
      <c r="A1848" s="10">
        <v>46186</v>
      </c>
      <c r="B1848" t="s">
        <v>1</v>
      </c>
      <c r="C1848" t="s">
        <v>179</v>
      </c>
      <c r="D1848">
        <v>0</v>
      </c>
      <c r="E1848">
        <v>12</v>
      </c>
      <c r="I1848">
        <v>0</v>
      </c>
      <c r="J1848">
        <v>12</v>
      </c>
      <c r="M1848" t="s">
        <v>1965</v>
      </c>
    </row>
    <row r="1849" spans="1:13" ht="15" customHeight="1">
      <c r="A1849" s="10">
        <v>46186</v>
      </c>
      <c r="B1849" t="s">
        <v>1</v>
      </c>
      <c r="C1849" t="s">
        <v>180</v>
      </c>
      <c r="D1849">
        <v>0</v>
      </c>
      <c r="E1849">
        <v>16</v>
      </c>
      <c r="I1849">
        <v>0</v>
      </c>
      <c r="J1849">
        <v>16</v>
      </c>
      <c r="M1849" t="s">
        <v>1966</v>
      </c>
    </row>
    <row r="1850" spans="1:13" ht="15" customHeight="1">
      <c r="A1850" s="10">
        <v>46186</v>
      </c>
      <c r="B1850" t="s">
        <v>1</v>
      </c>
      <c r="C1850" s="135" t="s">
        <v>182</v>
      </c>
      <c r="D1850">
        <v>0</v>
      </c>
      <c r="E1850">
        <v>270</v>
      </c>
      <c r="F1850">
        <v>1</v>
      </c>
      <c r="I1850">
        <v>1</v>
      </c>
      <c r="J1850">
        <v>270</v>
      </c>
      <c r="M1850" t="s">
        <v>1967</v>
      </c>
    </row>
    <row r="1851" spans="1:13" ht="15" customHeight="1">
      <c r="A1851" s="10">
        <v>46186</v>
      </c>
      <c r="B1851" t="s">
        <v>1</v>
      </c>
      <c r="C1851" s="135" t="s">
        <v>184</v>
      </c>
      <c r="D1851">
        <v>1</v>
      </c>
      <c r="E1851">
        <v>7</v>
      </c>
      <c r="I1851">
        <v>1</v>
      </c>
      <c r="J1851">
        <v>7</v>
      </c>
      <c r="M1851" t="s">
        <v>1968</v>
      </c>
    </row>
    <row r="1852" spans="1:13" ht="15" customHeight="1">
      <c r="A1852" s="10">
        <v>46186</v>
      </c>
      <c r="B1852" t="s">
        <v>1</v>
      </c>
      <c r="C1852" s="135" t="s">
        <v>185</v>
      </c>
      <c r="D1852">
        <v>1</v>
      </c>
      <c r="E1852">
        <v>56</v>
      </c>
      <c r="I1852">
        <v>1</v>
      </c>
      <c r="J1852">
        <v>56</v>
      </c>
      <c r="M1852" t="s">
        <v>1969</v>
      </c>
    </row>
    <row r="1853" spans="1:13" ht="15" customHeight="1">
      <c r="A1853" s="10">
        <v>46186</v>
      </c>
      <c r="B1853" t="s">
        <v>1</v>
      </c>
      <c r="C1853" s="135" t="s">
        <v>186</v>
      </c>
      <c r="D1853">
        <v>1</v>
      </c>
      <c r="E1853">
        <v>60</v>
      </c>
      <c r="I1853">
        <v>1</v>
      </c>
      <c r="J1853">
        <v>60</v>
      </c>
      <c r="M1853" t="s">
        <v>1970</v>
      </c>
    </row>
    <row r="1854" spans="1:13" ht="15" customHeight="1">
      <c r="A1854" s="10">
        <v>46186</v>
      </c>
      <c r="B1854" t="s">
        <v>1</v>
      </c>
      <c r="C1854" t="s">
        <v>337</v>
      </c>
      <c r="D1854">
        <v>1</v>
      </c>
      <c r="E1854">
        <v>332</v>
      </c>
      <c r="F1854">
        <v>1</v>
      </c>
      <c r="I1854">
        <v>2</v>
      </c>
      <c r="J1854">
        <v>272</v>
      </c>
      <c r="M1854" t="s">
        <v>1971</v>
      </c>
    </row>
    <row r="1855" spans="1:13" ht="15" customHeight="1">
      <c r="A1855" s="10">
        <v>46186</v>
      </c>
      <c r="B1855" t="s">
        <v>1</v>
      </c>
      <c r="C1855" t="s">
        <v>339</v>
      </c>
      <c r="D1855">
        <v>0</v>
      </c>
      <c r="E1855">
        <v>0</v>
      </c>
      <c r="I1855">
        <v>0</v>
      </c>
      <c r="J1855">
        <v>0</v>
      </c>
      <c r="M1855" t="s">
        <v>1972</v>
      </c>
    </row>
    <row r="1856" spans="1:13" ht="15" customHeight="1">
      <c r="A1856" s="10">
        <v>46186</v>
      </c>
      <c r="B1856" t="s">
        <v>1</v>
      </c>
      <c r="C1856" s="135" t="s">
        <v>191</v>
      </c>
      <c r="D1856">
        <v>1</v>
      </c>
      <c r="E1856">
        <v>265</v>
      </c>
      <c r="I1856">
        <v>1</v>
      </c>
      <c r="J1856">
        <v>265</v>
      </c>
      <c r="M1856" t="s">
        <v>1973</v>
      </c>
    </row>
    <row r="1857" spans="1:13" ht="15" customHeight="1">
      <c r="A1857" s="10">
        <v>46186</v>
      </c>
      <c r="B1857" t="s">
        <v>1</v>
      </c>
      <c r="C1857" s="135" t="s">
        <v>193</v>
      </c>
      <c r="D1857">
        <v>1</v>
      </c>
      <c r="E1857">
        <v>446</v>
      </c>
      <c r="I1857">
        <v>1</v>
      </c>
      <c r="J1857">
        <v>446</v>
      </c>
      <c r="M1857" t="s">
        <v>1974</v>
      </c>
    </row>
    <row r="1858" spans="1:13" ht="15" customHeight="1">
      <c r="A1858" s="10">
        <v>46186</v>
      </c>
      <c r="B1858" t="s">
        <v>1</v>
      </c>
      <c r="C1858" s="135" t="s">
        <v>194</v>
      </c>
      <c r="D1858">
        <v>1</v>
      </c>
      <c r="E1858">
        <v>29</v>
      </c>
      <c r="I1858">
        <v>1</v>
      </c>
      <c r="J1858">
        <v>29</v>
      </c>
      <c r="M1858" t="s">
        <v>1975</v>
      </c>
    </row>
    <row r="1859" spans="1:13" ht="15" customHeight="1">
      <c r="A1859" s="10">
        <v>46186</v>
      </c>
      <c r="B1859" t="s">
        <v>1</v>
      </c>
      <c r="C1859" s="135" t="s">
        <v>196</v>
      </c>
      <c r="D1859">
        <v>1</v>
      </c>
      <c r="E1859">
        <v>98</v>
      </c>
      <c r="I1859">
        <v>1</v>
      </c>
      <c r="J1859">
        <v>98</v>
      </c>
      <c r="M1859" t="s">
        <v>1976</v>
      </c>
    </row>
    <row r="1860" spans="1:13" ht="15" customHeight="1">
      <c r="A1860" s="10">
        <v>46188</v>
      </c>
      <c r="B1860" t="s">
        <v>1</v>
      </c>
      <c r="C1860" t="s">
        <v>23</v>
      </c>
      <c r="D1860">
        <v>6</v>
      </c>
      <c r="E1860">
        <v>540</v>
      </c>
      <c r="I1860">
        <v>4</v>
      </c>
      <c r="J1860">
        <v>444</v>
      </c>
      <c r="M1860" t="s">
        <v>1977</v>
      </c>
    </row>
    <row r="1861" spans="1:13" ht="15" customHeight="1">
      <c r="A1861" s="10">
        <v>46188</v>
      </c>
      <c r="B1861" t="s">
        <v>1</v>
      </c>
      <c r="C1861" t="s">
        <v>26</v>
      </c>
      <c r="D1861">
        <v>1</v>
      </c>
      <c r="E1861">
        <v>340</v>
      </c>
      <c r="I1861">
        <v>0</v>
      </c>
      <c r="J1861">
        <v>1002</v>
      </c>
      <c r="K1861">
        <v>340</v>
      </c>
      <c r="L1861" s="135" t="s">
        <v>1978</v>
      </c>
      <c r="M1861" t="s">
        <v>1979</v>
      </c>
    </row>
    <row r="1862" spans="1:13" ht="15" customHeight="1">
      <c r="A1862" s="10">
        <v>46188</v>
      </c>
      <c r="B1862" t="s">
        <v>1</v>
      </c>
      <c r="C1862" t="s">
        <v>27</v>
      </c>
      <c r="D1862">
        <v>1</v>
      </c>
      <c r="E1862">
        <v>330</v>
      </c>
      <c r="I1862">
        <v>1</v>
      </c>
      <c r="J1862">
        <v>306</v>
      </c>
      <c r="M1862" t="s">
        <v>1980</v>
      </c>
    </row>
    <row r="1863" spans="1:13" ht="15" customHeight="1">
      <c r="A1863" s="10">
        <v>46188</v>
      </c>
      <c r="B1863" t="s">
        <v>1</v>
      </c>
      <c r="C1863" t="s">
        <v>28</v>
      </c>
      <c r="D1863">
        <v>0</v>
      </c>
      <c r="E1863">
        <v>0</v>
      </c>
      <c r="I1863">
        <v>0</v>
      </c>
      <c r="J1863">
        <v>0</v>
      </c>
      <c r="M1863" t="s">
        <v>1981</v>
      </c>
    </row>
    <row r="1864" spans="1:13" ht="15" customHeight="1">
      <c r="A1864" s="10">
        <v>46188</v>
      </c>
      <c r="B1864" t="s">
        <v>1</v>
      </c>
      <c r="C1864" t="s">
        <v>29</v>
      </c>
      <c r="D1864">
        <v>1</v>
      </c>
      <c r="E1864">
        <v>0</v>
      </c>
      <c r="I1864">
        <v>0</v>
      </c>
      <c r="J1864">
        <v>909</v>
      </c>
      <c r="M1864" t="s">
        <v>1982</v>
      </c>
    </row>
    <row r="1865" spans="1:13" ht="15" customHeight="1">
      <c r="A1865" s="10">
        <v>46188</v>
      </c>
      <c r="B1865" t="s">
        <v>1</v>
      </c>
      <c r="C1865" t="s">
        <v>30</v>
      </c>
      <c r="D1865">
        <v>1</v>
      </c>
      <c r="E1865">
        <v>500</v>
      </c>
      <c r="I1865">
        <v>1</v>
      </c>
      <c r="J1865">
        <v>170</v>
      </c>
      <c r="M1865" t="s">
        <v>1983</v>
      </c>
    </row>
    <row r="1866" spans="1:13" ht="15" customHeight="1">
      <c r="A1866" s="10">
        <v>46188</v>
      </c>
      <c r="B1866" t="s">
        <v>1</v>
      </c>
      <c r="C1866" t="s">
        <v>31</v>
      </c>
      <c r="D1866">
        <v>1</v>
      </c>
      <c r="E1866">
        <v>499</v>
      </c>
      <c r="I1866">
        <v>1</v>
      </c>
      <c r="J1866">
        <v>480</v>
      </c>
      <c r="M1866" t="s">
        <v>1984</v>
      </c>
    </row>
    <row r="1867" spans="1:13" ht="15" customHeight="1">
      <c r="A1867" s="10">
        <v>46188</v>
      </c>
      <c r="B1867" t="s">
        <v>1</v>
      </c>
      <c r="C1867" t="s">
        <v>32</v>
      </c>
      <c r="D1867">
        <v>2</v>
      </c>
      <c r="E1867">
        <v>300</v>
      </c>
      <c r="I1867">
        <v>1</v>
      </c>
      <c r="J1867">
        <v>844</v>
      </c>
      <c r="M1867" t="s">
        <v>1985</v>
      </c>
    </row>
    <row r="1868" spans="1:13" ht="15" customHeight="1">
      <c r="A1868" s="10">
        <v>46188</v>
      </c>
      <c r="B1868" t="s">
        <v>1</v>
      </c>
      <c r="C1868" t="s">
        <v>223</v>
      </c>
      <c r="D1868">
        <v>7</v>
      </c>
      <c r="E1868">
        <v>683</v>
      </c>
      <c r="I1868">
        <v>6</v>
      </c>
      <c r="J1868">
        <v>54</v>
      </c>
      <c r="M1868" t="s">
        <v>1986</v>
      </c>
    </row>
    <row r="1869" spans="1:13" ht="15" customHeight="1">
      <c r="A1869" s="10">
        <v>46188</v>
      </c>
      <c r="B1869" t="s">
        <v>1</v>
      </c>
      <c r="C1869" t="s">
        <v>35</v>
      </c>
      <c r="D1869">
        <v>11</v>
      </c>
      <c r="E1869">
        <v>0</v>
      </c>
      <c r="H1869">
        <v>1</v>
      </c>
      <c r="I1869">
        <v>10</v>
      </c>
      <c r="M1869" t="s">
        <v>1987</v>
      </c>
    </row>
    <row r="1870" spans="1:13" ht="15" customHeight="1">
      <c r="A1870" s="10">
        <v>46188</v>
      </c>
      <c r="B1870" t="s">
        <v>1</v>
      </c>
      <c r="C1870" t="s">
        <v>37</v>
      </c>
      <c r="D1870">
        <v>4</v>
      </c>
      <c r="E1870">
        <v>0</v>
      </c>
      <c r="I1870">
        <v>4</v>
      </c>
      <c r="M1870" t="s">
        <v>1988</v>
      </c>
    </row>
    <row r="1871" spans="1:13" ht="15" customHeight="1">
      <c r="A1871" s="10">
        <v>46188</v>
      </c>
      <c r="B1871" t="s">
        <v>1</v>
      </c>
      <c r="C1871" t="s">
        <v>39</v>
      </c>
      <c r="D1871">
        <v>15</v>
      </c>
      <c r="E1871">
        <v>0</v>
      </c>
      <c r="I1871">
        <v>15</v>
      </c>
      <c r="J1871">
        <v>0</v>
      </c>
      <c r="M1871" t="s">
        <v>1989</v>
      </c>
    </row>
    <row r="1872" spans="1:13" ht="15" customHeight="1">
      <c r="A1872" s="10">
        <v>46188</v>
      </c>
      <c r="B1872" t="s">
        <v>1</v>
      </c>
      <c r="C1872" t="s">
        <v>41</v>
      </c>
      <c r="D1872">
        <v>13</v>
      </c>
      <c r="E1872">
        <v>0</v>
      </c>
      <c r="I1872">
        <v>13</v>
      </c>
      <c r="J1872">
        <v>0</v>
      </c>
      <c r="M1872" t="s">
        <v>1990</v>
      </c>
    </row>
    <row r="1873" spans="1:13" ht="15" customHeight="1">
      <c r="A1873" s="10">
        <v>46188</v>
      </c>
      <c r="B1873" t="s">
        <v>1</v>
      </c>
      <c r="C1873" t="s">
        <v>232</v>
      </c>
      <c r="D1873">
        <v>0</v>
      </c>
      <c r="E1873">
        <v>0</v>
      </c>
      <c r="I1873">
        <v>0</v>
      </c>
      <c r="J1873">
        <v>0</v>
      </c>
      <c r="M1873" t="s">
        <v>1991</v>
      </c>
    </row>
    <row r="1874" spans="1:13" ht="15" customHeight="1">
      <c r="A1874" s="10">
        <v>46188</v>
      </c>
      <c r="B1874" t="s">
        <v>1</v>
      </c>
      <c r="C1874" t="s">
        <v>234</v>
      </c>
      <c r="D1874">
        <v>84</v>
      </c>
      <c r="E1874">
        <v>0</v>
      </c>
      <c r="H1874">
        <v>5</v>
      </c>
      <c r="I1874">
        <v>79</v>
      </c>
      <c r="J1874">
        <v>0</v>
      </c>
      <c r="M1874" t="s">
        <v>1992</v>
      </c>
    </row>
    <row r="1875" spans="1:13" ht="15" customHeight="1">
      <c r="A1875" s="10">
        <v>46188</v>
      </c>
      <c r="B1875" t="s">
        <v>1</v>
      </c>
      <c r="C1875" t="s">
        <v>237</v>
      </c>
      <c r="D1875">
        <v>9</v>
      </c>
      <c r="E1875">
        <v>0</v>
      </c>
      <c r="H1875">
        <v>0</v>
      </c>
      <c r="I1875">
        <v>9</v>
      </c>
      <c r="J1875">
        <v>0</v>
      </c>
      <c r="M1875" t="s">
        <v>1993</v>
      </c>
    </row>
    <row r="1876" spans="1:13" ht="15" customHeight="1">
      <c r="A1876" s="10">
        <v>46188</v>
      </c>
      <c r="B1876" t="s">
        <v>1</v>
      </c>
      <c r="C1876" s="135" t="s">
        <v>58</v>
      </c>
      <c r="D1876">
        <v>9</v>
      </c>
      <c r="E1876">
        <v>0</v>
      </c>
      <c r="H1876">
        <v>0</v>
      </c>
      <c r="I1876">
        <v>9</v>
      </c>
      <c r="J1876">
        <v>0</v>
      </c>
      <c r="M1876" t="s">
        <v>1994</v>
      </c>
    </row>
    <row r="1877" spans="1:13" ht="15" customHeight="1">
      <c r="A1877" s="10">
        <v>46188</v>
      </c>
      <c r="B1877" t="s">
        <v>1</v>
      </c>
      <c r="C1877" s="135" t="s">
        <v>60</v>
      </c>
      <c r="D1877">
        <v>6</v>
      </c>
      <c r="E1877">
        <v>0</v>
      </c>
      <c r="H1877">
        <v>1</v>
      </c>
      <c r="I1877">
        <v>5</v>
      </c>
      <c r="J1877">
        <v>0</v>
      </c>
      <c r="M1877" t="s">
        <v>1995</v>
      </c>
    </row>
    <row r="1878" spans="1:13" ht="15" customHeight="1">
      <c r="A1878" s="10">
        <v>46188</v>
      </c>
      <c r="B1878" t="s">
        <v>1</v>
      </c>
      <c r="C1878" s="135" t="s">
        <v>61</v>
      </c>
      <c r="D1878">
        <v>10</v>
      </c>
      <c r="E1878">
        <v>0</v>
      </c>
      <c r="H1878">
        <v>4</v>
      </c>
      <c r="I1878">
        <v>6</v>
      </c>
      <c r="J1878">
        <v>0</v>
      </c>
      <c r="M1878" t="s">
        <v>1996</v>
      </c>
    </row>
    <row r="1879" spans="1:13" ht="15" customHeight="1">
      <c r="A1879" s="10">
        <v>46188</v>
      </c>
      <c r="B1879" t="s">
        <v>1</v>
      </c>
      <c r="C1879" s="135" t="s">
        <v>62</v>
      </c>
      <c r="D1879">
        <v>7</v>
      </c>
      <c r="E1879">
        <v>0</v>
      </c>
      <c r="H1879">
        <v>0</v>
      </c>
      <c r="I1879">
        <v>7</v>
      </c>
      <c r="J1879">
        <v>0</v>
      </c>
      <c r="M1879" t="s">
        <v>1997</v>
      </c>
    </row>
    <row r="1880" spans="1:13" ht="15" customHeight="1">
      <c r="A1880" s="10">
        <v>46188</v>
      </c>
      <c r="B1880" t="s">
        <v>1</v>
      </c>
      <c r="C1880" s="135" t="s">
        <v>63</v>
      </c>
      <c r="D1880">
        <v>6</v>
      </c>
      <c r="E1880">
        <v>0</v>
      </c>
      <c r="H1880">
        <v>0</v>
      </c>
      <c r="I1880">
        <v>6</v>
      </c>
      <c r="J1880">
        <v>0</v>
      </c>
      <c r="M1880" t="s">
        <v>1998</v>
      </c>
    </row>
    <row r="1881" spans="1:13" ht="15" customHeight="1">
      <c r="A1881" s="10">
        <v>46188</v>
      </c>
      <c r="B1881" t="s">
        <v>1</v>
      </c>
      <c r="C1881" s="135" t="s">
        <v>64</v>
      </c>
      <c r="D1881">
        <v>4</v>
      </c>
      <c r="E1881">
        <v>0</v>
      </c>
      <c r="H1881">
        <v>0</v>
      </c>
      <c r="I1881">
        <v>4</v>
      </c>
      <c r="J1881">
        <v>0</v>
      </c>
      <c r="M1881" t="s">
        <v>1999</v>
      </c>
    </row>
    <row r="1882" spans="1:13" ht="15" customHeight="1">
      <c r="A1882" s="10">
        <v>46188</v>
      </c>
      <c r="B1882" t="s">
        <v>1</v>
      </c>
      <c r="C1882" t="s">
        <v>66</v>
      </c>
      <c r="D1882">
        <v>5</v>
      </c>
      <c r="E1882">
        <v>0</v>
      </c>
      <c r="H1882">
        <v>1</v>
      </c>
      <c r="I1882">
        <v>4</v>
      </c>
      <c r="J1882">
        <v>0</v>
      </c>
      <c r="M1882" t="s">
        <v>2000</v>
      </c>
    </row>
    <row r="1883" spans="1:13" ht="15" customHeight="1">
      <c r="A1883" s="10">
        <v>46188</v>
      </c>
      <c r="B1883" t="s">
        <v>1</v>
      </c>
      <c r="C1883" t="s">
        <v>67</v>
      </c>
      <c r="D1883">
        <v>5</v>
      </c>
      <c r="E1883">
        <v>0</v>
      </c>
      <c r="H1883">
        <v>1</v>
      </c>
      <c r="I1883">
        <v>4</v>
      </c>
      <c r="J1883">
        <v>0</v>
      </c>
      <c r="M1883" t="s">
        <v>2001</v>
      </c>
    </row>
    <row r="1884" spans="1:13" ht="15" customHeight="1">
      <c r="A1884" s="10">
        <v>46188</v>
      </c>
      <c r="B1884" t="s">
        <v>1</v>
      </c>
      <c r="C1884" t="s">
        <v>68</v>
      </c>
      <c r="D1884">
        <v>4</v>
      </c>
      <c r="E1884">
        <v>0</v>
      </c>
      <c r="H1884">
        <v>0</v>
      </c>
      <c r="I1884">
        <v>4</v>
      </c>
      <c r="J1884">
        <v>0</v>
      </c>
      <c r="M1884" t="s">
        <v>2002</v>
      </c>
    </row>
    <row r="1885" spans="1:13" ht="15" customHeight="1">
      <c r="A1885" s="10">
        <v>46188</v>
      </c>
      <c r="B1885" t="s">
        <v>1</v>
      </c>
      <c r="C1885" t="s">
        <v>71</v>
      </c>
      <c r="D1885">
        <v>2</v>
      </c>
      <c r="E1885">
        <v>74</v>
      </c>
      <c r="I1885">
        <v>1</v>
      </c>
      <c r="J1885">
        <v>800</v>
      </c>
      <c r="M1885" t="s">
        <v>2003</v>
      </c>
    </row>
    <row r="1886" spans="1:13" ht="15" customHeight="1">
      <c r="A1886" s="10">
        <v>46188</v>
      </c>
      <c r="B1886" t="s">
        <v>1</v>
      </c>
      <c r="C1886" t="s">
        <v>73</v>
      </c>
      <c r="D1886">
        <v>2</v>
      </c>
      <c r="E1886">
        <v>260</v>
      </c>
      <c r="I1886">
        <v>2</v>
      </c>
      <c r="J1886">
        <v>182</v>
      </c>
      <c r="M1886" t="s">
        <v>2004</v>
      </c>
    </row>
    <row r="1887" spans="1:13" ht="15" customHeight="1">
      <c r="A1887" s="10">
        <v>46188</v>
      </c>
      <c r="B1887" t="s">
        <v>1</v>
      </c>
      <c r="C1887" t="s">
        <v>75</v>
      </c>
      <c r="D1887">
        <v>1</v>
      </c>
      <c r="E1887">
        <v>210</v>
      </c>
      <c r="I1887">
        <v>1</v>
      </c>
      <c r="J1887">
        <v>167</v>
      </c>
      <c r="M1887" t="s">
        <v>2005</v>
      </c>
    </row>
    <row r="1888" spans="1:13" ht="15" customHeight="1">
      <c r="A1888" s="10">
        <v>46188</v>
      </c>
      <c r="B1888" t="s">
        <v>1</v>
      </c>
      <c r="C1888" t="s">
        <v>77</v>
      </c>
      <c r="D1888">
        <v>0</v>
      </c>
      <c r="E1888">
        <v>890</v>
      </c>
      <c r="I1888">
        <v>0</v>
      </c>
      <c r="J1888">
        <v>890</v>
      </c>
      <c r="M1888" t="s">
        <v>2006</v>
      </c>
    </row>
    <row r="1889" spans="1:13" ht="15" customHeight="1">
      <c r="A1889" s="10">
        <v>46188</v>
      </c>
      <c r="B1889" t="s">
        <v>1</v>
      </c>
      <c r="C1889" t="s">
        <v>79</v>
      </c>
      <c r="D1889">
        <v>1</v>
      </c>
      <c r="E1889">
        <v>158</v>
      </c>
      <c r="I1889">
        <v>0</v>
      </c>
      <c r="J1889">
        <v>1663</v>
      </c>
      <c r="M1889" t="s">
        <v>2007</v>
      </c>
    </row>
    <row r="1890" spans="1:13" ht="15" customHeight="1">
      <c r="A1890" s="10">
        <v>46188</v>
      </c>
      <c r="B1890" t="s">
        <v>1</v>
      </c>
      <c r="C1890" t="s">
        <v>81</v>
      </c>
      <c r="D1890">
        <v>1</v>
      </c>
      <c r="E1890">
        <v>369</v>
      </c>
      <c r="I1890">
        <v>1</v>
      </c>
      <c r="J1890">
        <v>342</v>
      </c>
      <c r="M1890" t="s">
        <v>2008</v>
      </c>
    </row>
    <row r="1891" spans="1:13" ht="15" customHeight="1">
      <c r="A1891" s="10">
        <v>46188</v>
      </c>
      <c r="B1891" t="s">
        <v>1</v>
      </c>
      <c r="C1891" t="s">
        <v>83</v>
      </c>
      <c r="D1891">
        <v>1</v>
      </c>
      <c r="E1891">
        <v>342</v>
      </c>
      <c r="I1891">
        <v>1</v>
      </c>
      <c r="J1891">
        <v>342</v>
      </c>
      <c r="M1891" t="s">
        <v>2009</v>
      </c>
    </row>
    <row r="1892" spans="1:13" ht="15" customHeight="1">
      <c r="A1892" s="10">
        <v>46188</v>
      </c>
      <c r="B1892" t="s">
        <v>1</v>
      </c>
      <c r="C1892" t="s">
        <v>84</v>
      </c>
      <c r="D1892">
        <v>1</v>
      </c>
      <c r="E1892">
        <v>391</v>
      </c>
      <c r="I1892">
        <v>1</v>
      </c>
      <c r="J1892">
        <v>391</v>
      </c>
      <c r="M1892" t="s">
        <v>2010</v>
      </c>
    </row>
    <row r="1893" spans="1:13" ht="15" customHeight="1">
      <c r="A1893" s="10">
        <v>46188</v>
      </c>
      <c r="B1893" t="s">
        <v>1</v>
      </c>
      <c r="C1893" t="s">
        <v>85</v>
      </c>
      <c r="D1893">
        <v>0</v>
      </c>
      <c r="E1893">
        <v>150</v>
      </c>
      <c r="I1893">
        <v>0</v>
      </c>
      <c r="J1893">
        <v>150</v>
      </c>
      <c r="M1893" t="s">
        <v>2011</v>
      </c>
    </row>
    <row r="1894" spans="1:13" ht="15" customHeight="1">
      <c r="A1894" s="10">
        <v>46188</v>
      </c>
      <c r="B1894" t="s">
        <v>1</v>
      </c>
      <c r="C1894" t="s">
        <v>87</v>
      </c>
      <c r="D1894">
        <v>2</v>
      </c>
      <c r="E1894">
        <v>347</v>
      </c>
      <c r="I1894">
        <v>2</v>
      </c>
      <c r="J1894">
        <v>153</v>
      </c>
      <c r="M1894" t="s">
        <v>2012</v>
      </c>
    </row>
    <row r="1895" spans="1:13" ht="15" customHeight="1">
      <c r="A1895" s="10">
        <v>46188</v>
      </c>
      <c r="B1895" t="s">
        <v>1</v>
      </c>
      <c r="C1895" t="s">
        <v>88</v>
      </c>
      <c r="D1895">
        <v>1</v>
      </c>
      <c r="E1895">
        <v>260</v>
      </c>
      <c r="I1895">
        <v>1</v>
      </c>
      <c r="J1895">
        <v>260</v>
      </c>
      <c r="M1895" t="s">
        <v>2013</v>
      </c>
    </row>
    <row r="1896" spans="1:13" ht="15" customHeight="1">
      <c r="A1896" s="10">
        <v>46188</v>
      </c>
      <c r="B1896" t="s">
        <v>1</v>
      </c>
      <c r="C1896" t="s">
        <v>89</v>
      </c>
      <c r="D1896">
        <v>1</v>
      </c>
      <c r="E1896">
        <v>347</v>
      </c>
      <c r="I1896">
        <v>1</v>
      </c>
      <c r="J1896">
        <v>340</v>
      </c>
      <c r="M1896" t="s">
        <v>2014</v>
      </c>
    </row>
    <row r="1897" spans="1:13" ht="15" customHeight="1">
      <c r="A1897" s="10">
        <v>46188</v>
      </c>
      <c r="B1897" t="s">
        <v>1</v>
      </c>
      <c r="C1897" t="s">
        <v>90</v>
      </c>
      <c r="D1897">
        <v>1</v>
      </c>
      <c r="E1897">
        <v>830</v>
      </c>
      <c r="I1897">
        <v>1</v>
      </c>
      <c r="J1897">
        <v>830</v>
      </c>
      <c r="M1897" t="s">
        <v>2015</v>
      </c>
    </row>
    <row r="1898" spans="1:13" ht="15" customHeight="1">
      <c r="A1898" s="10">
        <v>46188</v>
      </c>
      <c r="B1898" t="s">
        <v>1</v>
      </c>
      <c r="C1898" t="s">
        <v>92</v>
      </c>
      <c r="D1898">
        <v>1</v>
      </c>
      <c r="E1898">
        <v>815</v>
      </c>
      <c r="I1898">
        <v>1</v>
      </c>
      <c r="J1898">
        <v>761</v>
      </c>
      <c r="M1898" t="s">
        <v>2016</v>
      </c>
    </row>
    <row r="1899" spans="1:13" ht="15" customHeight="1">
      <c r="A1899" s="10">
        <v>46188</v>
      </c>
      <c r="B1899" t="s">
        <v>1</v>
      </c>
      <c r="C1899" t="s">
        <v>94</v>
      </c>
      <c r="D1899">
        <v>6</v>
      </c>
      <c r="E1899">
        <v>0</v>
      </c>
      <c r="I1899">
        <v>4</v>
      </c>
      <c r="J1899">
        <v>219</v>
      </c>
      <c r="K1899">
        <v>245</v>
      </c>
      <c r="M1899" t="s">
        <v>2017</v>
      </c>
    </row>
    <row r="1900" spans="1:13" ht="15" customHeight="1">
      <c r="A1900" s="10">
        <v>46188</v>
      </c>
      <c r="B1900" t="s">
        <v>1</v>
      </c>
      <c r="C1900" t="s">
        <v>96</v>
      </c>
      <c r="D1900">
        <v>0</v>
      </c>
      <c r="E1900">
        <v>0</v>
      </c>
      <c r="I1900">
        <v>0</v>
      </c>
      <c r="J1900">
        <v>0</v>
      </c>
      <c r="M1900" t="s">
        <v>2018</v>
      </c>
    </row>
    <row r="1901" spans="1:13" ht="15" customHeight="1">
      <c r="A1901" s="10">
        <v>46188</v>
      </c>
      <c r="B1901" t="s">
        <v>1</v>
      </c>
      <c r="C1901" t="s">
        <v>98</v>
      </c>
      <c r="D1901">
        <v>3</v>
      </c>
      <c r="E1901">
        <v>0</v>
      </c>
      <c r="I1901">
        <v>3</v>
      </c>
      <c r="J1901">
        <v>0</v>
      </c>
      <c r="M1901" t="s">
        <v>2019</v>
      </c>
    </row>
    <row r="1902" spans="1:13" ht="15" customHeight="1">
      <c r="A1902" s="10">
        <v>46188</v>
      </c>
      <c r="B1902" t="s">
        <v>1</v>
      </c>
      <c r="C1902" t="s">
        <v>203</v>
      </c>
      <c r="D1902">
        <v>3</v>
      </c>
      <c r="E1902">
        <v>110</v>
      </c>
      <c r="I1902">
        <v>2</v>
      </c>
      <c r="J1902">
        <v>234</v>
      </c>
      <c r="M1902" t="s">
        <v>2020</v>
      </c>
    </row>
    <row r="1903" spans="1:13" ht="15" customHeight="1">
      <c r="A1903" s="10">
        <v>46188</v>
      </c>
      <c r="B1903" t="s">
        <v>1</v>
      </c>
      <c r="C1903" t="s">
        <v>100</v>
      </c>
      <c r="D1903">
        <v>0</v>
      </c>
      <c r="E1903">
        <v>0</v>
      </c>
      <c r="I1903">
        <v>0</v>
      </c>
      <c r="J1903">
        <v>0</v>
      </c>
      <c r="M1903" t="s">
        <v>2021</v>
      </c>
    </row>
    <row r="1904" spans="1:13" ht="15" customHeight="1">
      <c r="A1904" s="10">
        <v>46188</v>
      </c>
      <c r="B1904" t="s">
        <v>1</v>
      </c>
      <c r="C1904" t="s">
        <v>101</v>
      </c>
      <c r="D1904">
        <v>1</v>
      </c>
      <c r="E1904">
        <v>290</v>
      </c>
      <c r="I1904">
        <v>1</v>
      </c>
      <c r="J1904">
        <v>44</v>
      </c>
      <c r="M1904" t="s">
        <v>2022</v>
      </c>
    </row>
    <row r="1905" spans="1:13" ht="15" customHeight="1">
      <c r="A1905" s="10">
        <v>46188</v>
      </c>
      <c r="B1905" t="s">
        <v>1</v>
      </c>
      <c r="C1905" t="s">
        <v>103</v>
      </c>
      <c r="D1905">
        <v>0</v>
      </c>
      <c r="E1905">
        <v>0</v>
      </c>
      <c r="G1905">
        <v>7</v>
      </c>
      <c r="I1905">
        <v>0</v>
      </c>
      <c r="J1905">
        <v>3</v>
      </c>
      <c r="M1905" t="s">
        <v>2023</v>
      </c>
    </row>
    <row r="1906" spans="1:13" ht="15" customHeight="1">
      <c r="A1906" s="10">
        <v>46188</v>
      </c>
      <c r="B1906" t="s">
        <v>1</v>
      </c>
      <c r="C1906" t="s">
        <v>106</v>
      </c>
      <c r="D1906">
        <v>1</v>
      </c>
      <c r="E1906">
        <v>896</v>
      </c>
      <c r="I1906">
        <v>1</v>
      </c>
      <c r="J1906">
        <v>841</v>
      </c>
      <c r="M1906" t="s">
        <v>2024</v>
      </c>
    </row>
    <row r="1907" spans="1:13" ht="15" customHeight="1">
      <c r="A1907" s="10">
        <v>46188</v>
      </c>
      <c r="B1907" t="s">
        <v>1</v>
      </c>
      <c r="C1907" t="s">
        <v>108</v>
      </c>
      <c r="D1907">
        <v>0</v>
      </c>
      <c r="E1907">
        <v>1002</v>
      </c>
      <c r="I1907">
        <v>0</v>
      </c>
      <c r="J1907">
        <v>961</v>
      </c>
      <c r="M1907" t="s">
        <v>2025</v>
      </c>
    </row>
    <row r="1908" spans="1:13" ht="15" customHeight="1">
      <c r="A1908" s="10">
        <v>46188</v>
      </c>
      <c r="B1908" t="s">
        <v>1</v>
      </c>
      <c r="C1908" t="s">
        <v>109</v>
      </c>
      <c r="D1908">
        <v>2</v>
      </c>
      <c r="E1908">
        <v>366</v>
      </c>
      <c r="I1908">
        <v>2</v>
      </c>
      <c r="J1908">
        <v>606</v>
      </c>
      <c r="M1908" t="s">
        <v>2026</v>
      </c>
    </row>
    <row r="1909" spans="1:13" ht="15" customHeight="1">
      <c r="A1909" s="10">
        <v>46188</v>
      </c>
      <c r="B1909" t="s">
        <v>1</v>
      </c>
      <c r="C1909" t="s">
        <v>112</v>
      </c>
      <c r="D1909">
        <v>1</v>
      </c>
      <c r="E1909">
        <v>48</v>
      </c>
      <c r="I1909">
        <v>1</v>
      </c>
      <c r="J1909">
        <v>46</v>
      </c>
      <c r="M1909" t="s">
        <v>2027</v>
      </c>
    </row>
    <row r="1910" spans="1:13" ht="15" customHeight="1">
      <c r="A1910" s="10">
        <v>46188</v>
      </c>
      <c r="B1910" t="s">
        <v>1</v>
      </c>
      <c r="C1910" t="s">
        <v>114</v>
      </c>
      <c r="D1910">
        <v>1</v>
      </c>
      <c r="E1910">
        <v>40</v>
      </c>
      <c r="I1910">
        <v>1</v>
      </c>
      <c r="J1910">
        <v>34</v>
      </c>
      <c r="M1910" t="s">
        <v>2028</v>
      </c>
    </row>
    <row r="1911" spans="1:13" ht="15" customHeight="1">
      <c r="A1911" s="10">
        <v>46188</v>
      </c>
      <c r="B1911" t="s">
        <v>1</v>
      </c>
      <c r="C1911" t="s">
        <v>115</v>
      </c>
      <c r="D1911">
        <v>1</v>
      </c>
      <c r="E1911">
        <v>45</v>
      </c>
      <c r="I1911">
        <v>1</v>
      </c>
      <c r="J1911">
        <v>35</v>
      </c>
      <c r="M1911" t="s">
        <v>2029</v>
      </c>
    </row>
    <row r="1912" spans="1:13" ht="15" customHeight="1">
      <c r="A1912" s="10">
        <v>46188</v>
      </c>
      <c r="B1912" t="s">
        <v>1</v>
      </c>
      <c r="C1912" t="s">
        <v>116</v>
      </c>
      <c r="D1912">
        <v>2</v>
      </c>
      <c r="E1912">
        <v>7</v>
      </c>
      <c r="I1912">
        <v>2</v>
      </c>
      <c r="J1912">
        <v>0</v>
      </c>
      <c r="M1912" t="s">
        <v>2030</v>
      </c>
    </row>
    <row r="1913" spans="1:13" ht="15" customHeight="1">
      <c r="A1913" s="10">
        <v>46188</v>
      </c>
      <c r="B1913" t="s">
        <v>1</v>
      </c>
      <c r="C1913" t="s">
        <v>119</v>
      </c>
      <c r="D1913">
        <v>2</v>
      </c>
      <c r="E1913">
        <v>0</v>
      </c>
      <c r="I1913">
        <v>2</v>
      </c>
      <c r="M1913" t="s">
        <v>2031</v>
      </c>
    </row>
    <row r="1914" spans="1:13" ht="15" customHeight="1">
      <c r="A1914" s="10">
        <v>46188</v>
      </c>
      <c r="B1914" t="s">
        <v>1</v>
      </c>
      <c r="C1914" t="s">
        <v>120</v>
      </c>
      <c r="D1914">
        <v>2</v>
      </c>
      <c r="E1914">
        <v>0</v>
      </c>
      <c r="I1914">
        <v>1</v>
      </c>
      <c r="M1914" t="s">
        <v>2032</v>
      </c>
    </row>
    <row r="1915" spans="1:13" ht="15" customHeight="1">
      <c r="A1915" s="10">
        <v>46188</v>
      </c>
      <c r="B1915" t="s">
        <v>1</v>
      </c>
      <c r="C1915" t="s">
        <v>121</v>
      </c>
      <c r="D1915">
        <v>2</v>
      </c>
      <c r="E1915">
        <v>0</v>
      </c>
      <c r="I1915">
        <v>2</v>
      </c>
      <c r="M1915" t="s">
        <v>2033</v>
      </c>
    </row>
    <row r="1916" spans="1:13" ht="15" customHeight="1">
      <c r="A1916" s="10">
        <v>46188</v>
      </c>
      <c r="B1916" t="s">
        <v>1</v>
      </c>
      <c r="C1916" t="s">
        <v>123</v>
      </c>
      <c r="D1916">
        <v>2</v>
      </c>
      <c r="E1916">
        <v>0</v>
      </c>
      <c r="I1916">
        <v>2</v>
      </c>
      <c r="M1916" t="s">
        <v>2034</v>
      </c>
    </row>
    <row r="1917" spans="1:13" ht="15" customHeight="1">
      <c r="A1917" s="10">
        <v>46188</v>
      </c>
      <c r="B1917" t="s">
        <v>1</v>
      </c>
      <c r="C1917" t="s">
        <v>124</v>
      </c>
      <c r="D1917">
        <v>2</v>
      </c>
      <c r="E1917">
        <v>0</v>
      </c>
      <c r="I1917">
        <v>2</v>
      </c>
      <c r="M1917" t="s">
        <v>2035</v>
      </c>
    </row>
    <row r="1918" spans="1:13" ht="15" customHeight="1">
      <c r="A1918" s="10">
        <v>46188</v>
      </c>
      <c r="B1918" t="s">
        <v>1</v>
      </c>
      <c r="C1918" t="s">
        <v>125</v>
      </c>
      <c r="D1918">
        <v>2</v>
      </c>
      <c r="E1918">
        <v>0</v>
      </c>
      <c r="I1918">
        <v>2</v>
      </c>
      <c r="M1918" t="s">
        <v>2036</v>
      </c>
    </row>
    <row r="1919" spans="1:13" ht="15" customHeight="1">
      <c r="A1919" s="10">
        <v>46188</v>
      </c>
      <c r="B1919" t="s">
        <v>1</v>
      </c>
      <c r="C1919" t="s">
        <v>126</v>
      </c>
      <c r="D1919">
        <v>2</v>
      </c>
      <c r="E1919">
        <v>0</v>
      </c>
      <c r="I1919">
        <v>2</v>
      </c>
      <c r="M1919" t="s">
        <v>2037</v>
      </c>
    </row>
    <row r="1920" spans="1:13" ht="15" customHeight="1">
      <c r="A1920" s="10">
        <v>46188</v>
      </c>
      <c r="B1920" t="s">
        <v>1</v>
      </c>
      <c r="C1920" t="s">
        <v>128</v>
      </c>
      <c r="D1920">
        <v>2</v>
      </c>
      <c r="E1920">
        <v>0</v>
      </c>
      <c r="I1920">
        <v>2</v>
      </c>
      <c r="M1920" t="s">
        <v>2038</v>
      </c>
    </row>
    <row r="1921" spans="1:13" ht="15" customHeight="1">
      <c r="A1921" s="10">
        <v>46188</v>
      </c>
      <c r="B1921" t="s">
        <v>1</v>
      </c>
      <c r="C1921" t="s">
        <v>130</v>
      </c>
      <c r="D1921">
        <v>4</v>
      </c>
      <c r="E1921">
        <v>0</v>
      </c>
      <c r="I1921">
        <v>4</v>
      </c>
      <c r="M1921" t="s">
        <v>2039</v>
      </c>
    </row>
    <row r="1922" spans="1:13" ht="15" customHeight="1">
      <c r="A1922" s="10">
        <v>46188</v>
      </c>
      <c r="B1922" t="s">
        <v>1</v>
      </c>
      <c r="C1922" t="s">
        <v>285</v>
      </c>
      <c r="D1922">
        <v>2</v>
      </c>
      <c r="E1922">
        <v>0</v>
      </c>
      <c r="I1922">
        <v>2</v>
      </c>
      <c r="M1922" t="s">
        <v>2040</v>
      </c>
    </row>
    <row r="1923" spans="1:13" ht="15" customHeight="1">
      <c r="A1923" s="10">
        <v>46188</v>
      </c>
      <c r="B1923" t="s">
        <v>1</v>
      </c>
      <c r="C1923" t="s">
        <v>287</v>
      </c>
      <c r="D1923">
        <v>2</v>
      </c>
      <c r="E1923">
        <v>0</v>
      </c>
      <c r="I1923">
        <v>2</v>
      </c>
      <c r="M1923" t="s">
        <v>2041</v>
      </c>
    </row>
    <row r="1924" spans="1:13" ht="15" customHeight="1">
      <c r="A1924" s="10">
        <v>46188</v>
      </c>
      <c r="B1924" t="s">
        <v>1</v>
      </c>
      <c r="C1924" t="s">
        <v>289</v>
      </c>
      <c r="D1924">
        <v>2</v>
      </c>
      <c r="E1924">
        <v>0</v>
      </c>
      <c r="I1924">
        <v>2</v>
      </c>
      <c r="M1924" t="s">
        <v>2042</v>
      </c>
    </row>
    <row r="1925" spans="1:13" ht="15" customHeight="1">
      <c r="A1925" s="10">
        <v>46188</v>
      </c>
      <c r="B1925" t="s">
        <v>1</v>
      </c>
      <c r="C1925" t="s">
        <v>291</v>
      </c>
      <c r="D1925">
        <v>2</v>
      </c>
      <c r="E1925">
        <v>0</v>
      </c>
      <c r="I1925">
        <v>2</v>
      </c>
      <c r="M1925" t="s">
        <v>2043</v>
      </c>
    </row>
    <row r="1926" spans="1:13" ht="15" customHeight="1">
      <c r="A1926" s="10">
        <v>46188</v>
      </c>
      <c r="B1926" t="s">
        <v>1</v>
      </c>
      <c r="C1926" t="s">
        <v>293</v>
      </c>
      <c r="D1926">
        <v>4</v>
      </c>
      <c r="E1926">
        <v>0</v>
      </c>
      <c r="I1926">
        <v>3</v>
      </c>
      <c r="M1926" t="s">
        <v>2044</v>
      </c>
    </row>
    <row r="1927" spans="1:13" ht="15" customHeight="1">
      <c r="A1927" s="10">
        <v>46188</v>
      </c>
      <c r="B1927" t="s">
        <v>1</v>
      </c>
      <c r="C1927" s="135" t="s">
        <v>138</v>
      </c>
      <c r="D1927">
        <v>0</v>
      </c>
      <c r="E1927">
        <v>48</v>
      </c>
      <c r="I1927">
        <v>0</v>
      </c>
      <c r="J1927">
        <v>42</v>
      </c>
      <c r="M1927" t="s">
        <v>2045</v>
      </c>
    </row>
    <row r="1928" spans="1:13" ht="15" customHeight="1">
      <c r="A1928" s="10">
        <v>46188</v>
      </c>
      <c r="B1928" t="s">
        <v>1</v>
      </c>
      <c r="C1928" s="135" t="s">
        <v>139</v>
      </c>
      <c r="D1928">
        <v>0</v>
      </c>
      <c r="E1928">
        <v>43</v>
      </c>
      <c r="I1928">
        <v>0</v>
      </c>
      <c r="J1928">
        <v>40</v>
      </c>
      <c r="M1928" t="s">
        <v>2046</v>
      </c>
    </row>
    <row r="1929" spans="1:13" ht="15" customHeight="1">
      <c r="A1929" s="10">
        <v>46188</v>
      </c>
      <c r="B1929" t="s">
        <v>1</v>
      </c>
      <c r="C1929" s="135" t="s">
        <v>140</v>
      </c>
      <c r="D1929">
        <v>0</v>
      </c>
      <c r="E1929">
        <v>21</v>
      </c>
      <c r="I1929">
        <v>0</v>
      </c>
      <c r="J1929">
        <v>19</v>
      </c>
      <c r="M1929" t="s">
        <v>2047</v>
      </c>
    </row>
    <row r="1930" spans="1:13" ht="15" customHeight="1">
      <c r="A1930" s="10">
        <v>46188</v>
      </c>
      <c r="B1930" t="s">
        <v>1</v>
      </c>
      <c r="C1930" s="135" t="s">
        <v>143</v>
      </c>
      <c r="D1930">
        <v>0</v>
      </c>
      <c r="E1930">
        <v>33</v>
      </c>
      <c r="I1930">
        <v>0</v>
      </c>
      <c r="J1930">
        <v>31</v>
      </c>
      <c r="M1930" t="s">
        <v>2048</v>
      </c>
    </row>
    <row r="1931" spans="1:13" ht="15" customHeight="1">
      <c r="A1931" s="10">
        <v>46188</v>
      </c>
      <c r="B1931" t="s">
        <v>1</v>
      </c>
      <c r="C1931" s="135" t="s">
        <v>145</v>
      </c>
      <c r="D1931">
        <v>0</v>
      </c>
      <c r="E1931">
        <v>36</v>
      </c>
      <c r="I1931">
        <v>0</v>
      </c>
      <c r="J1931">
        <v>34</v>
      </c>
      <c r="M1931" t="s">
        <v>2049</v>
      </c>
    </row>
    <row r="1932" spans="1:13" ht="15" customHeight="1">
      <c r="A1932" s="10">
        <v>46188</v>
      </c>
      <c r="B1932" t="s">
        <v>1</v>
      </c>
      <c r="C1932" s="135" t="s">
        <v>147</v>
      </c>
      <c r="D1932">
        <v>0</v>
      </c>
      <c r="E1932">
        <v>33</v>
      </c>
      <c r="I1932">
        <v>0</v>
      </c>
      <c r="J1932">
        <v>33</v>
      </c>
      <c r="M1932" t="s">
        <v>2050</v>
      </c>
    </row>
    <row r="1933" spans="1:13" ht="15" customHeight="1">
      <c r="A1933" s="10">
        <v>46188</v>
      </c>
      <c r="B1933" t="s">
        <v>1</v>
      </c>
      <c r="C1933" t="s">
        <v>302</v>
      </c>
      <c r="D1933">
        <v>2</v>
      </c>
      <c r="E1933">
        <v>0</v>
      </c>
      <c r="I1933">
        <v>2</v>
      </c>
      <c r="M1933" t="s">
        <v>2051</v>
      </c>
    </row>
    <row r="1934" spans="1:13" ht="15" customHeight="1">
      <c r="A1934" s="10">
        <v>46188</v>
      </c>
      <c r="B1934" t="s">
        <v>1</v>
      </c>
      <c r="C1934" t="s">
        <v>150</v>
      </c>
      <c r="D1934">
        <v>2</v>
      </c>
      <c r="E1934">
        <v>0</v>
      </c>
      <c r="I1934">
        <v>2</v>
      </c>
      <c r="M1934" t="s">
        <v>2052</v>
      </c>
    </row>
    <row r="1935" spans="1:13" ht="15" customHeight="1">
      <c r="A1935" s="10">
        <v>46188</v>
      </c>
      <c r="B1935" t="s">
        <v>1</v>
      </c>
      <c r="C1935" t="s">
        <v>151</v>
      </c>
      <c r="D1935">
        <v>2</v>
      </c>
      <c r="E1935">
        <v>0</v>
      </c>
      <c r="I1935">
        <v>2</v>
      </c>
      <c r="M1935" t="s">
        <v>2053</v>
      </c>
    </row>
    <row r="1936" spans="1:13" ht="15" customHeight="1">
      <c r="A1936" s="10">
        <v>46188</v>
      </c>
      <c r="B1936" t="s">
        <v>1</v>
      </c>
      <c r="C1936" t="s">
        <v>152</v>
      </c>
      <c r="D1936">
        <v>2</v>
      </c>
      <c r="E1936">
        <v>0</v>
      </c>
      <c r="I1936">
        <v>2</v>
      </c>
      <c r="M1936" t="s">
        <v>2054</v>
      </c>
    </row>
    <row r="1937" spans="1:13" ht="15" customHeight="1">
      <c r="A1937" s="10">
        <v>46188</v>
      </c>
      <c r="B1937" t="s">
        <v>1</v>
      </c>
      <c r="C1937" t="s">
        <v>153</v>
      </c>
      <c r="D1937">
        <v>2</v>
      </c>
      <c r="E1937">
        <v>0</v>
      </c>
      <c r="I1937">
        <v>2</v>
      </c>
      <c r="M1937" t="s">
        <v>2055</v>
      </c>
    </row>
    <row r="1938" spans="1:13" ht="15" customHeight="1">
      <c r="A1938" s="10">
        <v>46188</v>
      </c>
      <c r="B1938" t="s">
        <v>1</v>
      </c>
      <c r="C1938" t="s">
        <v>308</v>
      </c>
      <c r="D1938">
        <v>0</v>
      </c>
      <c r="E1938">
        <v>3</v>
      </c>
      <c r="I1938">
        <v>0</v>
      </c>
      <c r="J1938">
        <v>2</v>
      </c>
      <c r="M1938" t="s">
        <v>2056</v>
      </c>
    </row>
    <row r="1939" spans="1:13" ht="15" customHeight="1">
      <c r="A1939" s="10">
        <v>46188</v>
      </c>
      <c r="B1939" t="s">
        <v>1</v>
      </c>
      <c r="C1939" t="s">
        <v>310</v>
      </c>
      <c r="D1939">
        <v>0</v>
      </c>
      <c r="E1939">
        <v>2</v>
      </c>
      <c r="I1939">
        <v>0</v>
      </c>
      <c r="J1939">
        <v>1</v>
      </c>
      <c r="M1939" t="s">
        <v>2057</v>
      </c>
    </row>
    <row r="1940" spans="1:13" ht="15" customHeight="1">
      <c r="A1940" s="10">
        <v>46188</v>
      </c>
      <c r="B1940" t="s">
        <v>1</v>
      </c>
      <c r="C1940" t="s">
        <v>312</v>
      </c>
      <c r="D1940">
        <v>0</v>
      </c>
      <c r="E1940">
        <v>2</v>
      </c>
      <c r="I1940">
        <v>0</v>
      </c>
      <c r="J1940">
        <v>2</v>
      </c>
      <c r="M1940" t="s">
        <v>2058</v>
      </c>
    </row>
    <row r="1941" spans="1:13" ht="15" customHeight="1">
      <c r="A1941" s="10">
        <v>46188</v>
      </c>
      <c r="B1941" t="s">
        <v>1</v>
      </c>
      <c r="C1941" t="s">
        <v>314</v>
      </c>
      <c r="D1941">
        <v>2</v>
      </c>
      <c r="E1941">
        <v>0</v>
      </c>
      <c r="I1941">
        <v>1</v>
      </c>
      <c r="M1941" t="s">
        <v>2059</v>
      </c>
    </row>
    <row r="1942" spans="1:13" ht="15" customHeight="1">
      <c r="A1942" s="10">
        <v>46188</v>
      </c>
      <c r="B1942" t="s">
        <v>1</v>
      </c>
      <c r="C1942" t="s">
        <v>316</v>
      </c>
      <c r="D1942">
        <v>1</v>
      </c>
      <c r="E1942">
        <v>0</v>
      </c>
      <c r="I1942">
        <v>1</v>
      </c>
      <c r="M1942" t="s">
        <v>2060</v>
      </c>
    </row>
    <row r="1943" spans="1:13" ht="15" customHeight="1">
      <c r="A1943" s="10">
        <v>46188</v>
      </c>
      <c r="B1943" t="s">
        <v>1</v>
      </c>
      <c r="C1943" t="s">
        <v>320</v>
      </c>
      <c r="D1943">
        <v>2</v>
      </c>
      <c r="E1943">
        <v>0</v>
      </c>
      <c r="I1943">
        <v>3</v>
      </c>
      <c r="M1943" t="s">
        <v>2061</v>
      </c>
    </row>
    <row r="1944" spans="1:13" ht="15" customHeight="1">
      <c r="A1944" s="10">
        <v>46188</v>
      </c>
      <c r="B1944" t="s">
        <v>1</v>
      </c>
      <c r="C1944" t="s">
        <v>322</v>
      </c>
      <c r="D1944">
        <v>3</v>
      </c>
      <c r="E1944">
        <v>0</v>
      </c>
      <c r="I1944">
        <v>0</v>
      </c>
      <c r="M1944" t="s">
        <v>2062</v>
      </c>
    </row>
    <row r="1945" spans="1:13" ht="15" customHeight="1">
      <c r="A1945" s="10">
        <v>46188</v>
      </c>
      <c r="B1945" t="s">
        <v>1</v>
      </c>
      <c r="C1945" s="135" t="s">
        <v>168</v>
      </c>
      <c r="D1945">
        <v>1</v>
      </c>
      <c r="E1945">
        <v>0</v>
      </c>
      <c r="I1945">
        <v>1</v>
      </c>
      <c r="M1945" t="s">
        <v>2063</v>
      </c>
    </row>
    <row r="1946" spans="1:13" ht="15" customHeight="1">
      <c r="A1946" s="10">
        <v>46188</v>
      </c>
      <c r="B1946" t="s">
        <v>1</v>
      </c>
      <c r="C1946" s="135" t="s">
        <v>170</v>
      </c>
      <c r="D1946">
        <v>1</v>
      </c>
      <c r="E1946">
        <v>0</v>
      </c>
      <c r="I1946">
        <v>1</v>
      </c>
      <c r="M1946" t="s">
        <v>2064</v>
      </c>
    </row>
    <row r="1947" spans="1:13" ht="15" customHeight="1">
      <c r="A1947" s="10">
        <v>46188</v>
      </c>
      <c r="B1947" t="s">
        <v>1</v>
      </c>
      <c r="C1947" s="135" t="s">
        <v>171</v>
      </c>
      <c r="D1947">
        <v>2</v>
      </c>
      <c r="E1947">
        <v>0</v>
      </c>
      <c r="I1947">
        <v>2</v>
      </c>
      <c r="M1947" t="s">
        <v>2065</v>
      </c>
    </row>
    <row r="1948" spans="1:13" ht="15" customHeight="1">
      <c r="A1948" s="10">
        <v>46188</v>
      </c>
      <c r="B1948" t="s">
        <v>1</v>
      </c>
      <c r="C1948" s="135" t="s">
        <v>172</v>
      </c>
      <c r="D1948">
        <v>1</v>
      </c>
      <c r="E1948">
        <v>0</v>
      </c>
      <c r="I1948">
        <v>1</v>
      </c>
      <c r="M1948" t="s">
        <v>2066</v>
      </c>
    </row>
    <row r="1949" spans="1:13" ht="15" customHeight="1">
      <c r="A1949" s="10">
        <v>46188</v>
      </c>
      <c r="B1949" t="s">
        <v>1</v>
      </c>
      <c r="C1949" s="135" t="s">
        <v>173</v>
      </c>
      <c r="D1949">
        <v>0</v>
      </c>
      <c r="E1949">
        <v>0</v>
      </c>
      <c r="I1949">
        <v>0</v>
      </c>
      <c r="M1949" t="s">
        <v>2067</v>
      </c>
    </row>
    <row r="1950" spans="1:13" ht="15" customHeight="1">
      <c r="A1950" s="10">
        <v>46188</v>
      </c>
      <c r="B1950" t="s">
        <v>1</v>
      </c>
      <c r="C1950" t="s">
        <v>176</v>
      </c>
      <c r="D1950">
        <v>0</v>
      </c>
      <c r="E1950">
        <v>9</v>
      </c>
      <c r="I1950">
        <v>0</v>
      </c>
      <c r="J1950">
        <v>9</v>
      </c>
      <c r="M1950" t="s">
        <v>2068</v>
      </c>
    </row>
    <row r="1951" spans="1:13" ht="15" customHeight="1">
      <c r="A1951" s="10">
        <v>46188</v>
      </c>
      <c r="B1951" t="s">
        <v>1</v>
      </c>
      <c r="C1951" t="s">
        <v>178</v>
      </c>
      <c r="D1951">
        <v>0</v>
      </c>
      <c r="E1951">
        <v>19</v>
      </c>
      <c r="H1951">
        <v>2</v>
      </c>
      <c r="I1951">
        <v>0</v>
      </c>
      <c r="J1951">
        <v>17</v>
      </c>
      <c r="M1951" t="s">
        <v>2069</v>
      </c>
    </row>
    <row r="1952" spans="1:13" ht="15" customHeight="1">
      <c r="A1952" s="10">
        <v>46188</v>
      </c>
      <c r="B1952" t="s">
        <v>1</v>
      </c>
      <c r="C1952" t="s">
        <v>179</v>
      </c>
      <c r="D1952">
        <v>0</v>
      </c>
      <c r="E1952">
        <v>12</v>
      </c>
      <c r="I1952">
        <v>0</v>
      </c>
      <c r="J1952">
        <v>12</v>
      </c>
      <c r="M1952" t="s">
        <v>2070</v>
      </c>
    </row>
    <row r="1953" spans="1:13" ht="15" customHeight="1">
      <c r="A1953" s="10">
        <v>46188</v>
      </c>
      <c r="B1953" t="s">
        <v>1</v>
      </c>
      <c r="C1953" t="s">
        <v>180</v>
      </c>
      <c r="D1953">
        <v>0</v>
      </c>
      <c r="E1953">
        <v>16</v>
      </c>
      <c r="I1953">
        <v>0</v>
      </c>
      <c r="J1953">
        <v>16</v>
      </c>
      <c r="M1953" t="s">
        <v>2071</v>
      </c>
    </row>
    <row r="1954" spans="1:13" ht="15" customHeight="1">
      <c r="A1954" s="10">
        <v>46188</v>
      </c>
      <c r="B1954" t="s">
        <v>1</v>
      </c>
      <c r="C1954" s="135" t="s">
        <v>182</v>
      </c>
      <c r="D1954">
        <v>1</v>
      </c>
      <c r="E1954">
        <v>270</v>
      </c>
      <c r="I1954">
        <v>1</v>
      </c>
      <c r="M1954" t="s">
        <v>2072</v>
      </c>
    </row>
    <row r="1955" spans="1:13" ht="15" customHeight="1">
      <c r="A1955" s="10">
        <v>46188</v>
      </c>
      <c r="B1955" t="s">
        <v>1</v>
      </c>
      <c r="C1955" s="135" t="s">
        <v>184</v>
      </c>
      <c r="D1955">
        <v>1</v>
      </c>
      <c r="E1955">
        <v>7</v>
      </c>
      <c r="I1955">
        <v>1</v>
      </c>
      <c r="J1955">
        <v>7</v>
      </c>
      <c r="M1955" t="s">
        <v>2073</v>
      </c>
    </row>
    <row r="1956" spans="1:13" ht="15" customHeight="1">
      <c r="A1956" s="10">
        <v>46188</v>
      </c>
      <c r="B1956" t="s">
        <v>1</v>
      </c>
      <c r="C1956" s="135" t="s">
        <v>185</v>
      </c>
      <c r="D1956">
        <v>1</v>
      </c>
      <c r="E1956">
        <v>56</v>
      </c>
      <c r="I1956">
        <v>1</v>
      </c>
      <c r="J1956">
        <v>56</v>
      </c>
      <c r="M1956" t="s">
        <v>2074</v>
      </c>
    </row>
    <row r="1957" spans="1:13" ht="15" customHeight="1">
      <c r="A1957" s="10">
        <v>46188</v>
      </c>
      <c r="B1957" t="s">
        <v>1</v>
      </c>
      <c r="C1957" s="135" t="s">
        <v>186</v>
      </c>
      <c r="D1957">
        <v>1</v>
      </c>
      <c r="E1957">
        <v>60</v>
      </c>
      <c r="I1957">
        <v>1</v>
      </c>
      <c r="J1957">
        <v>60</v>
      </c>
      <c r="M1957" t="s">
        <v>2075</v>
      </c>
    </row>
    <row r="1958" spans="1:13" ht="15" customHeight="1">
      <c r="A1958" s="10">
        <v>46188</v>
      </c>
      <c r="B1958" t="s">
        <v>1</v>
      </c>
      <c r="C1958" t="s">
        <v>337</v>
      </c>
      <c r="D1958">
        <v>2</v>
      </c>
      <c r="E1958">
        <v>272</v>
      </c>
      <c r="I1958">
        <v>2</v>
      </c>
      <c r="J1958">
        <v>251</v>
      </c>
      <c r="M1958" t="s">
        <v>2076</v>
      </c>
    </row>
    <row r="1959" spans="1:13" ht="15" customHeight="1">
      <c r="A1959" s="10">
        <v>46188</v>
      </c>
      <c r="B1959" t="s">
        <v>1</v>
      </c>
      <c r="C1959" t="s">
        <v>339</v>
      </c>
      <c r="D1959">
        <v>0</v>
      </c>
      <c r="E1959">
        <v>0</v>
      </c>
      <c r="I1959">
        <v>0</v>
      </c>
      <c r="J1959">
        <v>0</v>
      </c>
      <c r="M1959" t="s">
        <v>2077</v>
      </c>
    </row>
    <row r="1960" spans="1:13" ht="15" customHeight="1">
      <c r="A1960" s="10">
        <v>46188</v>
      </c>
      <c r="B1960" t="s">
        <v>1</v>
      </c>
      <c r="C1960" s="135" t="s">
        <v>191</v>
      </c>
      <c r="D1960">
        <v>1</v>
      </c>
      <c r="E1960">
        <v>265</v>
      </c>
      <c r="I1960">
        <v>1</v>
      </c>
      <c r="J1960">
        <v>241</v>
      </c>
      <c r="M1960" t="s">
        <v>2078</v>
      </c>
    </row>
    <row r="1961" spans="1:13" ht="15" customHeight="1">
      <c r="A1961" s="10">
        <v>46188</v>
      </c>
      <c r="B1961" t="s">
        <v>1</v>
      </c>
      <c r="C1961" s="135" t="s">
        <v>193</v>
      </c>
      <c r="D1961">
        <v>1</v>
      </c>
      <c r="E1961">
        <v>446</v>
      </c>
      <c r="I1961">
        <v>1</v>
      </c>
      <c r="J1961">
        <v>446</v>
      </c>
      <c r="M1961" t="s">
        <v>2079</v>
      </c>
    </row>
    <row r="1962" spans="1:13" ht="15" customHeight="1">
      <c r="A1962" s="10">
        <v>46188</v>
      </c>
      <c r="B1962" t="s">
        <v>1</v>
      </c>
      <c r="C1962" s="135" t="s">
        <v>194</v>
      </c>
      <c r="D1962">
        <v>1</v>
      </c>
      <c r="E1962">
        <v>29</v>
      </c>
      <c r="I1962">
        <v>1</v>
      </c>
      <c r="J1962">
        <v>29</v>
      </c>
      <c r="M1962" t="s">
        <v>2080</v>
      </c>
    </row>
    <row r="1963" spans="1:13" ht="15" customHeight="1">
      <c r="A1963" s="10">
        <v>46188</v>
      </c>
      <c r="B1963" t="s">
        <v>1</v>
      </c>
      <c r="C1963" s="135" t="s">
        <v>196</v>
      </c>
      <c r="D1963">
        <v>1</v>
      </c>
      <c r="E1963">
        <v>98</v>
      </c>
      <c r="I1963">
        <v>1</v>
      </c>
      <c r="J1963">
        <v>98</v>
      </c>
      <c r="M1963" t="s">
        <v>2081</v>
      </c>
    </row>
    <row r="1964" spans="1:13" ht="15" customHeight="1">
      <c r="A1964" s="10">
        <v>46189</v>
      </c>
      <c r="B1964" t="s">
        <v>1</v>
      </c>
      <c r="C1964" t="s">
        <v>23</v>
      </c>
      <c r="D1964">
        <v>4</v>
      </c>
      <c r="E1964">
        <v>444</v>
      </c>
      <c r="I1964">
        <v>2</v>
      </c>
      <c r="J1964">
        <v>1237</v>
      </c>
      <c r="M1964" t="s">
        <v>2082</v>
      </c>
    </row>
    <row r="1965" spans="1:13" ht="15" customHeight="1">
      <c r="A1965" s="10">
        <v>46189</v>
      </c>
      <c r="B1965" t="s">
        <v>1</v>
      </c>
      <c r="C1965" t="s">
        <v>26</v>
      </c>
      <c r="D1965">
        <v>0</v>
      </c>
      <c r="E1965">
        <v>1002</v>
      </c>
      <c r="I1965">
        <v>0</v>
      </c>
      <c r="J1965">
        <v>998</v>
      </c>
      <c r="M1965" t="s">
        <v>2083</v>
      </c>
    </row>
    <row r="1966" spans="1:13" ht="15" customHeight="1">
      <c r="A1966" s="10">
        <v>46189</v>
      </c>
      <c r="B1966" t="s">
        <v>1</v>
      </c>
      <c r="C1966" t="s">
        <v>27</v>
      </c>
      <c r="D1966">
        <v>1</v>
      </c>
      <c r="E1966">
        <v>306</v>
      </c>
      <c r="I1966">
        <v>1</v>
      </c>
      <c r="J1966">
        <v>302</v>
      </c>
      <c r="M1966" t="s">
        <v>2084</v>
      </c>
    </row>
    <row r="1967" spans="1:13" ht="15" customHeight="1">
      <c r="A1967" s="10">
        <v>46189</v>
      </c>
      <c r="B1967" t="s">
        <v>1</v>
      </c>
      <c r="C1967" t="s">
        <v>28</v>
      </c>
      <c r="D1967">
        <v>0</v>
      </c>
      <c r="E1967">
        <v>0</v>
      </c>
      <c r="I1967">
        <v>0</v>
      </c>
      <c r="J1967">
        <v>0</v>
      </c>
      <c r="M1967" t="s">
        <v>2085</v>
      </c>
    </row>
    <row r="1968" spans="1:13" ht="15" customHeight="1">
      <c r="A1968" s="10">
        <v>46189</v>
      </c>
      <c r="B1968" t="s">
        <v>1</v>
      </c>
      <c r="C1968" t="s">
        <v>29</v>
      </c>
      <c r="D1968">
        <v>0</v>
      </c>
      <c r="E1968">
        <v>909</v>
      </c>
      <c r="I1968">
        <v>0</v>
      </c>
      <c r="J1968">
        <v>759</v>
      </c>
      <c r="M1968" t="s">
        <v>2086</v>
      </c>
    </row>
    <row r="1969" spans="1:13" ht="15" customHeight="1">
      <c r="A1969" s="10">
        <v>46189</v>
      </c>
      <c r="B1969" t="s">
        <v>1</v>
      </c>
      <c r="C1969" t="s">
        <v>30</v>
      </c>
      <c r="D1969">
        <v>1</v>
      </c>
      <c r="E1969">
        <v>170</v>
      </c>
      <c r="I1969">
        <v>1</v>
      </c>
      <c r="J1969">
        <v>164</v>
      </c>
      <c r="M1969" t="s">
        <v>2087</v>
      </c>
    </row>
    <row r="1970" spans="1:13" ht="15" customHeight="1">
      <c r="A1970" s="10">
        <v>46189</v>
      </c>
      <c r="B1970" t="s">
        <v>1</v>
      </c>
      <c r="C1970" t="s">
        <v>31</v>
      </c>
      <c r="D1970">
        <v>1</v>
      </c>
      <c r="E1970">
        <v>480</v>
      </c>
      <c r="I1970">
        <v>1</v>
      </c>
      <c r="J1970">
        <v>475</v>
      </c>
      <c r="M1970" t="s">
        <v>2088</v>
      </c>
    </row>
    <row r="1971" spans="1:13" ht="15" customHeight="1">
      <c r="A1971" s="10">
        <v>46189</v>
      </c>
      <c r="B1971" t="s">
        <v>1</v>
      </c>
      <c r="C1971" t="s">
        <v>32</v>
      </c>
      <c r="D1971">
        <v>1</v>
      </c>
      <c r="E1971">
        <v>844</v>
      </c>
      <c r="I1971">
        <v>1</v>
      </c>
      <c r="J1971">
        <v>844</v>
      </c>
      <c r="M1971" t="s">
        <v>2089</v>
      </c>
    </row>
    <row r="1972" spans="1:13" ht="15" customHeight="1">
      <c r="A1972" s="10">
        <v>46189</v>
      </c>
      <c r="B1972" t="s">
        <v>1</v>
      </c>
      <c r="C1972" t="s">
        <v>223</v>
      </c>
      <c r="D1972">
        <v>6</v>
      </c>
      <c r="E1972">
        <v>54</v>
      </c>
      <c r="I1972">
        <v>5</v>
      </c>
      <c r="J1972">
        <v>153</v>
      </c>
      <c r="M1972" t="s">
        <v>2090</v>
      </c>
    </row>
    <row r="1973" spans="1:13" ht="15" customHeight="1">
      <c r="A1973" s="10">
        <v>46189</v>
      </c>
      <c r="B1973" t="s">
        <v>1</v>
      </c>
      <c r="C1973" t="s">
        <v>35</v>
      </c>
      <c r="D1973">
        <v>10</v>
      </c>
      <c r="E1973">
        <v>0</v>
      </c>
      <c r="H1973">
        <v>3</v>
      </c>
      <c r="I1973">
        <v>7</v>
      </c>
      <c r="M1973" t="s">
        <v>2091</v>
      </c>
    </row>
    <row r="1974" spans="1:13" ht="15" customHeight="1">
      <c r="A1974" s="10">
        <v>46189</v>
      </c>
      <c r="B1974" t="s">
        <v>1</v>
      </c>
      <c r="C1974" t="s">
        <v>37</v>
      </c>
      <c r="D1974">
        <v>4</v>
      </c>
      <c r="E1974">
        <v>0</v>
      </c>
      <c r="H1974">
        <v>1</v>
      </c>
      <c r="I1974">
        <v>3</v>
      </c>
      <c r="M1974" t="s">
        <v>2092</v>
      </c>
    </row>
    <row r="1975" spans="1:13" ht="15" customHeight="1">
      <c r="A1975" s="10">
        <v>46189</v>
      </c>
      <c r="B1975" t="s">
        <v>1</v>
      </c>
      <c r="C1975" t="s">
        <v>39</v>
      </c>
      <c r="D1975">
        <v>15</v>
      </c>
      <c r="E1975">
        <v>0</v>
      </c>
      <c r="H1975">
        <v>0</v>
      </c>
      <c r="I1975">
        <v>15</v>
      </c>
      <c r="J1975">
        <v>0</v>
      </c>
      <c r="M1975" t="s">
        <v>2093</v>
      </c>
    </row>
    <row r="1976" spans="1:13" ht="15" customHeight="1">
      <c r="A1976" s="10">
        <v>46189</v>
      </c>
      <c r="B1976" t="s">
        <v>1</v>
      </c>
      <c r="C1976" t="s">
        <v>41</v>
      </c>
      <c r="D1976">
        <v>13</v>
      </c>
      <c r="E1976">
        <v>0</v>
      </c>
      <c r="H1976">
        <v>2</v>
      </c>
      <c r="I1976">
        <v>11</v>
      </c>
      <c r="J1976">
        <v>0</v>
      </c>
      <c r="M1976" t="s">
        <v>2094</v>
      </c>
    </row>
    <row r="1977" spans="1:13" ht="15" customHeight="1">
      <c r="A1977" s="10">
        <v>46189</v>
      </c>
      <c r="B1977" t="s">
        <v>1</v>
      </c>
      <c r="C1977" t="s">
        <v>232</v>
      </c>
      <c r="D1977">
        <v>0</v>
      </c>
      <c r="E1977">
        <v>0</v>
      </c>
      <c r="H1977">
        <v>0</v>
      </c>
      <c r="I1977">
        <v>0</v>
      </c>
      <c r="J1977">
        <v>0</v>
      </c>
      <c r="M1977" t="s">
        <v>2095</v>
      </c>
    </row>
    <row r="1978" spans="1:13" ht="15" customHeight="1">
      <c r="A1978" s="10">
        <v>46189</v>
      </c>
      <c r="B1978" t="s">
        <v>1</v>
      </c>
      <c r="C1978" t="s">
        <v>234</v>
      </c>
      <c r="D1978">
        <v>79</v>
      </c>
      <c r="E1978">
        <v>0</v>
      </c>
      <c r="H1978">
        <v>6</v>
      </c>
      <c r="I1978">
        <v>73</v>
      </c>
      <c r="J1978">
        <v>0</v>
      </c>
      <c r="M1978" t="s">
        <v>2096</v>
      </c>
    </row>
    <row r="1979" spans="1:13" ht="15" customHeight="1">
      <c r="A1979" s="10">
        <v>46189</v>
      </c>
      <c r="B1979" t="s">
        <v>1</v>
      </c>
      <c r="C1979" t="s">
        <v>237</v>
      </c>
      <c r="D1979">
        <v>9</v>
      </c>
      <c r="E1979">
        <v>0</v>
      </c>
      <c r="H1979">
        <v>0</v>
      </c>
      <c r="I1979">
        <v>9</v>
      </c>
      <c r="J1979">
        <v>0</v>
      </c>
      <c r="M1979" t="s">
        <v>2097</v>
      </c>
    </row>
    <row r="1980" spans="1:13" ht="15" customHeight="1">
      <c r="A1980" s="10">
        <v>46189</v>
      </c>
      <c r="B1980" t="s">
        <v>1</v>
      </c>
      <c r="C1980" s="135" t="s">
        <v>58</v>
      </c>
      <c r="D1980">
        <v>9</v>
      </c>
      <c r="E1980">
        <v>0</v>
      </c>
      <c r="H1980">
        <v>3</v>
      </c>
      <c r="I1980">
        <v>6</v>
      </c>
      <c r="J1980">
        <v>0</v>
      </c>
      <c r="M1980" t="s">
        <v>2098</v>
      </c>
    </row>
    <row r="1981" spans="1:13" ht="15" customHeight="1">
      <c r="A1981" s="10">
        <v>46189</v>
      </c>
      <c r="B1981" t="s">
        <v>1</v>
      </c>
      <c r="C1981" s="135" t="s">
        <v>60</v>
      </c>
      <c r="D1981">
        <v>5</v>
      </c>
      <c r="E1981">
        <v>0</v>
      </c>
      <c r="H1981">
        <v>3</v>
      </c>
      <c r="I1981">
        <v>2</v>
      </c>
      <c r="J1981">
        <v>0</v>
      </c>
      <c r="M1981" t="s">
        <v>2099</v>
      </c>
    </row>
    <row r="1982" spans="1:13" ht="15" customHeight="1">
      <c r="A1982" s="10">
        <v>46189</v>
      </c>
      <c r="B1982" t="s">
        <v>1</v>
      </c>
      <c r="C1982" s="135" t="s">
        <v>61</v>
      </c>
      <c r="D1982">
        <v>6</v>
      </c>
      <c r="E1982">
        <v>0</v>
      </c>
      <c r="H1982">
        <v>3</v>
      </c>
      <c r="I1982">
        <v>3</v>
      </c>
      <c r="J1982">
        <v>0</v>
      </c>
      <c r="M1982" t="s">
        <v>2100</v>
      </c>
    </row>
    <row r="1983" spans="1:13" ht="15" customHeight="1">
      <c r="A1983" s="10">
        <v>46189</v>
      </c>
      <c r="B1983" t="s">
        <v>1</v>
      </c>
      <c r="C1983" s="135" t="s">
        <v>62</v>
      </c>
      <c r="D1983">
        <v>7</v>
      </c>
      <c r="E1983">
        <v>0</v>
      </c>
      <c r="H1983">
        <v>0</v>
      </c>
      <c r="I1983">
        <v>7</v>
      </c>
      <c r="J1983">
        <v>0</v>
      </c>
      <c r="M1983" t="s">
        <v>2101</v>
      </c>
    </row>
    <row r="1984" spans="1:13" ht="15" customHeight="1">
      <c r="A1984" s="10">
        <v>46189</v>
      </c>
      <c r="B1984" t="s">
        <v>1</v>
      </c>
      <c r="C1984" s="135" t="s">
        <v>63</v>
      </c>
      <c r="D1984">
        <v>6</v>
      </c>
      <c r="E1984">
        <v>0</v>
      </c>
      <c r="H1984">
        <v>0</v>
      </c>
      <c r="I1984">
        <v>6</v>
      </c>
      <c r="J1984">
        <v>0</v>
      </c>
      <c r="M1984" t="s">
        <v>2102</v>
      </c>
    </row>
    <row r="1985" spans="1:13" ht="15" customHeight="1">
      <c r="A1985" s="10">
        <v>46189</v>
      </c>
      <c r="B1985" t="s">
        <v>1</v>
      </c>
      <c r="C1985" s="135" t="s">
        <v>64</v>
      </c>
      <c r="D1985">
        <v>4</v>
      </c>
      <c r="E1985">
        <v>0</v>
      </c>
      <c r="H1985">
        <v>0</v>
      </c>
      <c r="I1985">
        <v>4</v>
      </c>
      <c r="J1985">
        <v>0</v>
      </c>
      <c r="M1985" t="s">
        <v>2103</v>
      </c>
    </row>
    <row r="1986" spans="1:13" ht="15" customHeight="1">
      <c r="A1986" s="10">
        <v>46189</v>
      </c>
      <c r="B1986" t="s">
        <v>1</v>
      </c>
      <c r="C1986" t="s">
        <v>66</v>
      </c>
      <c r="D1986">
        <v>4</v>
      </c>
      <c r="E1986">
        <v>0</v>
      </c>
      <c r="H1986">
        <v>0</v>
      </c>
      <c r="I1986">
        <v>4</v>
      </c>
      <c r="J1986">
        <v>0</v>
      </c>
      <c r="M1986" t="s">
        <v>2104</v>
      </c>
    </row>
    <row r="1987" spans="1:13" ht="15" customHeight="1">
      <c r="A1987" s="10">
        <v>46189</v>
      </c>
      <c r="B1987" t="s">
        <v>1</v>
      </c>
      <c r="C1987" t="s">
        <v>67</v>
      </c>
      <c r="D1987">
        <v>4</v>
      </c>
      <c r="E1987">
        <v>0</v>
      </c>
      <c r="H1987">
        <v>0</v>
      </c>
      <c r="I1987">
        <v>4</v>
      </c>
      <c r="J1987">
        <v>0</v>
      </c>
      <c r="M1987" t="s">
        <v>2105</v>
      </c>
    </row>
    <row r="1988" spans="1:13" ht="15" customHeight="1">
      <c r="A1988" s="10">
        <v>46189</v>
      </c>
      <c r="B1988" t="s">
        <v>1</v>
      </c>
      <c r="C1988" t="s">
        <v>68</v>
      </c>
      <c r="D1988">
        <v>4</v>
      </c>
      <c r="E1988">
        <v>0</v>
      </c>
      <c r="H1988">
        <v>4</v>
      </c>
      <c r="I1988">
        <v>0</v>
      </c>
      <c r="J1988">
        <v>0</v>
      </c>
      <c r="M1988" t="s">
        <v>2106</v>
      </c>
    </row>
    <row r="1989" spans="1:13" ht="15" customHeight="1">
      <c r="A1989" s="10">
        <v>46189</v>
      </c>
      <c r="B1989" t="s">
        <v>1</v>
      </c>
      <c r="C1989" t="s">
        <v>71</v>
      </c>
      <c r="D1989">
        <v>1</v>
      </c>
      <c r="E1989">
        <v>800</v>
      </c>
      <c r="I1989">
        <v>1</v>
      </c>
      <c r="J1989">
        <v>562</v>
      </c>
      <c r="M1989" t="s">
        <v>2107</v>
      </c>
    </row>
    <row r="1990" spans="1:13" ht="15" customHeight="1">
      <c r="A1990" s="10">
        <v>46189</v>
      </c>
      <c r="B1990" t="s">
        <v>1</v>
      </c>
      <c r="C1990" t="s">
        <v>73</v>
      </c>
      <c r="D1990">
        <v>2</v>
      </c>
      <c r="E1990">
        <v>182</v>
      </c>
      <c r="I1990">
        <v>2</v>
      </c>
      <c r="J1990">
        <v>182</v>
      </c>
      <c r="M1990" t="s">
        <v>2108</v>
      </c>
    </row>
    <row r="1991" spans="1:13" ht="15" customHeight="1">
      <c r="A1991" s="10">
        <v>46189</v>
      </c>
      <c r="B1991" t="s">
        <v>1</v>
      </c>
      <c r="C1991" t="s">
        <v>75</v>
      </c>
      <c r="D1991">
        <v>1</v>
      </c>
      <c r="E1991">
        <v>167</v>
      </c>
      <c r="I1991">
        <v>1</v>
      </c>
      <c r="J1991">
        <v>120</v>
      </c>
      <c r="M1991" t="s">
        <v>2109</v>
      </c>
    </row>
    <row r="1992" spans="1:13" ht="15" customHeight="1">
      <c r="A1992" s="10">
        <v>46189</v>
      </c>
      <c r="B1992" t="s">
        <v>1</v>
      </c>
      <c r="C1992" t="s">
        <v>77</v>
      </c>
      <c r="D1992">
        <v>0</v>
      </c>
      <c r="E1992">
        <v>890</v>
      </c>
      <c r="I1992">
        <v>0</v>
      </c>
      <c r="J1992">
        <v>890</v>
      </c>
      <c r="M1992" t="s">
        <v>2110</v>
      </c>
    </row>
    <row r="1993" spans="1:13" ht="15" customHeight="1">
      <c r="A1993" s="10">
        <v>46189</v>
      </c>
      <c r="B1993" t="s">
        <v>1</v>
      </c>
      <c r="C1993" t="s">
        <v>79</v>
      </c>
      <c r="D1993">
        <v>0</v>
      </c>
      <c r="E1993">
        <v>1663</v>
      </c>
      <c r="I1993">
        <v>0</v>
      </c>
      <c r="J1993">
        <v>1715</v>
      </c>
      <c r="M1993" t="s">
        <v>2111</v>
      </c>
    </row>
    <row r="1994" spans="1:13" ht="15" customHeight="1">
      <c r="A1994" s="10">
        <v>46189</v>
      </c>
      <c r="B1994" t="s">
        <v>1</v>
      </c>
      <c r="C1994" t="s">
        <v>81</v>
      </c>
      <c r="D1994">
        <v>1</v>
      </c>
      <c r="E1994">
        <v>342</v>
      </c>
      <c r="I1994">
        <v>1</v>
      </c>
      <c r="J1994">
        <v>320</v>
      </c>
      <c r="M1994" t="s">
        <v>2112</v>
      </c>
    </row>
    <row r="1995" spans="1:13" ht="15" customHeight="1">
      <c r="A1995" s="10">
        <v>46189</v>
      </c>
      <c r="B1995" t="s">
        <v>1</v>
      </c>
      <c r="C1995" t="s">
        <v>83</v>
      </c>
      <c r="D1995">
        <v>1</v>
      </c>
      <c r="E1995">
        <v>342</v>
      </c>
      <c r="I1995">
        <v>1</v>
      </c>
      <c r="J1995">
        <v>322</v>
      </c>
      <c r="M1995" t="s">
        <v>2113</v>
      </c>
    </row>
    <row r="1996" spans="1:13" ht="15" customHeight="1">
      <c r="A1996" s="10">
        <v>46189</v>
      </c>
      <c r="B1996" t="s">
        <v>1</v>
      </c>
      <c r="C1996" t="s">
        <v>84</v>
      </c>
      <c r="D1996">
        <v>1</v>
      </c>
      <c r="E1996">
        <v>391</v>
      </c>
      <c r="I1996">
        <v>1</v>
      </c>
      <c r="J1996">
        <v>374</v>
      </c>
      <c r="M1996" t="s">
        <v>2114</v>
      </c>
    </row>
    <row r="1997" spans="1:13" ht="15" customHeight="1">
      <c r="A1997" s="10">
        <v>46189</v>
      </c>
      <c r="B1997" t="s">
        <v>1</v>
      </c>
      <c r="C1997" t="s">
        <v>85</v>
      </c>
      <c r="D1997">
        <v>0</v>
      </c>
      <c r="E1997">
        <v>150</v>
      </c>
      <c r="I1997">
        <v>0</v>
      </c>
      <c r="J1997">
        <v>150</v>
      </c>
      <c r="M1997" t="s">
        <v>2115</v>
      </c>
    </row>
    <row r="1998" spans="1:13" ht="15" customHeight="1">
      <c r="A1998" s="10">
        <v>46189</v>
      </c>
      <c r="B1998" t="s">
        <v>1</v>
      </c>
      <c r="C1998" t="s">
        <v>87</v>
      </c>
      <c r="D1998">
        <v>2</v>
      </c>
      <c r="E1998">
        <v>153</v>
      </c>
      <c r="I1998">
        <v>2</v>
      </c>
      <c r="J1998">
        <v>150</v>
      </c>
      <c r="M1998" t="s">
        <v>2116</v>
      </c>
    </row>
    <row r="1999" spans="1:13" ht="15" customHeight="1">
      <c r="A1999" s="10">
        <v>46189</v>
      </c>
      <c r="B1999" t="s">
        <v>1</v>
      </c>
      <c r="C1999" t="s">
        <v>88</v>
      </c>
      <c r="D1999">
        <v>1</v>
      </c>
      <c r="E1999">
        <v>260</v>
      </c>
      <c r="I1999">
        <v>1</v>
      </c>
      <c r="J1999">
        <v>260</v>
      </c>
      <c r="M1999" t="s">
        <v>2117</v>
      </c>
    </row>
    <row r="2000" spans="1:13" ht="15" customHeight="1">
      <c r="A2000" s="10">
        <v>46189</v>
      </c>
      <c r="B2000" t="s">
        <v>1</v>
      </c>
      <c r="C2000" t="s">
        <v>89</v>
      </c>
      <c r="D2000">
        <v>1</v>
      </c>
      <c r="E2000">
        <v>340</v>
      </c>
      <c r="I2000">
        <v>1</v>
      </c>
      <c r="J2000">
        <v>338</v>
      </c>
      <c r="M2000" t="s">
        <v>2118</v>
      </c>
    </row>
    <row r="2001" spans="1:13" ht="15" customHeight="1">
      <c r="A2001" s="10">
        <v>46189</v>
      </c>
      <c r="B2001" t="s">
        <v>1</v>
      </c>
      <c r="C2001" t="s">
        <v>90</v>
      </c>
      <c r="D2001">
        <v>1</v>
      </c>
      <c r="E2001">
        <v>830</v>
      </c>
      <c r="I2001">
        <v>1</v>
      </c>
      <c r="J2001">
        <v>830</v>
      </c>
      <c r="M2001" t="s">
        <v>2119</v>
      </c>
    </row>
    <row r="2002" spans="1:13" ht="15" customHeight="1">
      <c r="A2002" s="10">
        <v>46189</v>
      </c>
      <c r="B2002" t="s">
        <v>1</v>
      </c>
      <c r="C2002" t="s">
        <v>92</v>
      </c>
      <c r="D2002">
        <v>1</v>
      </c>
      <c r="E2002">
        <v>761</v>
      </c>
      <c r="I2002">
        <v>1</v>
      </c>
      <c r="J2002">
        <v>761</v>
      </c>
      <c r="M2002" t="s">
        <v>2120</v>
      </c>
    </row>
    <row r="2003" spans="1:13" ht="15" customHeight="1">
      <c r="A2003" s="10">
        <v>46189</v>
      </c>
      <c r="B2003" t="s">
        <v>1</v>
      </c>
      <c r="C2003" t="s">
        <v>94</v>
      </c>
      <c r="D2003">
        <v>4</v>
      </c>
      <c r="E2003">
        <v>219</v>
      </c>
      <c r="I2003">
        <v>4</v>
      </c>
      <c r="J2003">
        <v>51</v>
      </c>
      <c r="M2003" t="s">
        <v>2121</v>
      </c>
    </row>
    <row r="2004" spans="1:13" ht="15" customHeight="1">
      <c r="A2004" s="10">
        <v>46189</v>
      </c>
      <c r="B2004" t="s">
        <v>1</v>
      </c>
      <c r="C2004" t="s">
        <v>96</v>
      </c>
      <c r="D2004">
        <v>0</v>
      </c>
      <c r="E2004">
        <v>0</v>
      </c>
      <c r="I2004">
        <v>0</v>
      </c>
      <c r="J2004">
        <v>0</v>
      </c>
      <c r="M2004" t="s">
        <v>2122</v>
      </c>
    </row>
    <row r="2005" spans="1:13" ht="15" customHeight="1">
      <c r="A2005" s="10">
        <v>46189</v>
      </c>
      <c r="B2005" t="s">
        <v>1</v>
      </c>
      <c r="C2005" t="s">
        <v>98</v>
      </c>
      <c r="D2005">
        <v>3</v>
      </c>
      <c r="E2005">
        <v>0</v>
      </c>
      <c r="I2005">
        <v>3</v>
      </c>
      <c r="J2005">
        <v>0</v>
      </c>
      <c r="M2005" t="s">
        <v>2123</v>
      </c>
    </row>
    <row r="2006" spans="1:13" ht="15" customHeight="1">
      <c r="A2006" s="10">
        <v>46189</v>
      </c>
      <c r="B2006" t="s">
        <v>1</v>
      </c>
      <c r="C2006" t="s">
        <v>203</v>
      </c>
      <c r="D2006">
        <v>2</v>
      </c>
      <c r="E2006">
        <v>234</v>
      </c>
      <c r="I2006">
        <v>2</v>
      </c>
      <c r="J2006">
        <v>173</v>
      </c>
      <c r="M2006" t="s">
        <v>2124</v>
      </c>
    </row>
    <row r="2007" spans="1:13" ht="15" customHeight="1">
      <c r="A2007" s="10">
        <v>46189</v>
      </c>
      <c r="B2007" t="s">
        <v>1</v>
      </c>
      <c r="C2007" t="s">
        <v>100</v>
      </c>
      <c r="D2007">
        <v>0</v>
      </c>
      <c r="E2007">
        <v>0</v>
      </c>
      <c r="I2007">
        <v>0</v>
      </c>
      <c r="J2007">
        <v>0</v>
      </c>
      <c r="M2007" t="s">
        <v>2125</v>
      </c>
    </row>
    <row r="2008" spans="1:13" ht="15" customHeight="1">
      <c r="A2008" s="10">
        <v>46189</v>
      </c>
      <c r="B2008" t="s">
        <v>1</v>
      </c>
      <c r="C2008" t="s">
        <v>101</v>
      </c>
      <c r="D2008">
        <v>1</v>
      </c>
      <c r="E2008">
        <v>44</v>
      </c>
      <c r="I2008">
        <v>1</v>
      </c>
      <c r="J2008">
        <v>427</v>
      </c>
      <c r="M2008" t="s">
        <v>2126</v>
      </c>
    </row>
    <row r="2009" spans="1:13" ht="15" customHeight="1">
      <c r="A2009" s="10">
        <v>46189</v>
      </c>
      <c r="B2009" t="s">
        <v>1</v>
      </c>
      <c r="C2009" t="s">
        <v>103</v>
      </c>
      <c r="D2009">
        <v>0</v>
      </c>
      <c r="E2009">
        <v>3</v>
      </c>
      <c r="G2009">
        <v>7</v>
      </c>
      <c r="I2009">
        <v>0</v>
      </c>
      <c r="J2009">
        <v>8</v>
      </c>
      <c r="M2009" t="s">
        <v>2127</v>
      </c>
    </row>
    <row r="2010" spans="1:13" ht="15" customHeight="1">
      <c r="A2010" s="10">
        <v>46189</v>
      </c>
      <c r="B2010" t="s">
        <v>1</v>
      </c>
      <c r="C2010" t="s">
        <v>106</v>
      </c>
      <c r="D2010">
        <v>1</v>
      </c>
      <c r="E2010">
        <v>841</v>
      </c>
      <c r="I2010">
        <v>1</v>
      </c>
      <c r="J2010">
        <v>789</v>
      </c>
      <c r="M2010" t="s">
        <v>2128</v>
      </c>
    </row>
    <row r="2011" spans="1:13" ht="15" customHeight="1">
      <c r="A2011" s="10">
        <v>46189</v>
      </c>
      <c r="B2011" t="s">
        <v>1</v>
      </c>
      <c r="C2011" t="s">
        <v>108</v>
      </c>
      <c r="D2011">
        <v>0</v>
      </c>
      <c r="E2011">
        <v>961</v>
      </c>
      <c r="I2011">
        <v>0</v>
      </c>
      <c r="J2011">
        <v>902</v>
      </c>
      <c r="M2011" t="s">
        <v>2129</v>
      </c>
    </row>
    <row r="2012" spans="1:13" ht="15" customHeight="1">
      <c r="A2012" s="10">
        <v>46189</v>
      </c>
      <c r="B2012" t="s">
        <v>1</v>
      </c>
      <c r="C2012" t="s">
        <v>109</v>
      </c>
      <c r="D2012">
        <v>2</v>
      </c>
      <c r="E2012">
        <v>606</v>
      </c>
      <c r="I2012">
        <v>2</v>
      </c>
      <c r="J2012">
        <v>400</v>
      </c>
      <c r="M2012" t="s">
        <v>2130</v>
      </c>
    </row>
    <row r="2013" spans="1:13" ht="15" customHeight="1">
      <c r="A2013" s="10">
        <v>46189</v>
      </c>
      <c r="B2013" t="s">
        <v>1</v>
      </c>
      <c r="C2013" t="s">
        <v>112</v>
      </c>
      <c r="D2013">
        <v>1</v>
      </c>
      <c r="E2013">
        <v>46</v>
      </c>
      <c r="I2013">
        <v>1</v>
      </c>
      <c r="J2013">
        <v>43</v>
      </c>
      <c r="M2013" t="s">
        <v>2131</v>
      </c>
    </row>
    <row r="2014" spans="1:13" ht="15" customHeight="1">
      <c r="A2014" s="10">
        <v>46189</v>
      </c>
      <c r="B2014" t="s">
        <v>1</v>
      </c>
      <c r="C2014" t="s">
        <v>114</v>
      </c>
      <c r="D2014">
        <v>1</v>
      </c>
      <c r="E2014">
        <v>34</v>
      </c>
      <c r="I2014">
        <v>1</v>
      </c>
      <c r="J2014">
        <v>31</v>
      </c>
      <c r="M2014" t="s">
        <v>2132</v>
      </c>
    </row>
    <row r="2015" spans="1:13" ht="15" customHeight="1">
      <c r="A2015" s="10">
        <v>46189</v>
      </c>
      <c r="B2015" t="s">
        <v>1</v>
      </c>
      <c r="C2015" t="s">
        <v>115</v>
      </c>
      <c r="D2015">
        <v>1</v>
      </c>
      <c r="E2015">
        <v>35</v>
      </c>
      <c r="I2015">
        <v>1</v>
      </c>
      <c r="J2015">
        <v>31</v>
      </c>
      <c r="M2015" t="s">
        <v>2133</v>
      </c>
    </row>
    <row r="2016" spans="1:13" ht="15" customHeight="1">
      <c r="A2016" s="10">
        <v>46189</v>
      </c>
      <c r="B2016" t="s">
        <v>1</v>
      </c>
      <c r="C2016" t="s">
        <v>116</v>
      </c>
      <c r="D2016">
        <v>2</v>
      </c>
      <c r="E2016">
        <v>0</v>
      </c>
      <c r="I2016">
        <v>1</v>
      </c>
      <c r="J2016">
        <v>39</v>
      </c>
      <c r="M2016" t="s">
        <v>2134</v>
      </c>
    </row>
    <row r="2017" spans="1:13" ht="15" customHeight="1">
      <c r="A2017" s="10">
        <v>46189</v>
      </c>
      <c r="B2017" t="s">
        <v>1</v>
      </c>
      <c r="C2017" t="s">
        <v>119</v>
      </c>
      <c r="D2017">
        <v>2</v>
      </c>
      <c r="E2017">
        <v>0</v>
      </c>
      <c r="I2017">
        <v>2</v>
      </c>
      <c r="M2017" t="s">
        <v>2135</v>
      </c>
    </row>
    <row r="2018" spans="1:13" ht="15" customHeight="1">
      <c r="A2018" s="10">
        <v>46189</v>
      </c>
      <c r="B2018" t="s">
        <v>1</v>
      </c>
      <c r="C2018" t="s">
        <v>120</v>
      </c>
      <c r="D2018">
        <v>1</v>
      </c>
      <c r="E2018">
        <v>0</v>
      </c>
      <c r="I2018">
        <v>1</v>
      </c>
      <c r="M2018" t="s">
        <v>2136</v>
      </c>
    </row>
    <row r="2019" spans="1:13" ht="15" customHeight="1">
      <c r="A2019" s="10">
        <v>46189</v>
      </c>
      <c r="B2019" t="s">
        <v>1</v>
      </c>
      <c r="C2019" t="s">
        <v>121</v>
      </c>
      <c r="D2019">
        <v>2</v>
      </c>
      <c r="E2019">
        <v>0</v>
      </c>
      <c r="I2019">
        <v>2</v>
      </c>
      <c r="M2019" t="s">
        <v>2137</v>
      </c>
    </row>
    <row r="2020" spans="1:13" ht="15" customHeight="1">
      <c r="A2020" s="10">
        <v>46189</v>
      </c>
      <c r="B2020" t="s">
        <v>1</v>
      </c>
      <c r="C2020" t="s">
        <v>123</v>
      </c>
      <c r="D2020">
        <v>2</v>
      </c>
      <c r="E2020">
        <v>0</v>
      </c>
      <c r="I2020">
        <v>2</v>
      </c>
      <c r="M2020" t="s">
        <v>2138</v>
      </c>
    </row>
    <row r="2021" spans="1:13" ht="15" customHeight="1">
      <c r="A2021" s="10">
        <v>46189</v>
      </c>
      <c r="B2021" t="s">
        <v>1</v>
      </c>
      <c r="C2021" t="s">
        <v>124</v>
      </c>
      <c r="D2021">
        <v>2</v>
      </c>
      <c r="E2021">
        <v>0</v>
      </c>
      <c r="I2021">
        <v>2</v>
      </c>
      <c r="M2021" t="s">
        <v>2139</v>
      </c>
    </row>
    <row r="2022" spans="1:13" ht="15" customHeight="1">
      <c r="A2022" s="10">
        <v>46189</v>
      </c>
      <c r="B2022" t="s">
        <v>1</v>
      </c>
      <c r="C2022" t="s">
        <v>125</v>
      </c>
      <c r="D2022">
        <v>2</v>
      </c>
      <c r="E2022">
        <v>0</v>
      </c>
      <c r="I2022">
        <v>2</v>
      </c>
      <c r="M2022" t="s">
        <v>2140</v>
      </c>
    </row>
    <row r="2023" spans="1:13" ht="15" customHeight="1">
      <c r="A2023" s="10">
        <v>46189</v>
      </c>
      <c r="B2023" t="s">
        <v>1</v>
      </c>
      <c r="C2023" t="s">
        <v>126</v>
      </c>
      <c r="D2023">
        <v>2</v>
      </c>
      <c r="E2023">
        <v>0</v>
      </c>
      <c r="I2023">
        <v>2</v>
      </c>
      <c r="M2023" t="s">
        <v>2141</v>
      </c>
    </row>
    <row r="2024" spans="1:13" ht="15" customHeight="1">
      <c r="A2024" s="10">
        <v>46189</v>
      </c>
      <c r="B2024" t="s">
        <v>1</v>
      </c>
      <c r="C2024" t="s">
        <v>128</v>
      </c>
      <c r="D2024">
        <v>2</v>
      </c>
      <c r="E2024">
        <v>0</v>
      </c>
      <c r="I2024">
        <v>2</v>
      </c>
      <c r="M2024" t="s">
        <v>2142</v>
      </c>
    </row>
    <row r="2025" spans="1:13" ht="15" customHeight="1">
      <c r="A2025" s="10">
        <v>46189</v>
      </c>
      <c r="B2025" t="s">
        <v>1</v>
      </c>
      <c r="C2025" t="s">
        <v>130</v>
      </c>
      <c r="D2025">
        <v>4</v>
      </c>
      <c r="E2025">
        <v>0</v>
      </c>
      <c r="I2025">
        <v>4</v>
      </c>
      <c r="M2025" t="s">
        <v>2143</v>
      </c>
    </row>
    <row r="2026" spans="1:13" ht="15" customHeight="1">
      <c r="A2026" s="10">
        <v>46189</v>
      </c>
      <c r="B2026" t="s">
        <v>1</v>
      </c>
      <c r="C2026" t="s">
        <v>285</v>
      </c>
      <c r="D2026">
        <v>2</v>
      </c>
      <c r="E2026">
        <v>0</v>
      </c>
      <c r="I2026">
        <v>2</v>
      </c>
      <c r="M2026" t="s">
        <v>2144</v>
      </c>
    </row>
    <row r="2027" spans="1:13" ht="15" customHeight="1">
      <c r="A2027" s="10">
        <v>46189</v>
      </c>
      <c r="B2027" t="s">
        <v>1</v>
      </c>
      <c r="C2027" t="s">
        <v>287</v>
      </c>
      <c r="D2027">
        <v>2</v>
      </c>
      <c r="E2027">
        <v>0</v>
      </c>
      <c r="I2027">
        <v>2</v>
      </c>
      <c r="M2027" t="s">
        <v>2145</v>
      </c>
    </row>
    <row r="2028" spans="1:13" ht="15" customHeight="1">
      <c r="A2028" s="10">
        <v>46189</v>
      </c>
      <c r="B2028" t="s">
        <v>1</v>
      </c>
      <c r="C2028" t="s">
        <v>289</v>
      </c>
      <c r="D2028">
        <v>2</v>
      </c>
      <c r="E2028">
        <v>0</v>
      </c>
      <c r="I2028">
        <v>2</v>
      </c>
      <c r="M2028" t="s">
        <v>2146</v>
      </c>
    </row>
    <row r="2029" spans="1:13" ht="15" customHeight="1">
      <c r="A2029" s="10">
        <v>46189</v>
      </c>
      <c r="B2029" t="s">
        <v>1</v>
      </c>
      <c r="C2029" t="s">
        <v>291</v>
      </c>
      <c r="D2029">
        <v>2</v>
      </c>
      <c r="E2029">
        <v>0</v>
      </c>
      <c r="I2029">
        <v>2</v>
      </c>
      <c r="M2029" t="s">
        <v>2147</v>
      </c>
    </row>
    <row r="2030" spans="1:13" ht="15" customHeight="1">
      <c r="A2030" s="10">
        <v>46189</v>
      </c>
      <c r="B2030" t="s">
        <v>1</v>
      </c>
      <c r="C2030" t="s">
        <v>293</v>
      </c>
      <c r="D2030">
        <v>3</v>
      </c>
      <c r="E2030">
        <v>0</v>
      </c>
      <c r="I2030">
        <v>3</v>
      </c>
      <c r="M2030" t="s">
        <v>2148</v>
      </c>
    </row>
    <row r="2031" spans="1:13" ht="15" customHeight="1">
      <c r="A2031" s="10">
        <v>46189</v>
      </c>
      <c r="B2031" t="s">
        <v>1</v>
      </c>
      <c r="C2031" s="135" t="s">
        <v>138</v>
      </c>
      <c r="D2031">
        <v>0</v>
      </c>
      <c r="E2031">
        <v>42</v>
      </c>
      <c r="I2031">
        <v>0</v>
      </c>
      <c r="J2031">
        <v>35</v>
      </c>
      <c r="M2031" t="s">
        <v>2149</v>
      </c>
    </row>
    <row r="2032" spans="1:13" ht="15" customHeight="1">
      <c r="A2032" s="10">
        <v>46189</v>
      </c>
      <c r="B2032" t="s">
        <v>1</v>
      </c>
      <c r="C2032" s="135" t="s">
        <v>139</v>
      </c>
      <c r="D2032">
        <v>0</v>
      </c>
      <c r="E2032">
        <v>40</v>
      </c>
      <c r="I2032">
        <v>0</v>
      </c>
      <c r="J2032">
        <v>34</v>
      </c>
      <c r="M2032" t="s">
        <v>2150</v>
      </c>
    </row>
    <row r="2033" spans="1:13" ht="15" customHeight="1">
      <c r="A2033" s="10">
        <v>46189</v>
      </c>
      <c r="B2033" t="s">
        <v>1</v>
      </c>
      <c r="C2033" s="135" t="s">
        <v>140</v>
      </c>
      <c r="D2033">
        <v>0</v>
      </c>
      <c r="E2033">
        <v>19</v>
      </c>
      <c r="I2033">
        <v>0</v>
      </c>
      <c r="J2033">
        <v>17</v>
      </c>
      <c r="M2033" t="s">
        <v>2151</v>
      </c>
    </row>
    <row r="2034" spans="1:13" ht="15" customHeight="1">
      <c r="A2034" s="10">
        <v>46189</v>
      </c>
      <c r="B2034" t="s">
        <v>1</v>
      </c>
      <c r="C2034" s="135" t="s">
        <v>143</v>
      </c>
      <c r="D2034">
        <v>0</v>
      </c>
      <c r="E2034">
        <v>31</v>
      </c>
      <c r="I2034">
        <v>0</v>
      </c>
      <c r="J2034">
        <v>28</v>
      </c>
      <c r="M2034" t="s">
        <v>2152</v>
      </c>
    </row>
    <row r="2035" spans="1:13" ht="15" customHeight="1">
      <c r="A2035" s="10">
        <v>46189</v>
      </c>
      <c r="B2035" t="s">
        <v>1</v>
      </c>
      <c r="C2035" s="135" t="s">
        <v>145</v>
      </c>
      <c r="D2035">
        <v>0</v>
      </c>
      <c r="E2035">
        <v>34</v>
      </c>
      <c r="I2035">
        <v>0</v>
      </c>
      <c r="J2035">
        <v>33</v>
      </c>
      <c r="M2035" t="s">
        <v>2153</v>
      </c>
    </row>
    <row r="2036" spans="1:13" ht="15" customHeight="1">
      <c r="A2036" s="10">
        <v>46189</v>
      </c>
      <c r="B2036" t="s">
        <v>1</v>
      </c>
      <c r="C2036" s="135" t="s">
        <v>147</v>
      </c>
      <c r="D2036">
        <v>0</v>
      </c>
      <c r="E2036">
        <v>33</v>
      </c>
      <c r="I2036">
        <v>0</v>
      </c>
      <c r="J2036">
        <v>32</v>
      </c>
      <c r="M2036" t="s">
        <v>2154</v>
      </c>
    </row>
    <row r="2037" spans="1:13" ht="15" customHeight="1">
      <c r="A2037" s="10">
        <v>46189</v>
      </c>
      <c r="B2037" t="s">
        <v>1</v>
      </c>
      <c r="C2037" t="s">
        <v>302</v>
      </c>
      <c r="D2037">
        <v>2</v>
      </c>
      <c r="E2037">
        <v>0</v>
      </c>
      <c r="I2037">
        <v>2</v>
      </c>
      <c r="M2037" t="s">
        <v>2155</v>
      </c>
    </row>
    <row r="2038" spans="1:13" ht="15" customHeight="1">
      <c r="A2038" s="10">
        <v>46189</v>
      </c>
      <c r="B2038" t="s">
        <v>1</v>
      </c>
      <c r="C2038" t="s">
        <v>150</v>
      </c>
      <c r="D2038">
        <v>2</v>
      </c>
      <c r="E2038">
        <v>0</v>
      </c>
      <c r="I2038">
        <v>2</v>
      </c>
      <c r="M2038" t="s">
        <v>2156</v>
      </c>
    </row>
    <row r="2039" spans="1:13" ht="15" customHeight="1">
      <c r="A2039" s="10">
        <v>46189</v>
      </c>
      <c r="B2039" t="s">
        <v>1</v>
      </c>
      <c r="C2039" t="s">
        <v>151</v>
      </c>
      <c r="D2039">
        <v>2</v>
      </c>
      <c r="E2039">
        <v>0</v>
      </c>
      <c r="I2039">
        <v>2</v>
      </c>
      <c r="M2039" t="s">
        <v>2157</v>
      </c>
    </row>
    <row r="2040" spans="1:13" ht="15" customHeight="1">
      <c r="A2040" s="10">
        <v>46189</v>
      </c>
      <c r="B2040" t="s">
        <v>1</v>
      </c>
      <c r="C2040" t="s">
        <v>152</v>
      </c>
      <c r="D2040">
        <v>2</v>
      </c>
      <c r="E2040">
        <v>0</v>
      </c>
      <c r="I2040">
        <v>2</v>
      </c>
      <c r="M2040" t="s">
        <v>2158</v>
      </c>
    </row>
    <row r="2041" spans="1:13" ht="15" customHeight="1">
      <c r="A2041" s="10">
        <v>46189</v>
      </c>
      <c r="B2041" t="s">
        <v>1</v>
      </c>
      <c r="C2041" t="s">
        <v>153</v>
      </c>
      <c r="D2041">
        <v>2</v>
      </c>
      <c r="E2041">
        <v>0</v>
      </c>
      <c r="I2041">
        <v>2</v>
      </c>
      <c r="M2041" t="s">
        <v>2159</v>
      </c>
    </row>
    <row r="2042" spans="1:13" ht="15" customHeight="1">
      <c r="A2042" s="10">
        <v>46189</v>
      </c>
      <c r="B2042" t="s">
        <v>1</v>
      </c>
      <c r="C2042" t="s">
        <v>308</v>
      </c>
      <c r="D2042">
        <v>0</v>
      </c>
      <c r="E2042">
        <v>2</v>
      </c>
      <c r="I2042">
        <v>0</v>
      </c>
      <c r="J2042">
        <v>2</v>
      </c>
      <c r="M2042" t="s">
        <v>2160</v>
      </c>
    </row>
    <row r="2043" spans="1:13" ht="15" customHeight="1">
      <c r="A2043" s="10">
        <v>46189</v>
      </c>
      <c r="B2043" t="s">
        <v>1</v>
      </c>
      <c r="C2043" t="s">
        <v>310</v>
      </c>
      <c r="D2043">
        <v>0</v>
      </c>
      <c r="E2043">
        <v>1</v>
      </c>
      <c r="I2043">
        <v>0</v>
      </c>
      <c r="J2043">
        <v>1</v>
      </c>
      <c r="M2043" t="s">
        <v>2161</v>
      </c>
    </row>
    <row r="2044" spans="1:13" ht="15" customHeight="1">
      <c r="A2044" s="10">
        <v>46189</v>
      </c>
      <c r="B2044" t="s">
        <v>1</v>
      </c>
      <c r="C2044" t="s">
        <v>312</v>
      </c>
      <c r="D2044">
        <v>0</v>
      </c>
      <c r="E2044">
        <v>2</v>
      </c>
      <c r="I2044">
        <v>0</v>
      </c>
      <c r="J2044">
        <v>2</v>
      </c>
      <c r="M2044" t="s">
        <v>2162</v>
      </c>
    </row>
    <row r="2045" spans="1:13" ht="15" customHeight="1">
      <c r="A2045" s="10">
        <v>46189</v>
      </c>
      <c r="B2045" t="s">
        <v>1</v>
      </c>
      <c r="C2045" t="s">
        <v>314</v>
      </c>
      <c r="D2045">
        <v>1</v>
      </c>
      <c r="E2045">
        <v>0</v>
      </c>
      <c r="I2045">
        <v>1</v>
      </c>
      <c r="M2045" t="s">
        <v>2163</v>
      </c>
    </row>
    <row r="2046" spans="1:13" ht="15" customHeight="1">
      <c r="A2046" s="10">
        <v>46189</v>
      </c>
      <c r="B2046" t="s">
        <v>1</v>
      </c>
      <c r="C2046" t="s">
        <v>316</v>
      </c>
      <c r="D2046">
        <v>1</v>
      </c>
      <c r="E2046">
        <v>0</v>
      </c>
      <c r="I2046">
        <v>1</v>
      </c>
      <c r="M2046" t="s">
        <v>2164</v>
      </c>
    </row>
    <row r="2047" spans="1:13" ht="15" customHeight="1">
      <c r="A2047" s="10">
        <v>46189</v>
      </c>
      <c r="B2047" t="s">
        <v>1</v>
      </c>
      <c r="C2047" t="s">
        <v>318</v>
      </c>
      <c r="D2047">
        <v>1</v>
      </c>
      <c r="E2047">
        <v>0</v>
      </c>
      <c r="I2047">
        <v>0</v>
      </c>
      <c r="M2047" t="s">
        <v>2165</v>
      </c>
    </row>
    <row r="2048" spans="1:13" ht="15" customHeight="1">
      <c r="A2048" s="10">
        <v>46189</v>
      </c>
      <c r="B2048" t="s">
        <v>1</v>
      </c>
      <c r="C2048" t="s">
        <v>320</v>
      </c>
      <c r="D2048">
        <v>3</v>
      </c>
      <c r="E2048">
        <v>0</v>
      </c>
      <c r="I2048">
        <v>3</v>
      </c>
      <c r="M2048" t="s">
        <v>2166</v>
      </c>
    </row>
    <row r="2049" spans="1:13" ht="15" customHeight="1">
      <c r="A2049" s="10">
        <v>46189</v>
      </c>
      <c r="B2049" t="s">
        <v>1</v>
      </c>
      <c r="C2049" s="135" t="s">
        <v>168</v>
      </c>
      <c r="D2049">
        <v>1</v>
      </c>
      <c r="E2049">
        <v>0</v>
      </c>
      <c r="I2049">
        <v>1</v>
      </c>
      <c r="M2049" t="s">
        <v>2167</v>
      </c>
    </row>
    <row r="2050" spans="1:13" ht="15" customHeight="1">
      <c r="A2050" s="10">
        <v>46189</v>
      </c>
      <c r="B2050" t="s">
        <v>1</v>
      </c>
      <c r="C2050" s="135" t="s">
        <v>170</v>
      </c>
      <c r="D2050">
        <v>1</v>
      </c>
      <c r="E2050">
        <v>0</v>
      </c>
      <c r="I2050">
        <v>1</v>
      </c>
      <c r="M2050" t="s">
        <v>2168</v>
      </c>
    </row>
    <row r="2051" spans="1:13" ht="15" customHeight="1">
      <c r="A2051" s="10">
        <v>46189</v>
      </c>
      <c r="B2051" t="s">
        <v>1</v>
      </c>
      <c r="C2051" s="135" t="s">
        <v>171</v>
      </c>
      <c r="D2051">
        <v>2</v>
      </c>
      <c r="E2051">
        <v>0</v>
      </c>
      <c r="I2051">
        <v>2</v>
      </c>
      <c r="M2051" t="s">
        <v>2169</v>
      </c>
    </row>
    <row r="2052" spans="1:13" ht="15" customHeight="1">
      <c r="A2052" s="10">
        <v>46189</v>
      </c>
      <c r="B2052" t="s">
        <v>1</v>
      </c>
      <c r="C2052" s="135" t="s">
        <v>172</v>
      </c>
      <c r="D2052">
        <v>1</v>
      </c>
      <c r="E2052">
        <v>0</v>
      </c>
      <c r="I2052">
        <v>1</v>
      </c>
      <c r="M2052" t="s">
        <v>2170</v>
      </c>
    </row>
    <row r="2053" spans="1:13" ht="15" customHeight="1">
      <c r="A2053" s="10">
        <v>46189</v>
      </c>
      <c r="B2053" t="s">
        <v>1</v>
      </c>
      <c r="C2053" t="s">
        <v>176</v>
      </c>
      <c r="D2053">
        <v>0</v>
      </c>
      <c r="E2053">
        <v>9</v>
      </c>
      <c r="H2053">
        <v>1</v>
      </c>
      <c r="I2053">
        <v>0</v>
      </c>
      <c r="J2053">
        <v>8</v>
      </c>
      <c r="M2053" t="s">
        <v>2171</v>
      </c>
    </row>
    <row r="2054" spans="1:13" ht="15" customHeight="1">
      <c r="A2054" s="10">
        <v>46189</v>
      </c>
      <c r="B2054" t="s">
        <v>1</v>
      </c>
      <c r="C2054" t="s">
        <v>178</v>
      </c>
      <c r="D2054">
        <v>0</v>
      </c>
      <c r="E2054">
        <v>17</v>
      </c>
      <c r="H2054">
        <v>4</v>
      </c>
      <c r="I2054">
        <v>0</v>
      </c>
      <c r="J2054">
        <v>13</v>
      </c>
      <c r="M2054" t="s">
        <v>2172</v>
      </c>
    </row>
    <row r="2055" spans="1:13" ht="15" customHeight="1">
      <c r="A2055" s="10">
        <v>46189</v>
      </c>
      <c r="B2055" t="s">
        <v>1</v>
      </c>
      <c r="C2055" t="s">
        <v>179</v>
      </c>
      <c r="D2055">
        <v>0</v>
      </c>
      <c r="E2055">
        <v>12</v>
      </c>
      <c r="H2055">
        <v>0</v>
      </c>
      <c r="I2055">
        <v>0</v>
      </c>
      <c r="J2055">
        <v>12</v>
      </c>
      <c r="M2055" t="s">
        <v>2173</v>
      </c>
    </row>
    <row r="2056" spans="1:13" ht="15" customHeight="1">
      <c r="A2056" s="10">
        <v>46189</v>
      </c>
      <c r="B2056" t="s">
        <v>1</v>
      </c>
      <c r="C2056" t="s">
        <v>180</v>
      </c>
      <c r="D2056">
        <v>0</v>
      </c>
      <c r="E2056">
        <v>16</v>
      </c>
      <c r="H2056">
        <v>0</v>
      </c>
      <c r="I2056">
        <v>0</v>
      </c>
      <c r="J2056">
        <v>16</v>
      </c>
      <c r="M2056" t="s">
        <v>2174</v>
      </c>
    </row>
    <row r="2057" spans="1:13" ht="15" customHeight="1">
      <c r="A2057" s="10">
        <v>46189</v>
      </c>
      <c r="B2057" t="s">
        <v>1</v>
      </c>
      <c r="C2057" s="135" t="s">
        <v>182</v>
      </c>
      <c r="D2057">
        <v>1</v>
      </c>
      <c r="E2057">
        <v>270</v>
      </c>
      <c r="I2057">
        <v>1</v>
      </c>
      <c r="J2057">
        <v>259</v>
      </c>
      <c r="M2057" t="s">
        <v>2175</v>
      </c>
    </row>
    <row r="2058" spans="1:13" ht="15" customHeight="1">
      <c r="A2058" s="10">
        <v>46189</v>
      </c>
      <c r="B2058" t="s">
        <v>1</v>
      </c>
      <c r="C2058" s="135" t="s">
        <v>184</v>
      </c>
      <c r="D2058">
        <v>1</v>
      </c>
      <c r="E2058">
        <v>7</v>
      </c>
      <c r="I2058">
        <v>1</v>
      </c>
      <c r="J2058">
        <v>7</v>
      </c>
      <c r="M2058" t="s">
        <v>2176</v>
      </c>
    </row>
    <row r="2059" spans="1:13" ht="15" customHeight="1">
      <c r="A2059" s="10">
        <v>46189</v>
      </c>
      <c r="B2059" t="s">
        <v>1</v>
      </c>
      <c r="C2059" s="135" t="s">
        <v>185</v>
      </c>
      <c r="D2059">
        <v>1</v>
      </c>
      <c r="E2059">
        <v>56</v>
      </c>
      <c r="I2059">
        <v>1</v>
      </c>
      <c r="J2059">
        <v>56</v>
      </c>
      <c r="M2059" t="s">
        <v>2177</v>
      </c>
    </row>
    <row r="2060" spans="1:13" ht="15" customHeight="1">
      <c r="A2060" s="10">
        <v>46189</v>
      </c>
      <c r="B2060" t="s">
        <v>1</v>
      </c>
      <c r="C2060" s="135" t="s">
        <v>186</v>
      </c>
      <c r="D2060">
        <v>1</v>
      </c>
      <c r="E2060">
        <v>60</v>
      </c>
      <c r="I2060">
        <v>1</v>
      </c>
      <c r="J2060">
        <v>60</v>
      </c>
      <c r="M2060" t="s">
        <v>2178</v>
      </c>
    </row>
    <row r="2061" spans="1:13" ht="15" customHeight="1">
      <c r="A2061" s="10">
        <v>46189</v>
      </c>
      <c r="B2061" t="s">
        <v>1</v>
      </c>
      <c r="C2061" t="s">
        <v>337</v>
      </c>
      <c r="D2061">
        <v>2</v>
      </c>
      <c r="E2061">
        <v>251</v>
      </c>
      <c r="I2061">
        <v>2</v>
      </c>
      <c r="J2061">
        <v>167</v>
      </c>
      <c r="M2061" t="s">
        <v>2179</v>
      </c>
    </row>
    <row r="2062" spans="1:13" ht="15" customHeight="1">
      <c r="A2062" s="10">
        <v>46189</v>
      </c>
      <c r="B2062" t="s">
        <v>1</v>
      </c>
      <c r="C2062" t="s">
        <v>339</v>
      </c>
      <c r="D2062">
        <v>0</v>
      </c>
      <c r="E2062">
        <v>0</v>
      </c>
      <c r="I2062">
        <v>0</v>
      </c>
      <c r="J2062">
        <v>0</v>
      </c>
      <c r="M2062" t="s">
        <v>2180</v>
      </c>
    </row>
    <row r="2063" spans="1:13" ht="15" customHeight="1">
      <c r="A2063" s="10">
        <v>46189</v>
      </c>
      <c r="B2063" t="s">
        <v>1</v>
      </c>
      <c r="C2063" s="135" t="s">
        <v>191</v>
      </c>
      <c r="D2063">
        <v>1</v>
      </c>
      <c r="E2063">
        <v>241</v>
      </c>
      <c r="I2063">
        <v>1</v>
      </c>
      <c r="J2063">
        <v>241</v>
      </c>
      <c r="M2063" t="s">
        <v>2181</v>
      </c>
    </row>
    <row r="2064" spans="1:13" ht="15" customHeight="1">
      <c r="A2064" s="10">
        <v>46189</v>
      </c>
      <c r="B2064" t="s">
        <v>1</v>
      </c>
      <c r="C2064" s="135" t="s">
        <v>193</v>
      </c>
      <c r="D2064">
        <v>1</v>
      </c>
      <c r="E2064">
        <v>446</v>
      </c>
      <c r="I2064">
        <v>1</v>
      </c>
      <c r="J2064">
        <v>225</v>
      </c>
      <c r="M2064" t="s">
        <v>2182</v>
      </c>
    </row>
    <row r="2065" spans="1:13" ht="15" customHeight="1">
      <c r="A2065" s="10">
        <v>46189</v>
      </c>
      <c r="B2065" t="s">
        <v>1</v>
      </c>
      <c r="C2065" s="135" t="s">
        <v>194</v>
      </c>
      <c r="D2065">
        <v>1</v>
      </c>
      <c r="E2065">
        <v>29</v>
      </c>
      <c r="I2065">
        <v>1</v>
      </c>
      <c r="J2065">
        <v>29</v>
      </c>
      <c r="M2065" t="s">
        <v>2183</v>
      </c>
    </row>
    <row r="2066" spans="1:13" ht="15" customHeight="1">
      <c r="A2066" s="10">
        <v>46189</v>
      </c>
      <c r="B2066" t="s">
        <v>1</v>
      </c>
      <c r="C2066" s="135" t="s">
        <v>196</v>
      </c>
      <c r="D2066">
        <v>1</v>
      </c>
      <c r="E2066">
        <v>98</v>
      </c>
      <c r="I2066">
        <v>1</v>
      </c>
      <c r="J2066">
        <v>98</v>
      </c>
      <c r="M2066" t="s">
        <v>2184</v>
      </c>
    </row>
    <row r="2067" spans="1:13" ht="15" customHeight="1">
      <c r="A2067" s="10">
        <v>46190</v>
      </c>
      <c r="B2067" t="s">
        <v>1</v>
      </c>
      <c r="C2067" t="s">
        <v>23</v>
      </c>
      <c r="D2067">
        <v>2</v>
      </c>
      <c r="E2067">
        <v>1237</v>
      </c>
      <c r="F2067">
        <v>1</v>
      </c>
      <c r="G2067">
        <v>500</v>
      </c>
      <c r="I2067">
        <v>2</v>
      </c>
      <c r="J2067">
        <v>1103</v>
      </c>
      <c r="M2067" t="s">
        <v>2185</v>
      </c>
    </row>
    <row r="2068" spans="1:13" ht="15" customHeight="1">
      <c r="A2068" s="10">
        <v>46190</v>
      </c>
      <c r="B2068" t="s">
        <v>1</v>
      </c>
      <c r="C2068" t="s">
        <v>26</v>
      </c>
      <c r="D2068">
        <v>0</v>
      </c>
      <c r="E2068">
        <v>998</v>
      </c>
      <c r="I2068">
        <v>0</v>
      </c>
      <c r="J2068">
        <v>991</v>
      </c>
      <c r="M2068" t="s">
        <v>2186</v>
      </c>
    </row>
    <row r="2069" spans="1:13" ht="15" customHeight="1">
      <c r="A2069" s="10">
        <v>46190</v>
      </c>
      <c r="B2069" t="s">
        <v>1</v>
      </c>
      <c r="C2069" t="s">
        <v>27</v>
      </c>
      <c r="D2069">
        <v>1</v>
      </c>
      <c r="E2069">
        <v>302</v>
      </c>
      <c r="I2069">
        <v>1</v>
      </c>
      <c r="J2069">
        <v>297</v>
      </c>
      <c r="M2069" t="s">
        <v>2187</v>
      </c>
    </row>
    <row r="2070" spans="1:13" ht="15" customHeight="1">
      <c r="A2070" s="10">
        <v>46190</v>
      </c>
      <c r="B2070" t="s">
        <v>1</v>
      </c>
      <c r="C2070" t="s">
        <v>28</v>
      </c>
      <c r="D2070">
        <v>0</v>
      </c>
      <c r="E2070">
        <v>0</v>
      </c>
      <c r="I2070">
        <v>0</v>
      </c>
      <c r="J2070">
        <v>0</v>
      </c>
      <c r="M2070" t="s">
        <v>2188</v>
      </c>
    </row>
    <row r="2071" spans="1:13" ht="15" customHeight="1">
      <c r="A2071" s="10">
        <v>46190</v>
      </c>
      <c r="B2071" t="s">
        <v>1</v>
      </c>
      <c r="C2071" t="s">
        <v>29</v>
      </c>
      <c r="D2071">
        <v>0</v>
      </c>
      <c r="E2071">
        <v>759</v>
      </c>
      <c r="I2071">
        <v>0</v>
      </c>
      <c r="J2071">
        <v>673</v>
      </c>
      <c r="M2071" t="s">
        <v>2189</v>
      </c>
    </row>
    <row r="2072" spans="1:13" ht="15" customHeight="1">
      <c r="A2072" s="10">
        <v>46190</v>
      </c>
      <c r="B2072" t="s">
        <v>1</v>
      </c>
      <c r="C2072" t="s">
        <v>30</v>
      </c>
      <c r="D2072">
        <v>1</v>
      </c>
      <c r="E2072">
        <v>164</v>
      </c>
      <c r="I2072">
        <v>1</v>
      </c>
      <c r="J2072">
        <v>158</v>
      </c>
      <c r="M2072" t="s">
        <v>2190</v>
      </c>
    </row>
    <row r="2073" spans="1:13" ht="15" customHeight="1">
      <c r="A2073" s="10">
        <v>46190</v>
      </c>
      <c r="B2073" t="s">
        <v>1</v>
      </c>
      <c r="C2073" t="s">
        <v>31</v>
      </c>
      <c r="D2073">
        <v>1</v>
      </c>
      <c r="E2073">
        <v>475</v>
      </c>
      <c r="I2073">
        <v>1</v>
      </c>
      <c r="J2073">
        <v>470</v>
      </c>
      <c r="M2073" t="s">
        <v>2191</v>
      </c>
    </row>
    <row r="2074" spans="1:13" ht="15" customHeight="1">
      <c r="A2074" s="10">
        <v>46190</v>
      </c>
      <c r="B2074" t="s">
        <v>1</v>
      </c>
      <c r="C2074" t="s">
        <v>32</v>
      </c>
      <c r="D2074">
        <v>1</v>
      </c>
      <c r="E2074">
        <v>844</v>
      </c>
      <c r="I2074">
        <v>1</v>
      </c>
      <c r="J2074">
        <v>844</v>
      </c>
      <c r="M2074" t="s">
        <v>2192</v>
      </c>
    </row>
    <row r="2075" spans="1:13" ht="15" customHeight="1">
      <c r="A2075" s="10">
        <v>46190</v>
      </c>
      <c r="B2075" t="s">
        <v>1</v>
      </c>
      <c r="C2075" t="s">
        <v>223</v>
      </c>
      <c r="D2075">
        <v>5</v>
      </c>
      <c r="E2075">
        <v>153</v>
      </c>
      <c r="F2075">
        <v>1</v>
      </c>
      <c r="I2075">
        <v>4</v>
      </c>
      <c r="J2075">
        <v>912</v>
      </c>
      <c r="M2075" t="s">
        <v>2193</v>
      </c>
    </row>
    <row r="2076" spans="1:13" ht="15" customHeight="1">
      <c r="A2076" s="10">
        <v>46190</v>
      </c>
      <c r="B2076" t="s">
        <v>1</v>
      </c>
      <c r="C2076" t="s">
        <v>35</v>
      </c>
      <c r="D2076">
        <v>7</v>
      </c>
      <c r="E2076">
        <v>0</v>
      </c>
      <c r="H2076">
        <v>3</v>
      </c>
      <c r="I2076">
        <v>1</v>
      </c>
      <c r="K2076">
        <v>3</v>
      </c>
      <c r="M2076" t="s">
        <v>2194</v>
      </c>
    </row>
    <row r="2077" spans="1:13" ht="15" customHeight="1">
      <c r="A2077" s="10">
        <v>46190</v>
      </c>
      <c r="B2077" t="s">
        <v>1</v>
      </c>
      <c r="C2077" t="s">
        <v>37</v>
      </c>
      <c r="D2077">
        <v>3</v>
      </c>
      <c r="E2077">
        <v>0</v>
      </c>
      <c r="H2077">
        <v>0</v>
      </c>
      <c r="I2077">
        <v>1</v>
      </c>
      <c r="K2077">
        <v>2</v>
      </c>
      <c r="M2077" t="s">
        <v>2195</v>
      </c>
    </row>
    <row r="2078" spans="1:13" ht="15" customHeight="1">
      <c r="A2078" s="10">
        <v>46190</v>
      </c>
      <c r="B2078" t="s">
        <v>1</v>
      </c>
      <c r="C2078" t="s">
        <v>39</v>
      </c>
      <c r="D2078">
        <v>15</v>
      </c>
      <c r="E2078">
        <v>0</v>
      </c>
      <c r="H2078">
        <v>1</v>
      </c>
      <c r="I2078">
        <v>14</v>
      </c>
      <c r="J2078">
        <v>0</v>
      </c>
      <c r="M2078" t="s">
        <v>2196</v>
      </c>
    </row>
    <row r="2079" spans="1:13" ht="15" customHeight="1">
      <c r="A2079" s="10">
        <v>46190</v>
      </c>
      <c r="B2079" t="s">
        <v>1</v>
      </c>
      <c r="C2079" t="s">
        <v>41</v>
      </c>
      <c r="D2079">
        <v>11</v>
      </c>
      <c r="E2079">
        <v>0</v>
      </c>
      <c r="H2079">
        <v>1</v>
      </c>
      <c r="I2079">
        <v>10</v>
      </c>
      <c r="J2079">
        <v>0</v>
      </c>
      <c r="M2079" t="s">
        <v>2197</v>
      </c>
    </row>
    <row r="2080" spans="1:13" ht="15" customHeight="1">
      <c r="A2080" s="10">
        <v>46190</v>
      </c>
      <c r="B2080" t="s">
        <v>1</v>
      </c>
      <c r="C2080" t="s">
        <v>232</v>
      </c>
      <c r="D2080">
        <v>0</v>
      </c>
      <c r="E2080">
        <v>0</v>
      </c>
      <c r="I2080">
        <v>0</v>
      </c>
      <c r="J2080">
        <v>0</v>
      </c>
      <c r="M2080" t="s">
        <v>2198</v>
      </c>
    </row>
    <row r="2081" spans="1:13" ht="15" customHeight="1">
      <c r="A2081" s="10">
        <v>46190</v>
      </c>
      <c r="B2081" t="s">
        <v>1</v>
      </c>
      <c r="C2081" t="s">
        <v>234</v>
      </c>
      <c r="D2081">
        <v>73</v>
      </c>
      <c r="E2081">
        <v>0</v>
      </c>
      <c r="H2081">
        <v>9</v>
      </c>
      <c r="I2081">
        <v>64</v>
      </c>
      <c r="J2081">
        <v>0</v>
      </c>
      <c r="M2081" t="s">
        <v>2199</v>
      </c>
    </row>
    <row r="2082" spans="1:13" ht="15" customHeight="1">
      <c r="A2082" s="10">
        <v>46190</v>
      </c>
      <c r="B2082" t="s">
        <v>1</v>
      </c>
      <c r="C2082" t="s">
        <v>237</v>
      </c>
      <c r="D2082">
        <v>9</v>
      </c>
      <c r="E2082">
        <v>0</v>
      </c>
      <c r="I2082">
        <v>9</v>
      </c>
      <c r="J2082">
        <v>0</v>
      </c>
      <c r="M2082" t="s">
        <v>2200</v>
      </c>
    </row>
    <row r="2083" spans="1:13" ht="15" customHeight="1">
      <c r="A2083" s="10">
        <v>46190</v>
      </c>
      <c r="B2083" t="s">
        <v>1</v>
      </c>
      <c r="C2083" s="135" t="s">
        <v>58</v>
      </c>
      <c r="D2083">
        <v>6</v>
      </c>
      <c r="E2083">
        <v>0</v>
      </c>
      <c r="I2083">
        <v>6</v>
      </c>
      <c r="J2083">
        <v>0</v>
      </c>
      <c r="M2083" t="s">
        <v>2201</v>
      </c>
    </row>
    <row r="2084" spans="1:13" ht="15" customHeight="1">
      <c r="A2084" s="10">
        <v>46190</v>
      </c>
      <c r="B2084" t="s">
        <v>1</v>
      </c>
      <c r="C2084" s="135" t="s">
        <v>60</v>
      </c>
      <c r="D2084">
        <v>2</v>
      </c>
      <c r="E2084">
        <v>0</v>
      </c>
      <c r="H2084">
        <v>1</v>
      </c>
      <c r="I2084">
        <v>1</v>
      </c>
      <c r="J2084">
        <v>0</v>
      </c>
      <c r="M2084" t="s">
        <v>2202</v>
      </c>
    </row>
    <row r="2085" spans="1:13" ht="15" customHeight="1">
      <c r="A2085" s="10">
        <v>46190</v>
      </c>
      <c r="B2085" t="s">
        <v>1</v>
      </c>
      <c r="C2085" s="135" t="s">
        <v>61</v>
      </c>
      <c r="D2085">
        <v>3</v>
      </c>
      <c r="E2085">
        <v>0</v>
      </c>
      <c r="H2085">
        <v>2</v>
      </c>
      <c r="I2085">
        <v>1</v>
      </c>
      <c r="J2085">
        <v>0</v>
      </c>
      <c r="M2085" t="s">
        <v>2203</v>
      </c>
    </row>
    <row r="2086" spans="1:13" ht="15" customHeight="1">
      <c r="A2086" s="10">
        <v>46190</v>
      </c>
      <c r="B2086" t="s">
        <v>1</v>
      </c>
      <c r="C2086" s="135" t="s">
        <v>62</v>
      </c>
      <c r="D2086">
        <v>7</v>
      </c>
      <c r="E2086">
        <v>0</v>
      </c>
      <c r="H2086">
        <v>1</v>
      </c>
      <c r="I2086">
        <v>6</v>
      </c>
      <c r="J2086">
        <v>0</v>
      </c>
      <c r="M2086" t="s">
        <v>2204</v>
      </c>
    </row>
    <row r="2087" spans="1:13" ht="15" customHeight="1">
      <c r="A2087" s="10">
        <v>46190</v>
      </c>
      <c r="B2087" t="s">
        <v>1</v>
      </c>
      <c r="C2087" s="135" t="s">
        <v>63</v>
      </c>
      <c r="D2087">
        <v>6</v>
      </c>
      <c r="E2087">
        <v>0</v>
      </c>
      <c r="H2087">
        <v>2</v>
      </c>
      <c r="I2087">
        <v>4</v>
      </c>
      <c r="J2087">
        <v>0</v>
      </c>
      <c r="M2087" t="s">
        <v>2205</v>
      </c>
    </row>
    <row r="2088" spans="1:13" ht="15" customHeight="1">
      <c r="A2088" s="10">
        <v>46190</v>
      </c>
      <c r="B2088" t="s">
        <v>1</v>
      </c>
      <c r="C2088" s="135" t="s">
        <v>64</v>
      </c>
      <c r="D2088">
        <v>4</v>
      </c>
      <c r="E2088">
        <v>0</v>
      </c>
      <c r="I2088">
        <v>4</v>
      </c>
      <c r="J2088">
        <v>0</v>
      </c>
      <c r="M2088" t="s">
        <v>2206</v>
      </c>
    </row>
    <row r="2089" spans="1:13" ht="15" customHeight="1">
      <c r="A2089" s="10">
        <v>46190</v>
      </c>
      <c r="B2089" t="s">
        <v>1</v>
      </c>
      <c r="C2089" t="s">
        <v>66</v>
      </c>
      <c r="D2089">
        <v>4</v>
      </c>
      <c r="E2089">
        <v>0</v>
      </c>
      <c r="I2089">
        <v>4</v>
      </c>
      <c r="J2089">
        <v>0</v>
      </c>
      <c r="M2089" t="s">
        <v>2207</v>
      </c>
    </row>
    <row r="2090" spans="1:13" ht="15" customHeight="1">
      <c r="A2090" s="10">
        <v>46190</v>
      </c>
      <c r="B2090" t="s">
        <v>1</v>
      </c>
      <c r="C2090" t="s">
        <v>67</v>
      </c>
      <c r="D2090">
        <v>4</v>
      </c>
      <c r="E2090">
        <v>0</v>
      </c>
      <c r="H2090">
        <v>2</v>
      </c>
      <c r="I2090">
        <v>2</v>
      </c>
      <c r="J2090">
        <v>0</v>
      </c>
      <c r="M2090" t="s">
        <v>2208</v>
      </c>
    </row>
    <row r="2091" spans="1:13" ht="15" customHeight="1">
      <c r="A2091" s="10">
        <v>46190</v>
      </c>
      <c r="B2091" t="s">
        <v>1</v>
      </c>
      <c r="C2091" t="s">
        <v>68</v>
      </c>
      <c r="D2091">
        <v>0</v>
      </c>
      <c r="E2091">
        <v>0</v>
      </c>
      <c r="H2091">
        <v>0</v>
      </c>
      <c r="I2091">
        <v>0</v>
      </c>
      <c r="J2091">
        <v>0</v>
      </c>
      <c r="M2091" t="s">
        <v>2209</v>
      </c>
    </row>
    <row r="2092" spans="1:13" ht="15" customHeight="1">
      <c r="A2092" s="10">
        <v>46190</v>
      </c>
      <c r="B2092" t="s">
        <v>1</v>
      </c>
      <c r="C2092" t="s">
        <v>71</v>
      </c>
      <c r="D2092">
        <v>1</v>
      </c>
      <c r="E2092">
        <v>562</v>
      </c>
      <c r="I2092">
        <v>1</v>
      </c>
      <c r="J2092">
        <v>724</v>
      </c>
      <c r="M2092" t="s">
        <v>2210</v>
      </c>
    </row>
    <row r="2093" spans="1:13" ht="15" customHeight="1">
      <c r="A2093" s="10">
        <v>46190</v>
      </c>
      <c r="B2093" t="s">
        <v>1</v>
      </c>
      <c r="C2093" t="s">
        <v>73</v>
      </c>
      <c r="D2093">
        <v>2</v>
      </c>
      <c r="E2093">
        <v>182</v>
      </c>
      <c r="I2093">
        <v>2</v>
      </c>
      <c r="J2093">
        <v>126</v>
      </c>
      <c r="M2093" t="s">
        <v>2211</v>
      </c>
    </row>
    <row r="2094" spans="1:13" ht="15" customHeight="1">
      <c r="A2094" s="10">
        <v>46190</v>
      </c>
      <c r="B2094" t="s">
        <v>1</v>
      </c>
      <c r="C2094" t="s">
        <v>75</v>
      </c>
      <c r="D2094">
        <v>1</v>
      </c>
      <c r="E2094">
        <v>120</v>
      </c>
      <c r="I2094">
        <v>0</v>
      </c>
      <c r="J2094">
        <v>288</v>
      </c>
      <c r="M2094" t="s">
        <v>2212</v>
      </c>
    </row>
    <row r="2095" spans="1:13" ht="15" customHeight="1">
      <c r="A2095" s="10">
        <v>46190</v>
      </c>
      <c r="B2095" t="s">
        <v>1</v>
      </c>
      <c r="C2095" t="s">
        <v>77</v>
      </c>
      <c r="D2095">
        <v>0</v>
      </c>
      <c r="E2095">
        <v>890</v>
      </c>
      <c r="I2095">
        <v>0</v>
      </c>
      <c r="J2095">
        <v>890</v>
      </c>
      <c r="M2095" t="s">
        <v>2213</v>
      </c>
    </row>
    <row r="2096" spans="1:13" ht="15" customHeight="1">
      <c r="A2096" s="10">
        <v>46190</v>
      </c>
      <c r="B2096" t="s">
        <v>1</v>
      </c>
      <c r="C2096" t="s">
        <v>79</v>
      </c>
      <c r="D2096">
        <v>0</v>
      </c>
      <c r="E2096">
        <v>1715</v>
      </c>
      <c r="I2096">
        <v>0</v>
      </c>
      <c r="J2096">
        <v>1431</v>
      </c>
      <c r="M2096" t="s">
        <v>2214</v>
      </c>
    </row>
    <row r="2097" spans="1:13" ht="15" customHeight="1">
      <c r="A2097" s="10">
        <v>46190</v>
      </c>
      <c r="B2097" t="s">
        <v>1</v>
      </c>
      <c r="C2097" t="s">
        <v>81</v>
      </c>
      <c r="D2097">
        <v>1</v>
      </c>
      <c r="E2097">
        <v>320</v>
      </c>
      <c r="I2097">
        <v>0</v>
      </c>
      <c r="J2097">
        <v>312</v>
      </c>
      <c r="M2097" t="s">
        <v>2215</v>
      </c>
    </row>
    <row r="2098" spans="1:13" ht="15" customHeight="1">
      <c r="A2098" s="10">
        <v>46190</v>
      </c>
      <c r="B2098" t="s">
        <v>1</v>
      </c>
      <c r="C2098" t="s">
        <v>83</v>
      </c>
      <c r="D2098">
        <v>1</v>
      </c>
      <c r="E2098">
        <v>322</v>
      </c>
      <c r="I2098">
        <v>1</v>
      </c>
      <c r="J2098">
        <v>314</v>
      </c>
      <c r="M2098" t="s">
        <v>2216</v>
      </c>
    </row>
    <row r="2099" spans="1:13" ht="15" customHeight="1">
      <c r="A2099" s="10">
        <v>46190</v>
      </c>
      <c r="B2099" t="s">
        <v>1</v>
      </c>
      <c r="C2099" t="s">
        <v>84</v>
      </c>
      <c r="D2099">
        <v>1</v>
      </c>
      <c r="E2099">
        <v>374</v>
      </c>
      <c r="I2099">
        <v>1</v>
      </c>
      <c r="J2099">
        <v>368</v>
      </c>
      <c r="M2099" t="s">
        <v>2217</v>
      </c>
    </row>
    <row r="2100" spans="1:13" ht="15" customHeight="1">
      <c r="A2100" s="10">
        <v>46190</v>
      </c>
      <c r="B2100" t="s">
        <v>1</v>
      </c>
      <c r="C2100" t="s">
        <v>85</v>
      </c>
      <c r="D2100">
        <v>0</v>
      </c>
      <c r="E2100">
        <v>150</v>
      </c>
      <c r="I2100">
        <v>0</v>
      </c>
      <c r="J2100">
        <v>150</v>
      </c>
      <c r="M2100" t="s">
        <v>2218</v>
      </c>
    </row>
    <row r="2101" spans="1:13" ht="15" customHeight="1">
      <c r="A2101" s="10">
        <v>46190</v>
      </c>
      <c r="B2101" t="s">
        <v>1</v>
      </c>
      <c r="C2101" t="s">
        <v>87</v>
      </c>
      <c r="D2101">
        <v>2</v>
      </c>
      <c r="E2101">
        <v>150</v>
      </c>
      <c r="I2101">
        <v>2</v>
      </c>
      <c r="J2101">
        <v>148</v>
      </c>
      <c r="M2101" t="s">
        <v>2219</v>
      </c>
    </row>
    <row r="2102" spans="1:13" ht="15" customHeight="1">
      <c r="A2102" s="10">
        <v>46190</v>
      </c>
      <c r="B2102" t="s">
        <v>1</v>
      </c>
      <c r="C2102" t="s">
        <v>88</v>
      </c>
      <c r="D2102">
        <v>1</v>
      </c>
      <c r="E2102">
        <v>260</v>
      </c>
      <c r="I2102">
        <v>1</v>
      </c>
      <c r="J2102">
        <v>259</v>
      </c>
      <c r="M2102" t="s">
        <v>2220</v>
      </c>
    </row>
    <row r="2103" spans="1:13" ht="15" customHeight="1">
      <c r="A2103" s="10">
        <v>46190</v>
      </c>
      <c r="B2103" t="s">
        <v>1</v>
      </c>
      <c r="C2103" t="s">
        <v>89</v>
      </c>
      <c r="D2103">
        <v>1</v>
      </c>
      <c r="E2103">
        <v>338</v>
      </c>
      <c r="I2103">
        <v>1</v>
      </c>
      <c r="J2103">
        <v>336</v>
      </c>
      <c r="M2103" t="s">
        <v>2221</v>
      </c>
    </row>
    <row r="2104" spans="1:13" ht="15" customHeight="1">
      <c r="A2104" s="10">
        <v>46190</v>
      </c>
      <c r="B2104" t="s">
        <v>1</v>
      </c>
      <c r="C2104" t="s">
        <v>90</v>
      </c>
      <c r="D2104">
        <v>1</v>
      </c>
      <c r="E2104">
        <v>830</v>
      </c>
      <c r="I2104">
        <v>1</v>
      </c>
      <c r="J2104">
        <v>830</v>
      </c>
      <c r="M2104" t="s">
        <v>2222</v>
      </c>
    </row>
    <row r="2105" spans="1:13" ht="15" customHeight="1">
      <c r="A2105" s="10">
        <v>46190</v>
      </c>
      <c r="B2105" t="s">
        <v>1</v>
      </c>
      <c r="C2105" t="s">
        <v>92</v>
      </c>
      <c r="D2105">
        <v>1</v>
      </c>
      <c r="E2105">
        <v>761</v>
      </c>
      <c r="I2105">
        <v>1</v>
      </c>
      <c r="J2105">
        <v>661</v>
      </c>
      <c r="M2105" t="s">
        <v>2223</v>
      </c>
    </row>
    <row r="2106" spans="1:13" ht="15" customHeight="1">
      <c r="A2106" s="10">
        <v>46190</v>
      </c>
      <c r="B2106" t="s">
        <v>1</v>
      </c>
      <c r="C2106" t="s">
        <v>94</v>
      </c>
      <c r="D2106">
        <v>4</v>
      </c>
      <c r="E2106">
        <v>51</v>
      </c>
      <c r="I2106">
        <v>2</v>
      </c>
      <c r="J2106">
        <v>197</v>
      </c>
      <c r="M2106" t="s">
        <v>2224</v>
      </c>
    </row>
    <row r="2107" spans="1:13" ht="15" customHeight="1">
      <c r="A2107" s="10">
        <v>46190</v>
      </c>
      <c r="B2107" t="s">
        <v>1</v>
      </c>
      <c r="C2107" t="s">
        <v>96</v>
      </c>
      <c r="D2107">
        <v>0</v>
      </c>
      <c r="E2107">
        <v>0</v>
      </c>
      <c r="I2107">
        <v>0</v>
      </c>
      <c r="J2107">
        <v>0</v>
      </c>
      <c r="M2107" t="s">
        <v>2225</v>
      </c>
    </row>
    <row r="2108" spans="1:13" ht="15" customHeight="1">
      <c r="A2108" s="10">
        <v>46190</v>
      </c>
      <c r="B2108" t="s">
        <v>1</v>
      </c>
      <c r="C2108" t="s">
        <v>98</v>
      </c>
      <c r="D2108">
        <v>3</v>
      </c>
      <c r="E2108">
        <v>0</v>
      </c>
      <c r="I2108">
        <v>3</v>
      </c>
      <c r="J2108">
        <v>0</v>
      </c>
      <c r="M2108" t="s">
        <v>2226</v>
      </c>
    </row>
    <row r="2109" spans="1:13" ht="15" customHeight="1">
      <c r="A2109" s="10">
        <v>46190</v>
      </c>
      <c r="B2109" t="s">
        <v>1</v>
      </c>
      <c r="C2109" t="s">
        <v>203</v>
      </c>
      <c r="D2109">
        <v>2</v>
      </c>
      <c r="E2109">
        <v>173</v>
      </c>
      <c r="I2109">
        <v>2</v>
      </c>
      <c r="J2109">
        <v>43</v>
      </c>
      <c r="M2109" t="s">
        <v>2227</v>
      </c>
    </row>
    <row r="2110" spans="1:13" ht="15" customHeight="1">
      <c r="A2110" s="10">
        <v>46190</v>
      </c>
      <c r="B2110" t="s">
        <v>1</v>
      </c>
      <c r="C2110" t="s">
        <v>100</v>
      </c>
      <c r="D2110">
        <v>0</v>
      </c>
      <c r="E2110">
        <v>0</v>
      </c>
      <c r="I2110">
        <v>0</v>
      </c>
      <c r="J2110">
        <v>0</v>
      </c>
      <c r="M2110" t="s">
        <v>2228</v>
      </c>
    </row>
    <row r="2111" spans="1:13" ht="15" customHeight="1">
      <c r="A2111" s="10">
        <v>46190</v>
      </c>
      <c r="B2111" t="s">
        <v>1</v>
      </c>
      <c r="C2111" t="s">
        <v>101</v>
      </c>
      <c r="D2111">
        <v>1</v>
      </c>
      <c r="E2111">
        <v>427</v>
      </c>
      <c r="I2111">
        <v>0</v>
      </c>
      <c r="J2111">
        <v>196</v>
      </c>
      <c r="M2111" t="s">
        <v>2229</v>
      </c>
    </row>
    <row r="2112" spans="1:13" ht="15" customHeight="1">
      <c r="A2112" s="10">
        <v>46190</v>
      </c>
      <c r="B2112" t="s">
        <v>1</v>
      </c>
      <c r="C2112" t="s">
        <v>103</v>
      </c>
      <c r="D2112">
        <v>0</v>
      </c>
      <c r="E2112">
        <v>8</v>
      </c>
      <c r="I2112">
        <v>0</v>
      </c>
      <c r="J2112">
        <v>4</v>
      </c>
      <c r="M2112" t="s">
        <v>2230</v>
      </c>
    </row>
    <row r="2113" spans="1:13" ht="15" customHeight="1">
      <c r="A2113" s="10">
        <v>46190</v>
      </c>
      <c r="B2113" t="s">
        <v>1</v>
      </c>
      <c r="C2113" t="s">
        <v>106</v>
      </c>
      <c r="D2113">
        <v>1</v>
      </c>
      <c r="E2113">
        <v>789</v>
      </c>
      <c r="I2113">
        <v>1</v>
      </c>
      <c r="J2113">
        <v>754</v>
      </c>
      <c r="M2113" t="s">
        <v>2231</v>
      </c>
    </row>
    <row r="2114" spans="1:13" ht="15" customHeight="1">
      <c r="A2114" s="10">
        <v>46190</v>
      </c>
      <c r="B2114" t="s">
        <v>1</v>
      </c>
      <c r="C2114" t="s">
        <v>108</v>
      </c>
      <c r="D2114">
        <v>0</v>
      </c>
      <c r="E2114">
        <v>902</v>
      </c>
      <c r="I2114">
        <v>0</v>
      </c>
      <c r="J2114">
        <v>748</v>
      </c>
      <c r="M2114" t="s">
        <v>2232</v>
      </c>
    </row>
    <row r="2115" spans="1:13" ht="15" customHeight="1">
      <c r="A2115" s="10">
        <v>46190</v>
      </c>
      <c r="B2115" t="s">
        <v>1</v>
      </c>
      <c r="C2115" t="s">
        <v>109</v>
      </c>
      <c r="D2115">
        <v>2</v>
      </c>
      <c r="E2115">
        <v>400</v>
      </c>
      <c r="I2115">
        <v>1</v>
      </c>
      <c r="J2115">
        <v>1150</v>
      </c>
      <c r="M2115" t="s">
        <v>2233</v>
      </c>
    </row>
    <row r="2116" spans="1:13" ht="15" customHeight="1">
      <c r="A2116" s="10">
        <v>46190</v>
      </c>
      <c r="B2116" t="s">
        <v>1</v>
      </c>
      <c r="C2116" t="s">
        <v>112</v>
      </c>
      <c r="D2116">
        <v>1</v>
      </c>
      <c r="E2116">
        <v>43</v>
      </c>
      <c r="I2116">
        <v>1</v>
      </c>
      <c r="J2116">
        <v>41</v>
      </c>
      <c r="M2116" t="s">
        <v>2234</v>
      </c>
    </row>
    <row r="2117" spans="1:13" ht="15" customHeight="1">
      <c r="A2117" s="10">
        <v>46190</v>
      </c>
      <c r="B2117" t="s">
        <v>1</v>
      </c>
      <c r="C2117" t="s">
        <v>114</v>
      </c>
      <c r="D2117">
        <v>1</v>
      </c>
      <c r="E2117">
        <v>31</v>
      </c>
      <c r="I2117">
        <v>1</v>
      </c>
      <c r="J2117">
        <v>29</v>
      </c>
      <c r="M2117" t="s">
        <v>2235</v>
      </c>
    </row>
    <row r="2118" spans="1:13" ht="15" customHeight="1">
      <c r="A2118" s="10">
        <v>46190</v>
      </c>
      <c r="B2118" t="s">
        <v>1</v>
      </c>
      <c r="C2118" t="s">
        <v>115</v>
      </c>
      <c r="D2118">
        <v>1</v>
      </c>
      <c r="E2118">
        <v>31</v>
      </c>
      <c r="I2118">
        <v>1</v>
      </c>
      <c r="J2118">
        <v>23</v>
      </c>
      <c r="M2118" t="s">
        <v>2236</v>
      </c>
    </row>
    <row r="2119" spans="1:13" ht="15" customHeight="1">
      <c r="A2119" s="10">
        <v>46190</v>
      </c>
      <c r="B2119" t="s">
        <v>1</v>
      </c>
      <c r="C2119" t="s">
        <v>116</v>
      </c>
      <c r="D2119">
        <v>1</v>
      </c>
      <c r="E2119">
        <v>39</v>
      </c>
      <c r="I2119">
        <v>1</v>
      </c>
      <c r="J2119">
        <v>26</v>
      </c>
      <c r="M2119" t="s">
        <v>2237</v>
      </c>
    </row>
    <row r="2120" spans="1:13" ht="15" customHeight="1">
      <c r="A2120" s="10">
        <v>46190</v>
      </c>
      <c r="B2120" t="s">
        <v>1</v>
      </c>
      <c r="C2120" t="s">
        <v>119</v>
      </c>
      <c r="D2120">
        <v>2</v>
      </c>
      <c r="E2120">
        <v>0</v>
      </c>
      <c r="I2120">
        <v>2</v>
      </c>
      <c r="M2120" t="s">
        <v>2238</v>
      </c>
    </row>
    <row r="2121" spans="1:13" ht="15" customHeight="1">
      <c r="A2121" s="10">
        <v>46190</v>
      </c>
      <c r="B2121" t="s">
        <v>1</v>
      </c>
      <c r="C2121" t="s">
        <v>120</v>
      </c>
      <c r="D2121">
        <v>1</v>
      </c>
      <c r="E2121">
        <v>0</v>
      </c>
      <c r="I2121">
        <v>1</v>
      </c>
      <c r="M2121" t="s">
        <v>2239</v>
      </c>
    </row>
    <row r="2122" spans="1:13" ht="15" customHeight="1">
      <c r="A2122" s="10">
        <v>46190</v>
      </c>
      <c r="B2122" t="s">
        <v>1</v>
      </c>
      <c r="C2122" t="s">
        <v>121</v>
      </c>
      <c r="D2122">
        <v>2</v>
      </c>
      <c r="E2122">
        <v>0</v>
      </c>
      <c r="I2122">
        <v>2</v>
      </c>
      <c r="M2122" t="s">
        <v>2240</v>
      </c>
    </row>
    <row r="2123" spans="1:13" ht="15" customHeight="1">
      <c r="A2123" s="10">
        <v>46190</v>
      </c>
      <c r="B2123" t="s">
        <v>1</v>
      </c>
      <c r="C2123" t="s">
        <v>123</v>
      </c>
      <c r="D2123">
        <v>2</v>
      </c>
      <c r="E2123">
        <v>0</v>
      </c>
      <c r="I2123">
        <v>2</v>
      </c>
      <c r="M2123" t="s">
        <v>2241</v>
      </c>
    </row>
    <row r="2124" spans="1:13" ht="15" customHeight="1">
      <c r="A2124" s="10">
        <v>46190</v>
      </c>
      <c r="B2124" t="s">
        <v>1</v>
      </c>
      <c r="C2124" t="s">
        <v>124</v>
      </c>
      <c r="D2124">
        <v>2</v>
      </c>
      <c r="E2124">
        <v>0</v>
      </c>
      <c r="I2124">
        <v>1</v>
      </c>
      <c r="M2124" t="s">
        <v>2242</v>
      </c>
    </row>
    <row r="2125" spans="1:13" ht="15" customHeight="1">
      <c r="A2125" s="10">
        <v>46190</v>
      </c>
      <c r="B2125" t="s">
        <v>1</v>
      </c>
      <c r="C2125" t="s">
        <v>125</v>
      </c>
      <c r="D2125">
        <v>2</v>
      </c>
      <c r="E2125">
        <v>0</v>
      </c>
      <c r="I2125">
        <v>2</v>
      </c>
      <c r="M2125" t="s">
        <v>2243</v>
      </c>
    </row>
    <row r="2126" spans="1:13" ht="15" customHeight="1">
      <c r="A2126" s="10">
        <v>46190</v>
      </c>
      <c r="B2126" t="s">
        <v>1</v>
      </c>
      <c r="C2126" t="s">
        <v>126</v>
      </c>
      <c r="D2126">
        <v>2</v>
      </c>
      <c r="E2126">
        <v>0</v>
      </c>
      <c r="I2126">
        <v>2</v>
      </c>
      <c r="M2126" t="s">
        <v>2244</v>
      </c>
    </row>
    <row r="2127" spans="1:13" ht="15" customHeight="1">
      <c r="A2127" s="10">
        <v>46190</v>
      </c>
      <c r="B2127" t="s">
        <v>1</v>
      </c>
      <c r="C2127" t="s">
        <v>128</v>
      </c>
      <c r="D2127">
        <v>2</v>
      </c>
      <c r="E2127">
        <v>0</v>
      </c>
      <c r="I2127">
        <v>4</v>
      </c>
      <c r="M2127" t="s">
        <v>2245</v>
      </c>
    </row>
    <row r="2128" spans="1:13" ht="15" customHeight="1">
      <c r="A2128" s="10">
        <v>46190</v>
      </c>
      <c r="B2128" t="s">
        <v>1</v>
      </c>
      <c r="C2128" t="s">
        <v>130</v>
      </c>
      <c r="D2128">
        <v>4</v>
      </c>
      <c r="E2128">
        <v>0</v>
      </c>
      <c r="I2128">
        <v>4</v>
      </c>
      <c r="M2128" t="s">
        <v>2246</v>
      </c>
    </row>
    <row r="2129" spans="1:13" ht="15" customHeight="1">
      <c r="A2129" s="10">
        <v>46190</v>
      </c>
      <c r="B2129" t="s">
        <v>1</v>
      </c>
      <c r="C2129" t="s">
        <v>285</v>
      </c>
      <c r="D2129">
        <v>2</v>
      </c>
      <c r="E2129">
        <v>0</v>
      </c>
      <c r="I2129">
        <v>1</v>
      </c>
      <c r="M2129" t="s">
        <v>2247</v>
      </c>
    </row>
    <row r="2130" spans="1:13" ht="15" customHeight="1">
      <c r="A2130" s="10">
        <v>46190</v>
      </c>
      <c r="B2130" t="s">
        <v>1</v>
      </c>
      <c r="C2130" t="s">
        <v>287</v>
      </c>
      <c r="D2130">
        <v>2</v>
      </c>
      <c r="E2130">
        <v>0</v>
      </c>
      <c r="I2130">
        <v>2</v>
      </c>
      <c r="M2130" t="s">
        <v>2248</v>
      </c>
    </row>
    <row r="2131" spans="1:13" ht="15" customHeight="1">
      <c r="A2131" s="10">
        <v>46190</v>
      </c>
      <c r="B2131" t="s">
        <v>1</v>
      </c>
      <c r="C2131" t="s">
        <v>289</v>
      </c>
      <c r="D2131">
        <v>2</v>
      </c>
      <c r="E2131">
        <v>0</v>
      </c>
      <c r="I2131">
        <v>2</v>
      </c>
      <c r="M2131" t="s">
        <v>2249</v>
      </c>
    </row>
    <row r="2132" spans="1:13" ht="15" customHeight="1">
      <c r="A2132" s="10">
        <v>46190</v>
      </c>
      <c r="B2132" t="s">
        <v>1</v>
      </c>
      <c r="C2132" t="s">
        <v>291</v>
      </c>
      <c r="D2132">
        <v>2</v>
      </c>
      <c r="E2132">
        <v>0</v>
      </c>
      <c r="I2132">
        <v>2</v>
      </c>
      <c r="M2132" t="s">
        <v>2250</v>
      </c>
    </row>
    <row r="2133" spans="1:13" ht="15" customHeight="1">
      <c r="A2133" s="10">
        <v>46190</v>
      </c>
      <c r="B2133" t="s">
        <v>1</v>
      </c>
      <c r="C2133" t="s">
        <v>293</v>
      </c>
      <c r="D2133">
        <v>3</v>
      </c>
      <c r="E2133">
        <v>0</v>
      </c>
      <c r="I2133">
        <v>4</v>
      </c>
      <c r="M2133" t="s">
        <v>2251</v>
      </c>
    </row>
    <row r="2134" spans="1:13" ht="15" customHeight="1">
      <c r="A2134" s="10">
        <v>46190</v>
      </c>
      <c r="B2134" t="s">
        <v>1</v>
      </c>
      <c r="C2134" s="135" t="s">
        <v>138</v>
      </c>
      <c r="D2134">
        <v>0</v>
      </c>
      <c r="E2134">
        <v>35</v>
      </c>
      <c r="I2134">
        <v>0</v>
      </c>
      <c r="J2134">
        <v>35</v>
      </c>
      <c r="M2134" t="s">
        <v>2252</v>
      </c>
    </row>
    <row r="2135" spans="1:13" ht="15" customHeight="1">
      <c r="A2135" s="10">
        <v>46190</v>
      </c>
      <c r="B2135" t="s">
        <v>1</v>
      </c>
      <c r="C2135" s="135" t="s">
        <v>139</v>
      </c>
      <c r="D2135">
        <v>0</v>
      </c>
      <c r="E2135">
        <v>34</v>
      </c>
      <c r="I2135">
        <v>0</v>
      </c>
      <c r="J2135">
        <v>31</v>
      </c>
      <c r="M2135" t="s">
        <v>2253</v>
      </c>
    </row>
    <row r="2136" spans="1:13" ht="15" customHeight="1">
      <c r="A2136" s="10">
        <v>46190</v>
      </c>
      <c r="B2136" t="s">
        <v>1</v>
      </c>
      <c r="C2136" s="135" t="s">
        <v>140</v>
      </c>
      <c r="D2136">
        <v>0</v>
      </c>
      <c r="E2136">
        <v>17</v>
      </c>
      <c r="I2136">
        <v>0</v>
      </c>
      <c r="J2136">
        <v>11</v>
      </c>
      <c r="M2136" t="s">
        <v>2254</v>
      </c>
    </row>
    <row r="2137" spans="1:13" ht="15" customHeight="1">
      <c r="A2137" s="10">
        <v>46190</v>
      </c>
      <c r="B2137" t="s">
        <v>1</v>
      </c>
      <c r="C2137" s="135" t="s">
        <v>143</v>
      </c>
      <c r="D2137">
        <v>0</v>
      </c>
      <c r="E2137">
        <v>28</v>
      </c>
      <c r="I2137">
        <v>0</v>
      </c>
      <c r="J2137">
        <v>54</v>
      </c>
      <c r="M2137" t="s">
        <v>2255</v>
      </c>
    </row>
    <row r="2138" spans="1:13" ht="15" customHeight="1">
      <c r="A2138" s="10">
        <v>46190</v>
      </c>
      <c r="B2138" t="s">
        <v>1</v>
      </c>
      <c r="C2138" s="135" t="s">
        <v>145</v>
      </c>
      <c r="D2138">
        <v>0</v>
      </c>
      <c r="E2138">
        <v>33</v>
      </c>
      <c r="I2138">
        <v>0</v>
      </c>
      <c r="J2138">
        <v>35</v>
      </c>
      <c r="M2138" t="s">
        <v>2256</v>
      </c>
    </row>
    <row r="2139" spans="1:13" ht="15" customHeight="1">
      <c r="A2139" s="10">
        <v>46190</v>
      </c>
      <c r="B2139" t="s">
        <v>1</v>
      </c>
      <c r="C2139" s="135" t="s">
        <v>147</v>
      </c>
      <c r="D2139">
        <v>0</v>
      </c>
      <c r="E2139">
        <v>32</v>
      </c>
      <c r="I2139">
        <v>0</v>
      </c>
      <c r="J2139">
        <v>32</v>
      </c>
      <c r="M2139" t="s">
        <v>2257</v>
      </c>
    </row>
    <row r="2140" spans="1:13" ht="15" customHeight="1">
      <c r="A2140" s="10">
        <v>46190</v>
      </c>
      <c r="B2140" t="s">
        <v>1</v>
      </c>
      <c r="C2140" t="s">
        <v>302</v>
      </c>
      <c r="D2140">
        <v>2</v>
      </c>
      <c r="E2140">
        <v>0</v>
      </c>
      <c r="I2140">
        <v>2</v>
      </c>
      <c r="M2140" t="s">
        <v>2258</v>
      </c>
    </row>
    <row r="2141" spans="1:13" ht="15" customHeight="1">
      <c r="A2141" s="10">
        <v>46190</v>
      </c>
      <c r="B2141" t="s">
        <v>1</v>
      </c>
      <c r="C2141" t="s">
        <v>150</v>
      </c>
      <c r="D2141">
        <v>2</v>
      </c>
      <c r="E2141">
        <v>0</v>
      </c>
      <c r="I2141">
        <v>2</v>
      </c>
      <c r="M2141" t="s">
        <v>2259</v>
      </c>
    </row>
    <row r="2142" spans="1:13" ht="15" customHeight="1">
      <c r="A2142" s="10">
        <v>46190</v>
      </c>
      <c r="B2142" t="s">
        <v>1</v>
      </c>
      <c r="C2142" t="s">
        <v>151</v>
      </c>
      <c r="D2142">
        <v>2</v>
      </c>
      <c r="E2142">
        <v>0</v>
      </c>
      <c r="I2142">
        <v>2</v>
      </c>
      <c r="M2142" t="s">
        <v>2260</v>
      </c>
    </row>
    <row r="2143" spans="1:13" ht="15" customHeight="1">
      <c r="A2143" s="10">
        <v>46190</v>
      </c>
      <c r="B2143" t="s">
        <v>1</v>
      </c>
      <c r="C2143" t="s">
        <v>152</v>
      </c>
      <c r="D2143">
        <v>2</v>
      </c>
      <c r="E2143">
        <v>0</v>
      </c>
      <c r="I2143">
        <v>2</v>
      </c>
      <c r="M2143" t="s">
        <v>2261</v>
      </c>
    </row>
    <row r="2144" spans="1:13" ht="15" customHeight="1">
      <c r="A2144" s="10">
        <v>46190</v>
      </c>
      <c r="B2144" t="s">
        <v>1</v>
      </c>
      <c r="C2144" t="s">
        <v>153</v>
      </c>
      <c r="D2144">
        <v>2</v>
      </c>
      <c r="E2144">
        <v>0</v>
      </c>
      <c r="I2144">
        <v>2</v>
      </c>
      <c r="M2144" t="s">
        <v>2262</v>
      </c>
    </row>
    <row r="2145" spans="1:13" ht="15" customHeight="1">
      <c r="A2145" s="10">
        <v>46190</v>
      </c>
      <c r="B2145" t="s">
        <v>1</v>
      </c>
      <c r="C2145" t="s">
        <v>308</v>
      </c>
      <c r="D2145">
        <v>0</v>
      </c>
      <c r="E2145">
        <v>2</v>
      </c>
      <c r="I2145">
        <v>0</v>
      </c>
      <c r="J2145">
        <v>2</v>
      </c>
      <c r="M2145" t="s">
        <v>2263</v>
      </c>
    </row>
    <row r="2146" spans="1:13" ht="15" customHeight="1">
      <c r="A2146" s="10">
        <v>46190</v>
      </c>
      <c r="B2146" t="s">
        <v>1</v>
      </c>
      <c r="C2146" t="s">
        <v>310</v>
      </c>
      <c r="D2146">
        <v>0</v>
      </c>
      <c r="E2146">
        <v>1</v>
      </c>
      <c r="I2146">
        <v>0</v>
      </c>
      <c r="J2146">
        <v>1</v>
      </c>
      <c r="M2146" t="s">
        <v>2264</v>
      </c>
    </row>
    <row r="2147" spans="1:13" ht="15" customHeight="1">
      <c r="A2147" s="10">
        <v>46190</v>
      </c>
      <c r="B2147" t="s">
        <v>1</v>
      </c>
      <c r="C2147" t="s">
        <v>312</v>
      </c>
      <c r="D2147">
        <v>0</v>
      </c>
      <c r="E2147">
        <v>2</v>
      </c>
      <c r="I2147">
        <v>0</v>
      </c>
      <c r="J2147">
        <v>2</v>
      </c>
      <c r="M2147" t="s">
        <v>2265</v>
      </c>
    </row>
    <row r="2148" spans="1:13" ht="15" customHeight="1">
      <c r="A2148" s="10">
        <v>46190</v>
      </c>
      <c r="B2148" t="s">
        <v>1</v>
      </c>
      <c r="C2148" t="s">
        <v>314</v>
      </c>
      <c r="D2148">
        <v>1</v>
      </c>
      <c r="E2148">
        <v>0</v>
      </c>
      <c r="I2148">
        <v>1</v>
      </c>
      <c r="M2148" t="s">
        <v>2266</v>
      </c>
    </row>
    <row r="2149" spans="1:13" ht="15" customHeight="1">
      <c r="A2149" s="10">
        <v>46190</v>
      </c>
      <c r="B2149" t="s">
        <v>1</v>
      </c>
      <c r="C2149" t="s">
        <v>316</v>
      </c>
      <c r="D2149">
        <v>1</v>
      </c>
      <c r="E2149">
        <v>0</v>
      </c>
      <c r="I2149">
        <v>0</v>
      </c>
      <c r="M2149" t="s">
        <v>2267</v>
      </c>
    </row>
    <row r="2150" spans="1:13" ht="15" customHeight="1">
      <c r="A2150" s="10">
        <v>46190</v>
      </c>
      <c r="B2150" t="s">
        <v>1</v>
      </c>
      <c r="C2150" t="s">
        <v>318</v>
      </c>
      <c r="D2150">
        <v>0</v>
      </c>
      <c r="E2150">
        <v>0</v>
      </c>
      <c r="I2150">
        <v>0</v>
      </c>
      <c r="M2150" t="s">
        <v>2268</v>
      </c>
    </row>
    <row r="2151" spans="1:13" ht="15" customHeight="1">
      <c r="A2151" s="10">
        <v>46190</v>
      </c>
      <c r="B2151" t="s">
        <v>1</v>
      </c>
      <c r="C2151" t="s">
        <v>320</v>
      </c>
      <c r="D2151">
        <v>3</v>
      </c>
      <c r="E2151">
        <v>0</v>
      </c>
      <c r="I2151">
        <v>2</v>
      </c>
      <c r="M2151" t="s">
        <v>2269</v>
      </c>
    </row>
    <row r="2152" spans="1:13" ht="15" customHeight="1">
      <c r="A2152" s="10">
        <v>46190</v>
      </c>
      <c r="B2152" t="s">
        <v>1</v>
      </c>
      <c r="C2152" t="s">
        <v>322</v>
      </c>
      <c r="D2152">
        <v>0</v>
      </c>
      <c r="E2152">
        <v>0</v>
      </c>
      <c r="I2152">
        <v>0</v>
      </c>
      <c r="M2152" t="s">
        <v>2270</v>
      </c>
    </row>
    <row r="2153" spans="1:13" ht="15" customHeight="1">
      <c r="A2153" s="10">
        <v>46190</v>
      </c>
      <c r="B2153" t="s">
        <v>1</v>
      </c>
      <c r="C2153" s="135" t="s">
        <v>168</v>
      </c>
      <c r="D2153">
        <v>1</v>
      </c>
      <c r="E2153">
        <v>0</v>
      </c>
      <c r="I2153">
        <v>1</v>
      </c>
      <c r="M2153" t="s">
        <v>2271</v>
      </c>
    </row>
    <row r="2154" spans="1:13" ht="15" customHeight="1">
      <c r="A2154" s="10">
        <v>46190</v>
      </c>
      <c r="B2154" t="s">
        <v>1</v>
      </c>
      <c r="C2154" s="135" t="s">
        <v>170</v>
      </c>
      <c r="D2154">
        <v>1</v>
      </c>
      <c r="E2154">
        <v>0</v>
      </c>
      <c r="I2154">
        <v>1</v>
      </c>
      <c r="M2154" t="s">
        <v>2272</v>
      </c>
    </row>
    <row r="2155" spans="1:13" ht="15" customHeight="1">
      <c r="A2155" s="10">
        <v>46190</v>
      </c>
      <c r="B2155" t="s">
        <v>1</v>
      </c>
      <c r="C2155" s="135" t="s">
        <v>171</v>
      </c>
      <c r="D2155">
        <v>2</v>
      </c>
      <c r="E2155">
        <v>0</v>
      </c>
      <c r="I2155">
        <v>2</v>
      </c>
      <c r="M2155" t="s">
        <v>2273</v>
      </c>
    </row>
    <row r="2156" spans="1:13" ht="15" customHeight="1">
      <c r="A2156" s="10">
        <v>46190</v>
      </c>
      <c r="B2156" t="s">
        <v>1</v>
      </c>
      <c r="C2156" s="135" t="s">
        <v>172</v>
      </c>
      <c r="D2156">
        <v>1</v>
      </c>
      <c r="E2156">
        <v>0</v>
      </c>
      <c r="I2156">
        <v>1</v>
      </c>
      <c r="M2156" t="s">
        <v>2274</v>
      </c>
    </row>
    <row r="2157" spans="1:13" ht="15" customHeight="1">
      <c r="A2157" s="10">
        <v>46190</v>
      </c>
      <c r="B2157" t="s">
        <v>1</v>
      </c>
      <c r="C2157" s="135" t="s">
        <v>173</v>
      </c>
      <c r="D2157">
        <v>0</v>
      </c>
      <c r="E2157">
        <v>0</v>
      </c>
      <c r="I2157">
        <v>0</v>
      </c>
      <c r="M2157" t="s">
        <v>2275</v>
      </c>
    </row>
    <row r="2158" spans="1:13" ht="15" customHeight="1">
      <c r="A2158" s="10">
        <v>46190</v>
      </c>
      <c r="B2158" t="s">
        <v>1</v>
      </c>
      <c r="C2158" t="s">
        <v>176</v>
      </c>
      <c r="D2158">
        <v>0</v>
      </c>
      <c r="E2158">
        <v>8</v>
      </c>
      <c r="H2158">
        <v>2</v>
      </c>
      <c r="I2158">
        <v>0</v>
      </c>
      <c r="J2158">
        <v>6</v>
      </c>
      <c r="M2158" t="s">
        <v>2276</v>
      </c>
    </row>
    <row r="2159" spans="1:13" ht="15" customHeight="1">
      <c r="A2159" s="10">
        <v>46190</v>
      </c>
      <c r="B2159" t="s">
        <v>1</v>
      </c>
      <c r="C2159" t="s">
        <v>178</v>
      </c>
      <c r="D2159">
        <v>0</v>
      </c>
      <c r="E2159">
        <v>13</v>
      </c>
      <c r="H2159">
        <v>1</v>
      </c>
      <c r="I2159">
        <v>0</v>
      </c>
      <c r="J2159">
        <v>12</v>
      </c>
      <c r="M2159" t="s">
        <v>2277</v>
      </c>
    </row>
    <row r="2160" spans="1:13" ht="15" customHeight="1">
      <c r="A2160" s="10">
        <v>46190</v>
      </c>
      <c r="B2160" t="s">
        <v>1</v>
      </c>
      <c r="C2160" t="s">
        <v>179</v>
      </c>
      <c r="D2160">
        <v>0</v>
      </c>
      <c r="E2160">
        <v>12</v>
      </c>
      <c r="I2160">
        <v>0</v>
      </c>
      <c r="J2160">
        <v>12</v>
      </c>
      <c r="M2160" t="s">
        <v>2278</v>
      </c>
    </row>
    <row r="2161" spans="1:13" ht="15" customHeight="1">
      <c r="A2161" s="10">
        <v>46190</v>
      </c>
      <c r="B2161" t="s">
        <v>1</v>
      </c>
      <c r="C2161" t="s">
        <v>180</v>
      </c>
      <c r="D2161">
        <v>0</v>
      </c>
      <c r="E2161">
        <v>16</v>
      </c>
      <c r="H2161">
        <v>1</v>
      </c>
      <c r="I2161">
        <v>0</v>
      </c>
      <c r="J2161">
        <v>15</v>
      </c>
      <c r="M2161" t="s">
        <v>2279</v>
      </c>
    </row>
    <row r="2162" spans="1:13" ht="15" customHeight="1">
      <c r="A2162" s="10">
        <v>46190</v>
      </c>
      <c r="B2162" t="s">
        <v>1</v>
      </c>
      <c r="C2162" s="135" t="s">
        <v>182</v>
      </c>
      <c r="D2162">
        <v>1</v>
      </c>
      <c r="E2162">
        <v>259</v>
      </c>
      <c r="I2162">
        <v>1</v>
      </c>
      <c r="J2162">
        <v>261</v>
      </c>
      <c r="M2162" t="s">
        <v>2280</v>
      </c>
    </row>
    <row r="2163" spans="1:13" ht="15" customHeight="1">
      <c r="A2163" s="10">
        <v>46190</v>
      </c>
      <c r="B2163" t="s">
        <v>1</v>
      </c>
      <c r="C2163" s="135" t="s">
        <v>184</v>
      </c>
      <c r="D2163">
        <v>1</v>
      </c>
      <c r="E2163">
        <v>7</v>
      </c>
      <c r="I2163">
        <v>1</v>
      </c>
      <c r="J2163">
        <v>84</v>
      </c>
      <c r="M2163" t="s">
        <v>2281</v>
      </c>
    </row>
    <row r="2164" spans="1:13" ht="15" customHeight="1">
      <c r="A2164" s="10">
        <v>46190</v>
      </c>
      <c r="B2164" t="s">
        <v>1</v>
      </c>
      <c r="C2164" s="135" t="s">
        <v>185</v>
      </c>
      <c r="D2164">
        <v>1</v>
      </c>
      <c r="E2164">
        <v>56</v>
      </c>
      <c r="I2164">
        <v>1</v>
      </c>
      <c r="J2164">
        <v>56</v>
      </c>
      <c r="M2164" t="s">
        <v>2282</v>
      </c>
    </row>
    <row r="2165" spans="1:13" ht="15" customHeight="1">
      <c r="A2165" s="10">
        <v>46190</v>
      </c>
      <c r="B2165" t="s">
        <v>1</v>
      </c>
      <c r="C2165" s="135" t="s">
        <v>186</v>
      </c>
      <c r="D2165">
        <v>1</v>
      </c>
      <c r="E2165">
        <v>60</v>
      </c>
      <c r="I2165">
        <v>1</v>
      </c>
      <c r="J2165">
        <v>80</v>
      </c>
      <c r="M2165" t="s">
        <v>2283</v>
      </c>
    </row>
    <row r="2166" spans="1:13" ht="15" customHeight="1">
      <c r="A2166" s="10">
        <v>46190</v>
      </c>
      <c r="B2166" t="s">
        <v>1</v>
      </c>
      <c r="C2166" t="s">
        <v>337</v>
      </c>
      <c r="D2166">
        <v>2</v>
      </c>
      <c r="E2166">
        <v>167</v>
      </c>
      <c r="I2166">
        <v>2</v>
      </c>
      <c r="J2166">
        <v>167</v>
      </c>
      <c r="M2166" t="s">
        <v>2284</v>
      </c>
    </row>
    <row r="2167" spans="1:13" ht="15" customHeight="1">
      <c r="A2167" s="10">
        <v>46190</v>
      </c>
      <c r="B2167" t="s">
        <v>1</v>
      </c>
      <c r="C2167" t="s">
        <v>339</v>
      </c>
      <c r="D2167">
        <v>0</v>
      </c>
      <c r="E2167">
        <v>0</v>
      </c>
      <c r="I2167">
        <v>0</v>
      </c>
      <c r="J2167">
        <v>0</v>
      </c>
      <c r="M2167" t="s">
        <v>2285</v>
      </c>
    </row>
    <row r="2168" spans="1:13" ht="15" customHeight="1">
      <c r="A2168" s="10">
        <v>46190</v>
      </c>
      <c r="B2168" t="s">
        <v>1</v>
      </c>
      <c r="C2168" s="135" t="s">
        <v>191</v>
      </c>
      <c r="D2168">
        <v>1</v>
      </c>
      <c r="E2168">
        <v>241</v>
      </c>
      <c r="I2168">
        <v>1</v>
      </c>
      <c r="J2168">
        <v>241</v>
      </c>
      <c r="M2168" t="s">
        <v>2286</v>
      </c>
    </row>
    <row r="2169" spans="1:13" ht="15" customHeight="1">
      <c r="A2169" s="10">
        <v>46190</v>
      </c>
      <c r="B2169" t="s">
        <v>1</v>
      </c>
      <c r="C2169" s="135" t="s">
        <v>193</v>
      </c>
      <c r="D2169">
        <v>1</v>
      </c>
      <c r="E2169">
        <v>225</v>
      </c>
      <c r="I2169">
        <v>1</v>
      </c>
      <c r="J2169">
        <v>225</v>
      </c>
      <c r="M2169" t="s">
        <v>2287</v>
      </c>
    </row>
    <row r="2170" spans="1:13" ht="15" customHeight="1">
      <c r="A2170" s="10">
        <v>46190</v>
      </c>
      <c r="B2170" t="s">
        <v>1</v>
      </c>
      <c r="C2170" s="135" t="s">
        <v>194</v>
      </c>
      <c r="D2170">
        <v>1</v>
      </c>
      <c r="E2170">
        <v>29</v>
      </c>
      <c r="I2170">
        <v>0</v>
      </c>
      <c r="J2170">
        <v>17</v>
      </c>
      <c r="M2170" t="s">
        <v>2288</v>
      </c>
    </row>
    <row r="2171" spans="1:13" ht="15" customHeight="1">
      <c r="A2171" s="10">
        <v>46190</v>
      </c>
      <c r="B2171" t="s">
        <v>1</v>
      </c>
      <c r="C2171" s="135" t="s">
        <v>196</v>
      </c>
      <c r="D2171">
        <v>1</v>
      </c>
      <c r="E2171">
        <v>98</v>
      </c>
      <c r="I2171">
        <v>0</v>
      </c>
      <c r="J2171">
        <v>467</v>
      </c>
      <c r="M2171" t="s">
        <v>2289</v>
      </c>
    </row>
    <row r="2172" spans="1:13" ht="15" customHeight="1">
      <c r="A2172" s="10">
        <v>46191</v>
      </c>
      <c r="B2172" t="s">
        <v>1</v>
      </c>
      <c r="C2172" t="s">
        <v>23</v>
      </c>
      <c r="D2172">
        <v>2</v>
      </c>
      <c r="E2172">
        <v>1103</v>
      </c>
      <c r="F2172">
        <v>3</v>
      </c>
      <c r="I2172">
        <v>3</v>
      </c>
      <c r="J2172">
        <v>993</v>
      </c>
      <c r="M2172" t="s">
        <v>2290</v>
      </c>
    </row>
    <row r="2173" spans="1:13" ht="15" customHeight="1">
      <c r="A2173" s="10">
        <v>46191</v>
      </c>
      <c r="B2173" t="s">
        <v>1</v>
      </c>
      <c r="C2173" t="s">
        <v>26</v>
      </c>
      <c r="D2173">
        <v>0</v>
      </c>
      <c r="E2173">
        <v>991</v>
      </c>
      <c r="F2173">
        <v>1</v>
      </c>
      <c r="I2173">
        <v>1</v>
      </c>
      <c r="J2173">
        <v>627</v>
      </c>
      <c r="M2173" t="s">
        <v>2291</v>
      </c>
    </row>
    <row r="2174" spans="1:13" ht="15" customHeight="1">
      <c r="A2174" s="10">
        <v>46191</v>
      </c>
      <c r="B2174" t="s">
        <v>1</v>
      </c>
      <c r="C2174" t="s">
        <v>27</v>
      </c>
      <c r="D2174">
        <v>1</v>
      </c>
      <c r="E2174">
        <v>297</v>
      </c>
      <c r="I2174">
        <v>1</v>
      </c>
      <c r="J2174">
        <v>296</v>
      </c>
      <c r="M2174" t="s">
        <v>2292</v>
      </c>
    </row>
    <row r="2175" spans="1:13" ht="15" customHeight="1">
      <c r="A2175" s="10">
        <v>46191</v>
      </c>
      <c r="B2175" t="s">
        <v>1</v>
      </c>
      <c r="C2175" t="s">
        <v>28</v>
      </c>
      <c r="D2175">
        <v>0</v>
      </c>
      <c r="E2175">
        <v>0</v>
      </c>
      <c r="I2175">
        <v>0</v>
      </c>
      <c r="J2175">
        <v>0</v>
      </c>
      <c r="M2175" t="s">
        <v>2293</v>
      </c>
    </row>
    <row r="2176" spans="1:13" ht="15" customHeight="1">
      <c r="A2176" s="10">
        <v>46191</v>
      </c>
      <c r="B2176" t="s">
        <v>1</v>
      </c>
      <c r="C2176" t="s">
        <v>29</v>
      </c>
      <c r="D2176">
        <v>0</v>
      </c>
      <c r="E2176">
        <v>673</v>
      </c>
      <c r="I2176">
        <v>0</v>
      </c>
      <c r="J2176">
        <v>669</v>
      </c>
      <c r="M2176" t="s">
        <v>2294</v>
      </c>
    </row>
    <row r="2177" spans="1:13" ht="15" customHeight="1">
      <c r="A2177" s="10">
        <v>46191</v>
      </c>
      <c r="B2177" t="s">
        <v>1</v>
      </c>
      <c r="C2177" t="s">
        <v>30</v>
      </c>
      <c r="D2177">
        <v>1</v>
      </c>
      <c r="E2177">
        <v>158</v>
      </c>
      <c r="F2177">
        <v>1</v>
      </c>
      <c r="I2177">
        <v>2</v>
      </c>
      <c r="J2177">
        <v>150</v>
      </c>
      <c r="M2177" t="s">
        <v>2295</v>
      </c>
    </row>
    <row r="2178" spans="1:13" ht="15" customHeight="1">
      <c r="A2178" s="10">
        <v>46191</v>
      </c>
      <c r="B2178" t="s">
        <v>1</v>
      </c>
      <c r="C2178" t="s">
        <v>31</v>
      </c>
      <c r="D2178">
        <v>1</v>
      </c>
      <c r="E2178">
        <v>470</v>
      </c>
      <c r="F2178">
        <v>1</v>
      </c>
      <c r="I2178">
        <v>1</v>
      </c>
      <c r="J2178">
        <v>207</v>
      </c>
      <c r="M2178" t="s">
        <v>2296</v>
      </c>
    </row>
    <row r="2179" spans="1:13" ht="15" customHeight="1">
      <c r="A2179" s="10">
        <v>46191</v>
      </c>
      <c r="B2179" t="s">
        <v>1</v>
      </c>
      <c r="C2179" t="s">
        <v>32</v>
      </c>
      <c r="D2179">
        <v>1</v>
      </c>
      <c r="E2179">
        <v>844</v>
      </c>
      <c r="F2179">
        <v>1</v>
      </c>
      <c r="I2179">
        <v>1</v>
      </c>
      <c r="J2179">
        <v>668</v>
      </c>
      <c r="M2179" t="s">
        <v>2297</v>
      </c>
    </row>
    <row r="2180" spans="1:13" ht="15" customHeight="1">
      <c r="A2180" s="10">
        <v>46191</v>
      </c>
      <c r="B2180" t="s">
        <v>1</v>
      </c>
      <c r="C2180" t="s">
        <v>223</v>
      </c>
      <c r="D2180">
        <v>4</v>
      </c>
      <c r="E2180">
        <v>912</v>
      </c>
      <c r="F2180">
        <v>2</v>
      </c>
      <c r="I2180">
        <v>6</v>
      </c>
      <c r="J2180">
        <v>0</v>
      </c>
      <c r="M2180" t="s">
        <v>2298</v>
      </c>
    </row>
    <row r="2181" spans="1:13" ht="15" customHeight="1">
      <c r="A2181" s="10">
        <v>46191</v>
      </c>
      <c r="B2181" t="s">
        <v>1</v>
      </c>
      <c r="C2181" t="s">
        <v>35</v>
      </c>
      <c r="D2181">
        <v>1</v>
      </c>
      <c r="E2181">
        <v>0</v>
      </c>
      <c r="H2181">
        <v>1</v>
      </c>
      <c r="I2181">
        <v>0</v>
      </c>
      <c r="M2181" t="s">
        <v>2299</v>
      </c>
    </row>
    <row r="2182" spans="1:13" ht="15" customHeight="1">
      <c r="A2182" s="10">
        <v>46191</v>
      </c>
      <c r="B2182" t="s">
        <v>1</v>
      </c>
      <c r="C2182" t="s">
        <v>37</v>
      </c>
      <c r="D2182">
        <v>1</v>
      </c>
      <c r="E2182">
        <v>0</v>
      </c>
      <c r="H2182">
        <v>1</v>
      </c>
      <c r="I2182">
        <v>0</v>
      </c>
      <c r="M2182" t="s">
        <v>2300</v>
      </c>
    </row>
    <row r="2183" spans="1:13" ht="15" customHeight="1">
      <c r="A2183" s="10">
        <v>46191</v>
      </c>
      <c r="B2183" t="s">
        <v>1</v>
      </c>
      <c r="C2183" t="s">
        <v>39</v>
      </c>
      <c r="D2183">
        <v>14</v>
      </c>
      <c r="E2183">
        <v>0</v>
      </c>
      <c r="I2183">
        <v>14</v>
      </c>
      <c r="J2183">
        <v>0</v>
      </c>
      <c r="M2183" t="s">
        <v>2301</v>
      </c>
    </row>
    <row r="2184" spans="1:13" ht="15" customHeight="1">
      <c r="A2184" s="10">
        <v>46191</v>
      </c>
      <c r="B2184" t="s">
        <v>1</v>
      </c>
      <c r="C2184" t="s">
        <v>41</v>
      </c>
      <c r="D2184">
        <v>10</v>
      </c>
      <c r="E2184">
        <v>0</v>
      </c>
      <c r="I2184">
        <v>10</v>
      </c>
      <c r="J2184">
        <v>0</v>
      </c>
      <c r="M2184" t="s">
        <v>2302</v>
      </c>
    </row>
    <row r="2185" spans="1:13" ht="15" customHeight="1">
      <c r="A2185" s="10">
        <v>46191</v>
      </c>
      <c r="B2185" t="s">
        <v>1</v>
      </c>
      <c r="C2185" t="s">
        <v>232</v>
      </c>
      <c r="D2185">
        <v>0</v>
      </c>
      <c r="E2185">
        <v>0</v>
      </c>
      <c r="I2185">
        <v>0</v>
      </c>
      <c r="J2185">
        <v>0</v>
      </c>
      <c r="M2185" t="s">
        <v>2303</v>
      </c>
    </row>
    <row r="2186" spans="1:13" ht="15" customHeight="1">
      <c r="A2186" s="10">
        <v>46191</v>
      </c>
      <c r="B2186" t="s">
        <v>1</v>
      </c>
      <c r="C2186" t="s">
        <v>234</v>
      </c>
      <c r="D2186">
        <v>64</v>
      </c>
      <c r="E2186">
        <v>0</v>
      </c>
      <c r="H2186">
        <v>8</v>
      </c>
      <c r="I2186">
        <v>56</v>
      </c>
      <c r="J2186">
        <v>0</v>
      </c>
      <c r="M2186" t="s">
        <v>2304</v>
      </c>
    </row>
    <row r="2187" spans="1:13" ht="15" customHeight="1">
      <c r="A2187" s="10">
        <v>46191</v>
      </c>
      <c r="B2187" t="s">
        <v>1</v>
      </c>
      <c r="C2187" t="s">
        <v>237</v>
      </c>
      <c r="D2187">
        <v>9</v>
      </c>
      <c r="E2187">
        <v>0</v>
      </c>
      <c r="I2187">
        <v>9</v>
      </c>
      <c r="J2187">
        <v>0</v>
      </c>
      <c r="M2187" t="s">
        <v>2305</v>
      </c>
    </row>
    <row r="2188" spans="1:13" ht="15" customHeight="1">
      <c r="A2188" s="10">
        <v>46191</v>
      </c>
      <c r="B2188" t="s">
        <v>1</v>
      </c>
      <c r="C2188" s="135" t="s">
        <v>58</v>
      </c>
      <c r="D2188">
        <v>6</v>
      </c>
      <c r="E2188">
        <v>0</v>
      </c>
      <c r="H2188">
        <v>2</v>
      </c>
      <c r="I2188">
        <v>4</v>
      </c>
      <c r="J2188">
        <v>0</v>
      </c>
      <c r="M2188" t="s">
        <v>2306</v>
      </c>
    </row>
    <row r="2189" spans="1:13" ht="15" customHeight="1">
      <c r="A2189" s="10">
        <v>46191</v>
      </c>
      <c r="B2189" t="s">
        <v>1</v>
      </c>
      <c r="C2189" s="135" t="s">
        <v>60</v>
      </c>
      <c r="D2189">
        <v>1</v>
      </c>
      <c r="E2189">
        <v>0</v>
      </c>
      <c r="H2189">
        <v>1</v>
      </c>
      <c r="I2189">
        <v>0</v>
      </c>
      <c r="J2189">
        <v>0</v>
      </c>
      <c r="M2189" t="s">
        <v>2307</v>
      </c>
    </row>
    <row r="2190" spans="1:13" ht="15" customHeight="1">
      <c r="A2190" s="10">
        <v>46191</v>
      </c>
      <c r="B2190" t="s">
        <v>1</v>
      </c>
      <c r="C2190" s="135" t="s">
        <v>61</v>
      </c>
      <c r="D2190">
        <v>1</v>
      </c>
      <c r="E2190">
        <v>0</v>
      </c>
      <c r="H2190">
        <v>6</v>
      </c>
      <c r="I2190">
        <v>5</v>
      </c>
      <c r="J2190">
        <v>0</v>
      </c>
      <c r="M2190" t="s">
        <v>2308</v>
      </c>
    </row>
    <row r="2191" spans="1:13" ht="15" customHeight="1">
      <c r="A2191" s="10">
        <v>46191</v>
      </c>
      <c r="B2191" t="s">
        <v>1</v>
      </c>
      <c r="C2191" s="135" t="s">
        <v>62</v>
      </c>
      <c r="D2191">
        <v>6</v>
      </c>
      <c r="E2191">
        <v>0</v>
      </c>
      <c r="H2191">
        <v>2</v>
      </c>
      <c r="I2191">
        <v>4</v>
      </c>
      <c r="J2191">
        <v>0</v>
      </c>
      <c r="M2191" t="s">
        <v>2309</v>
      </c>
    </row>
    <row r="2192" spans="1:13" ht="15" customHeight="1">
      <c r="A2192" s="10">
        <v>46191</v>
      </c>
      <c r="B2192" t="s">
        <v>1</v>
      </c>
      <c r="C2192" s="135" t="s">
        <v>63</v>
      </c>
      <c r="D2192">
        <v>4</v>
      </c>
      <c r="E2192">
        <v>0</v>
      </c>
      <c r="H2192">
        <v>1</v>
      </c>
      <c r="I2192">
        <v>3</v>
      </c>
      <c r="J2192">
        <v>0</v>
      </c>
      <c r="M2192" t="s">
        <v>2310</v>
      </c>
    </row>
    <row r="2193" spans="1:13" ht="15" customHeight="1">
      <c r="A2193" s="10">
        <v>46191</v>
      </c>
      <c r="B2193" t="s">
        <v>1</v>
      </c>
      <c r="C2193" s="135" t="s">
        <v>64</v>
      </c>
      <c r="D2193">
        <v>4</v>
      </c>
      <c r="E2193">
        <v>0</v>
      </c>
      <c r="I2193">
        <v>4</v>
      </c>
      <c r="J2193">
        <v>0</v>
      </c>
      <c r="M2193" t="s">
        <v>2311</v>
      </c>
    </row>
    <row r="2194" spans="1:13" ht="15" customHeight="1">
      <c r="A2194" s="10">
        <v>46191</v>
      </c>
      <c r="B2194" t="s">
        <v>1</v>
      </c>
      <c r="C2194" t="s">
        <v>66</v>
      </c>
      <c r="D2194">
        <v>4</v>
      </c>
      <c r="E2194">
        <v>0</v>
      </c>
      <c r="I2194">
        <v>4</v>
      </c>
      <c r="J2194">
        <v>0</v>
      </c>
      <c r="M2194" t="s">
        <v>2312</v>
      </c>
    </row>
    <row r="2195" spans="1:13" ht="15" customHeight="1">
      <c r="A2195" s="10">
        <v>46191</v>
      </c>
      <c r="B2195" t="s">
        <v>1</v>
      </c>
      <c r="C2195" t="s">
        <v>67</v>
      </c>
      <c r="D2195">
        <v>2</v>
      </c>
      <c r="E2195">
        <v>0</v>
      </c>
      <c r="F2195">
        <v>3</v>
      </c>
      <c r="I2195">
        <v>5</v>
      </c>
      <c r="J2195">
        <v>0</v>
      </c>
      <c r="M2195" t="s">
        <v>2313</v>
      </c>
    </row>
    <row r="2196" spans="1:13" ht="15" customHeight="1">
      <c r="A2196" s="10">
        <v>46191</v>
      </c>
      <c r="B2196" t="s">
        <v>1</v>
      </c>
      <c r="C2196" t="s">
        <v>68</v>
      </c>
      <c r="D2196">
        <v>0</v>
      </c>
      <c r="E2196">
        <v>0</v>
      </c>
      <c r="I2196">
        <v>0</v>
      </c>
      <c r="J2196">
        <v>0</v>
      </c>
      <c r="M2196" t="s">
        <v>2314</v>
      </c>
    </row>
    <row r="2197" spans="1:13" ht="15" customHeight="1">
      <c r="A2197" s="10">
        <v>46191</v>
      </c>
      <c r="B2197" t="s">
        <v>1</v>
      </c>
      <c r="C2197" t="s">
        <v>71</v>
      </c>
      <c r="D2197">
        <v>1</v>
      </c>
      <c r="E2197">
        <v>724</v>
      </c>
      <c r="I2197">
        <v>1</v>
      </c>
      <c r="J2197">
        <v>668</v>
      </c>
      <c r="M2197" t="s">
        <v>2315</v>
      </c>
    </row>
    <row r="2198" spans="1:13" ht="15" customHeight="1">
      <c r="A2198" s="10">
        <v>46191</v>
      </c>
      <c r="B2198" t="s">
        <v>1</v>
      </c>
      <c r="C2198" t="s">
        <v>73</v>
      </c>
      <c r="D2198">
        <v>2</v>
      </c>
      <c r="E2198">
        <v>126</v>
      </c>
      <c r="F2198">
        <v>1</v>
      </c>
      <c r="I2198">
        <v>3</v>
      </c>
      <c r="J2198">
        <v>126</v>
      </c>
      <c r="M2198" t="s">
        <v>2316</v>
      </c>
    </row>
    <row r="2199" spans="1:13" ht="15" customHeight="1">
      <c r="A2199" s="10">
        <v>46191</v>
      </c>
      <c r="B2199" t="s">
        <v>1</v>
      </c>
      <c r="C2199" t="s">
        <v>75</v>
      </c>
      <c r="D2199">
        <v>0</v>
      </c>
      <c r="E2199">
        <v>288</v>
      </c>
      <c r="I2199">
        <v>0</v>
      </c>
      <c r="J2199">
        <v>288</v>
      </c>
      <c r="M2199" t="s">
        <v>2317</v>
      </c>
    </row>
    <row r="2200" spans="1:13" ht="15" customHeight="1">
      <c r="A2200" s="10">
        <v>46191</v>
      </c>
      <c r="B2200" t="s">
        <v>1</v>
      </c>
      <c r="C2200" t="s">
        <v>77</v>
      </c>
      <c r="D2200">
        <v>0</v>
      </c>
      <c r="E2200">
        <v>890</v>
      </c>
      <c r="I2200">
        <v>0</v>
      </c>
      <c r="J2200">
        <v>890</v>
      </c>
      <c r="M2200" t="s">
        <v>2318</v>
      </c>
    </row>
    <row r="2201" spans="1:13" ht="15" customHeight="1">
      <c r="A2201" s="10">
        <v>46191</v>
      </c>
      <c r="B2201" t="s">
        <v>1</v>
      </c>
      <c r="C2201" t="s">
        <v>79</v>
      </c>
      <c r="D2201">
        <v>0</v>
      </c>
      <c r="E2201">
        <v>1431</v>
      </c>
      <c r="F2201">
        <v>1</v>
      </c>
      <c r="I2201">
        <v>1</v>
      </c>
      <c r="J2201">
        <v>1166</v>
      </c>
      <c r="M2201" t="s">
        <v>2319</v>
      </c>
    </row>
    <row r="2202" spans="1:13" ht="15" customHeight="1">
      <c r="A2202" s="10">
        <v>46191</v>
      </c>
      <c r="B2202" t="s">
        <v>1</v>
      </c>
      <c r="C2202" t="s">
        <v>81</v>
      </c>
      <c r="D2202">
        <v>0</v>
      </c>
      <c r="E2202">
        <v>312</v>
      </c>
      <c r="I2202">
        <v>0</v>
      </c>
      <c r="J2202">
        <v>294</v>
      </c>
      <c r="M2202" t="s">
        <v>2320</v>
      </c>
    </row>
    <row r="2203" spans="1:13" ht="15" customHeight="1">
      <c r="A2203" s="10">
        <v>46191</v>
      </c>
      <c r="B2203" t="s">
        <v>1</v>
      </c>
      <c r="C2203" t="s">
        <v>83</v>
      </c>
      <c r="D2203">
        <v>1</v>
      </c>
      <c r="E2203">
        <v>314</v>
      </c>
      <c r="I2203">
        <v>1</v>
      </c>
      <c r="J2203">
        <v>279</v>
      </c>
      <c r="M2203" t="s">
        <v>2321</v>
      </c>
    </row>
    <row r="2204" spans="1:13" ht="15" customHeight="1">
      <c r="A2204" s="10">
        <v>46191</v>
      </c>
      <c r="B2204" t="s">
        <v>1</v>
      </c>
      <c r="C2204" t="s">
        <v>84</v>
      </c>
      <c r="D2204">
        <v>1</v>
      </c>
      <c r="E2204">
        <v>368</v>
      </c>
      <c r="I2204">
        <v>1</v>
      </c>
      <c r="J2204">
        <v>353</v>
      </c>
      <c r="M2204" t="s">
        <v>2322</v>
      </c>
    </row>
    <row r="2205" spans="1:13" ht="15" customHeight="1">
      <c r="A2205" s="10">
        <v>46191</v>
      </c>
      <c r="B2205" t="s">
        <v>1</v>
      </c>
      <c r="C2205" t="s">
        <v>85</v>
      </c>
      <c r="D2205">
        <v>0</v>
      </c>
      <c r="E2205">
        <v>150</v>
      </c>
      <c r="I2205">
        <v>0</v>
      </c>
      <c r="J2205">
        <v>150</v>
      </c>
      <c r="M2205" t="s">
        <v>2323</v>
      </c>
    </row>
    <row r="2206" spans="1:13" ht="15" customHeight="1">
      <c r="A2206" s="10">
        <v>46191</v>
      </c>
      <c r="B2206" t="s">
        <v>1</v>
      </c>
      <c r="C2206" t="s">
        <v>87</v>
      </c>
      <c r="D2206">
        <v>2</v>
      </c>
      <c r="E2206">
        <v>148</v>
      </c>
      <c r="I2206">
        <v>2</v>
      </c>
      <c r="J2206">
        <v>140</v>
      </c>
      <c r="M2206" t="s">
        <v>2324</v>
      </c>
    </row>
    <row r="2207" spans="1:13" ht="15" customHeight="1">
      <c r="A2207" s="10">
        <v>46191</v>
      </c>
      <c r="B2207" t="s">
        <v>1</v>
      </c>
      <c r="C2207" t="s">
        <v>88</v>
      </c>
      <c r="D2207">
        <v>1</v>
      </c>
      <c r="E2207">
        <v>259</v>
      </c>
      <c r="I2207">
        <v>1</v>
      </c>
      <c r="J2207">
        <v>257</v>
      </c>
      <c r="M2207" t="s">
        <v>2325</v>
      </c>
    </row>
    <row r="2208" spans="1:13" ht="15" customHeight="1">
      <c r="A2208" s="10">
        <v>46191</v>
      </c>
      <c r="B2208" t="s">
        <v>1</v>
      </c>
      <c r="C2208" t="s">
        <v>89</v>
      </c>
      <c r="D2208">
        <v>1</v>
      </c>
      <c r="E2208">
        <v>336</v>
      </c>
      <c r="I2208">
        <v>1</v>
      </c>
      <c r="J2208">
        <v>334</v>
      </c>
      <c r="M2208" t="s">
        <v>2326</v>
      </c>
    </row>
    <row r="2209" spans="1:13" ht="15" customHeight="1">
      <c r="A2209" s="10">
        <v>46191</v>
      </c>
      <c r="B2209" t="s">
        <v>1</v>
      </c>
      <c r="C2209" t="s">
        <v>90</v>
      </c>
      <c r="D2209">
        <v>1</v>
      </c>
      <c r="E2209">
        <v>830</v>
      </c>
      <c r="I2209">
        <v>1</v>
      </c>
      <c r="J2209">
        <v>830</v>
      </c>
      <c r="M2209" t="s">
        <v>2327</v>
      </c>
    </row>
    <row r="2210" spans="1:13" ht="15" customHeight="1">
      <c r="A2210" s="10">
        <v>46191</v>
      </c>
      <c r="B2210" t="s">
        <v>1</v>
      </c>
      <c r="C2210" t="s">
        <v>92</v>
      </c>
      <c r="D2210">
        <v>1</v>
      </c>
      <c r="E2210">
        <v>661</v>
      </c>
      <c r="I2210">
        <v>1</v>
      </c>
      <c r="J2210">
        <v>761</v>
      </c>
      <c r="M2210" t="s">
        <v>2328</v>
      </c>
    </row>
    <row r="2211" spans="1:13" ht="15" customHeight="1">
      <c r="A2211" s="10">
        <v>46191</v>
      </c>
      <c r="B2211" t="s">
        <v>1</v>
      </c>
      <c r="C2211" t="s">
        <v>94</v>
      </c>
      <c r="D2211">
        <v>2</v>
      </c>
      <c r="E2211">
        <v>197</v>
      </c>
      <c r="F2211">
        <v>2</v>
      </c>
      <c r="I2211">
        <v>3</v>
      </c>
      <c r="J2211">
        <v>167</v>
      </c>
      <c r="M2211" t="s">
        <v>2329</v>
      </c>
    </row>
    <row r="2212" spans="1:13" ht="15" customHeight="1">
      <c r="A2212" s="10">
        <v>46191</v>
      </c>
      <c r="B2212" t="s">
        <v>1</v>
      </c>
      <c r="C2212" t="s">
        <v>96</v>
      </c>
      <c r="D2212">
        <v>0</v>
      </c>
      <c r="E2212">
        <v>0</v>
      </c>
      <c r="I2212">
        <v>0</v>
      </c>
      <c r="J2212">
        <v>0</v>
      </c>
      <c r="M2212" t="s">
        <v>2330</v>
      </c>
    </row>
    <row r="2213" spans="1:13" ht="15" customHeight="1">
      <c r="A2213" s="10">
        <v>46191</v>
      </c>
      <c r="B2213" t="s">
        <v>1</v>
      </c>
      <c r="C2213" t="s">
        <v>98</v>
      </c>
      <c r="D2213">
        <v>3</v>
      </c>
      <c r="E2213">
        <v>0</v>
      </c>
      <c r="I2213">
        <v>3</v>
      </c>
      <c r="J2213">
        <v>0</v>
      </c>
      <c r="M2213" t="s">
        <v>2331</v>
      </c>
    </row>
    <row r="2214" spans="1:13" ht="15" customHeight="1">
      <c r="A2214" s="10">
        <v>46191</v>
      </c>
      <c r="B2214" t="s">
        <v>1</v>
      </c>
      <c r="C2214" t="s">
        <v>203</v>
      </c>
      <c r="D2214">
        <v>2</v>
      </c>
      <c r="E2214">
        <v>43</v>
      </c>
      <c r="I2214">
        <v>0</v>
      </c>
      <c r="J2214">
        <v>0</v>
      </c>
      <c r="M2214" t="s">
        <v>2332</v>
      </c>
    </row>
    <row r="2215" spans="1:13" ht="15" customHeight="1">
      <c r="A2215" s="10">
        <v>46191</v>
      </c>
      <c r="B2215" t="s">
        <v>1</v>
      </c>
      <c r="C2215" t="s">
        <v>100</v>
      </c>
      <c r="D2215">
        <v>0</v>
      </c>
      <c r="E2215">
        <v>0</v>
      </c>
      <c r="I2215">
        <v>1</v>
      </c>
      <c r="J2215">
        <v>160</v>
      </c>
      <c r="K2215">
        <v>43</v>
      </c>
      <c r="M2215" t="s">
        <v>2333</v>
      </c>
    </row>
    <row r="2216" spans="1:13" ht="15" customHeight="1">
      <c r="A2216" s="10">
        <v>46191</v>
      </c>
      <c r="B2216" t="s">
        <v>1</v>
      </c>
      <c r="C2216" t="s">
        <v>101</v>
      </c>
      <c r="D2216">
        <v>0</v>
      </c>
      <c r="E2216">
        <v>196</v>
      </c>
      <c r="I2216">
        <v>0</v>
      </c>
      <c r="J2216">
        <v>0</v>
      </c>
      <c r="M2216" t="s">
        <v>2334</v>
      </c>
    </row>
    <row r="2217" spans="1:13" ht="15" customHeight="1">
      <c r="A2217" s="10">
        <v>46191</v>
      </c>
      <c r="B2217" t="s">
        <v>1</v>
      </c>
      <c r="C2217" t="s">
        <v>103</v>
      </c>
      <c r="D2217">
        <v>0</v>
      </c>
      <c r="E2217">
        <v>4</v>
      </c>
      <c r="I2217">
        <v>0</v>
      </c>
      <c r="J2217">
        <v>0</v>
      </c>
      <c r="M2217" t="s">
        <v>2335</v>
      </c>
    </row>
    <row r="2218" spans="1:13" ht="15" customHeight="1">
      <c r="A2218" s="10">
        <v>46191</v>
      </c>
      <c r="B2218" t="s">
        <v>1</v>
      </c>
      <c r="C2218" t="s">
        <v>106</v>
      </c>
      <c r="D2218">
        <v>1</v>
      </c>
      <c r="E2218">
        <v>754</v>
      </c>
      <c r="I2218">
        <v>1</v>
      </c>
      <c r="J2218">
        <v>680</v>
      </c>
      <c r="M2218" t="s">
        <v>2336</v>
      </c>
    </row>
    <row r="2219" spans="1:13" ht="15" customHeight="1">
      <c r="A2219" s="10">
        <v>46191</v>
      </c>
      <c r="B2219" t="s">
        <v>1</v>
      </c>
      <c r="C2219" t="s">
        <v>108</v>
      </c>
      <c r="D2219">
        <v>0</v>
      </c>
      <c r="E2219">
        <v>748</v>
      </c>
      <c r="F2219">
        <v>1</v>
      </c>
      <c r="I2219">
        <v>1</v>
      </c>
      <c r="J2219">
        <v>574</v>
      </c>
      <c r="M2219" t="s">
        <v>2337</v>
      </c>
    </row>
    <row r="2220" spans="1:13" ht="15" customHeight="1">
      <c r="A2220" s="10">
        <v>46191</v>
      </c>
      <c r="B2220" t="s">
        <v>1</v>
      </c>
      <c r="C2220" t="s">
        <v>109</v>
      </c>
      <c r="D2220">
        <v>1</v>
      </c>
      <c r="E2220">
        <v>1150</v>
      </c>
      <c r="I2220">
        <v>1</v>
      </c>
      <c r="J2220">
        <v>1010</v>
      </c>
      <c r="M2220" t="s">
        <v>2338</v>
      </c>
    </row>
    <row r="2221" spans="1:13" ht="15" customHeight="1">
      <c r="A2221" s="10">
        <v>46191</v>
      </c>
      <c r="B2221" t="s">
        <v>1</v>
      </c>
      <c r="C2221" t="s">
        <v>112</v>
      </c>
      <c r="D2221">
        <v>1</v>
      </c>
      <c r="E2221">
        <v>41</v>
      </c>
      <c r="I2221">
        <v>1</v>
      </c>
      <c r="J2221">
        <v>40</v>
      </c>
      <c r="M2221" t="s">
        <v>2339</v>
      </c>
    </row>
    <row r="2222" spans="1:13" ht="15" customHeight="1">
      <c r="A2222" s="10">
        <v>46191</v>
      </c>
      <c r="B2222" t="s">
        <v>1</v>
      </c>
      <c r="C2222" t="s">
        <v>114</v>
      </c>
      <c r="D2222">
        <v>1</v>
      </c>
      <c r="E2222">
        <v>29</v>
      </c>
      <c r="I2222">
        <v>1</v>
      </c>
      <c r="J2222">
        <v>23</v>
      </c>
      <c r="M2222" t="s">
        <v>2340</v>
      </c>
    </row>
    <row r="2223" spans="1:13" ht="15" customHeight="1">
      <c r="A2223" s="10">
        <v>46191</v>
      </c>
      <c r="B2223" t="s">
        <v>1</v>
      </c>
      <c r="C2223" t="s">
        <v>115</v>
      </c>
      <c r="D2223">
        <v>1</v>
      </c>
      <c r="E2223">
        <v>23</v>
      </c>
      <c r="I2223">
        <v>1</v>
      </c>
      <c r="J2223">
        <v>11</v>
      </c>
      <c r="M2223" t="s">
        <v>2341</v>
      </c>
    </row>
    <row r="2224" spans="1:13" ht="15" customHeight="1">
      <c r="A2224" s="10">
        <v>46191</v>
      </c>
      <c r="B2224" t="s">
        <v>1</v>
      </c>
      <c r="C2224" t="s">
        <v>116</v>
      </c>
      <c r="D2224">
        <v>1</v>
      </c>
      <c r="E2224">
        <v>26</v>
      </c>
      <c r="I2224">
        <v>1</v>
      </c>
      <c r="J2224">
        <v>15</v>
      </c>
      <c r="M2224" t="s">
        <v>2342</v>
      </c>
    </row>
    <row r="2225" spans="1:13" ht="15" customHeight="1">
      <c r="A2225" s="10">
        <v>46191</v>
      </c>
      <c r="B2225" t="s">
        <v>1</v>
      </c>
      <c r="C2225" t="s">
        <v>119</v>
      </c>
      <c r="D2225">
        <v>2</v>
      </c>
      <c r="E2225">
        <v>0</v>
      </c>
      <c r="I2225">
        <v>2</v>
      </c>
      <c r="M2225" t="s">
        <v>2343</v>
      </c>
    </row>
    <row r="2226" spans="1:13" ht="15" customHeight="1">
      <c r="A2226" s="10">
        <v>46191</v>
      </c>
      <c r="B2226" t="s">
        <v>1</v>
      </c>
      <c r="C2226" t="s">
        <v>120</v>
      </c>
      <c r="D2226">
        <v>1</v>
      </c>
      <c r="E2226">
        <v>0</v>
      </c>
      <c r="F2226">
        <v>1</v>
      </c>
      <c r="I2226">
        <v>2</v>
      </c>
      <c r="M2226" t="s">
        <v>2344</v>
      </c>
    </row>
    <row r="2227" spans="1:13" ht="15" customHeight="1">
      <c r="A2227" s="10">
        <v>46191</v>
      </c>
      <c r="B2227" t="s">
        <v>1</v>
      </c>
      <c r="C2227" t="s">
        <v>121</v>
      </c>
      <c r="D2227">
        <v>2</v>
      </c>
      <c r="E2227">
        <v>0</v>
      </c>
      <c r="I2227">
        <v>1</v>
      </c>
      <c r="M2227" t="s">
        <v>2345</v>
      </c>
    </row>
    <row r="2228" spans="1:13" ht="15" customHeight="1">
      <c r="A2228" s="10">
        <v>46191</v>
      </c>
      <c r="B2228" t="s">
        <v>1</v>
      </c>
      <c r="C2228" t="s">
        <v>123</v>
      </c>
      <c r="D2228">
        <v>2</v>
      </c>
      <c r="E2228">
        <v>0</v>
      </c>
      <c r="I2228">
        <v>2</v>
      </c>
      <c r="M2228" t="s">
        <v>2346</v>
      </c>
    </row>
    <row r="2229" spans="1:13" ht="15" customHeight="1">
      <c r="A2229" s="10">
        <v>46191</v>
      </c>
      <c r="B2229" t="s">
        <v>1</v>
      </c>
      <c r="C2229" t="s">
        <v>124</v>
      </c>
      <c r="D2229">
        <v>1</v>
      </c>
      <c r="E2229">
        <v>0</v>
      </c>
      <c r="I2229">
        <v>1</v>
      </c>
      <c r="M2229" t="s">
        <v>2347</v>
      </c>
    </row>
    <row r="2230" spans="1:13" ht="15" customHeight="1">
      <c r="A2230" s="10">
        <v>46191</v>
      </c>
      <c r="B2230" t="s">
        <v>1</v>
      </c>
      <c r="C2230" t="s">
        <v>125</v>
      </c>
      <c r="D2230">
        <v>2</v>
      </c>
      <c r="E2230">
        <v>0</v>
      </c>
      <c r="I2230">
        <v>2</v>
      </c>
      <c r="M2230" t="s">
        <v>2348</v>
      </c>
    </row>
    <row r="2231" spans="1:13" ht="15" customHeight="1">
      <c r="A2231" s="10">
        <v>46191</v>
      </c>
      <c r="B2231" t="s">
        <v>1</v>
      </c>
      <c r="C2231" t="s">
        <v>126</v>
      </c>
      <c r="D2231">
        <v>2</v>
      </c>
      <c r="E2231">
        <v>0</v>
      </c>
      <c r="I2231">
        <v>2</v>
      </c>
      <c r="M2231" t="s">
        <v>2349</v>
      </c>
    </row>
    <row r="2232" spans="1:13" ht="15" customHeight="1">
      <c r="A2232" s="10">
        <v>46191</v>
      </c>
      <c r="B2232" t="s">
        <v>1</v>
      </c>
      <c r="C2232" t="s">
        <v>128</v>
      </c>
      <c r="D2232">
        <v>4</v>
      </c>
      <c r="E2232">
        <v>0</v>
      </c>
      <c r="I2232">
        <v>4</v>
      </c>
      <c r="M2232" t="s">
        <v>2350</v>
      </c>
    </row>
    <row r="2233" spans="1:13" ht="15" customHeight="1">
      <c r="A2233" s="10">
        <v>46191</v>
      </c>
      <c r="B2233" t="s">
        <v>1</v>
      </c>
      <c r="C2233" t="s">
        <v>130</v>
      </c>
      <c r="D2233">
        <v>4</v>
      </c>
      <c r="E2233">
        <v>0</v>
      </c>
      <c r="I2233">
        <v>4</v>
      </c>
      <c r="M2233" t="s">
        <v>2351</v>
      </c>
    </row>
    <row r="2234" spans="1:13" ht="15" customHeight="1">
      <c r="A2234" s="10">
        <v>46191</v>
      </c>
      <c r="B2234" t="s">
        <v>1</v>
      </c>
      <c r="C2234" t="s">
        <v>285</v>
      </c>
      <c r="D2234">
        <v>1</v>
      </c>
      <c r="E2234">
        <v>0</v>
      </c>
      <c r="I2234">
        <v>1</v>
      </c>
      <c r="M2234" t="s">
        <v>2352</v>
      </c>
    </row>
    <row r="2235" spans="1:13" ht="15" customHeight="1">
      <c r="A2235" s="10">
        <v>46191</v>
      </c>
      <c r="B2235" t="s">
        <v>1</v>
      </c>
      <c r="C2235" t="s">
        <v>287</v>
      </c>
      <c r="D2235">
        <v>2</v>
      </c>
      <c r="E2235">
        <v>0</v>
      </c>
      <c r="I2235">
        <v>2</v>
      </c>
      <c r="M2235" t="s">
        <v>2353</v>
      </c>
    </row>
    <row r="2236" spans="1:13" ht="15" customHeight="1">
      <c r="A2236" s="10">
        <v>46191</v>
      </c>
      <c r="B2236" t="s">
        <v>1</v>
      </c>
      <c r="C2236" t="s">
        <v>289</v>
      </c>
      <c r="D2236">
        <v>2</v>
      </c>
      <c r="E2236">
        <v>0</v>
      </c>
      <c r="I2236">
        <v>1</v>
      </c>
      <c r="M2236" t="s">
        <v>2354</v>
      </c>
    </row>
    <row r="2237" spans="1:13" ht="15" customHeight="1">
      <c r="A2237" s="10">
        <v>46191</v>
      </c>
      <c r="B2237" t="s">
        <v>1</v>
      </c>
      <c r="C2237" t="s">
        <v>291</v>
      </c>
      <c r="D2237">
        <v>2</v>
      </c>
      <c r="E2237">
        <v>0</v>
      </c>
      <c r="I2237">
        <v>2</v>
      </c>
      <c r="M2237" t="s">
        <v>2355</v>
      </c>
    </row>
    <row r="2238" spans="1:13" ht="15" customHeight="1">
      <c r="A2238" s="10">
        <v>46191</v>
      </c>
      <c r="B2238" t="s">
        <v>1</v>
      </c>
      <c r="C2238" t="s">
        <v>293</v>
      </c>
      <c r="D2238">
        <v>4</v>
      </c>
      <c r="E2238">
        <v>0</v>
      </c>
      <c r="I2238">
        <v>5</v>
      </c>
      <c r="M2238" t="s">
        <v>2356</v>
      </c>
    </row>
    <row r="2239" spans="1:13" ht="15" customHeight="1">
      <c r="A2239" s="10">
        <v>46191</v>
      </c>
      <c r="B2239" t="s">
        <v>1</v>
      </c>
      <c r="C2239" s="135" t="s">
        <v>138</v>
      </c>
      <c r="D2239">
        <v>0</v>
      </c>
      <c r="E2239">
        <v>35</v>
      </c>
      <c r="I2239">
        <v>0</v>
      </c>
      <c r="J2239">
        <v>33</v>
      </c>
      <c r="M2239" t="s">
        <v>2357</v>
      </c>
    </row>
    <row r="2240" spans="1:13" ht="15" customHeight="1">
      <c r="A2240" s="10">
        <v>46191</v>
      </c>
      <c r="B2240" t="s">
        <v>1</v>
      </c>
      <c r="C2240" s="135" t="s">
        <v>139</v>
      </c>
      <c r="D2240">
        <v>0</v>
      </c>
      <c r="E2240">
        <v>31</v>
      </c>
      <c r="I2240">
        <v>0</v>
      </c>
      <c r="J2240">
        <v>26</v>
      </c>
      <c r="M2240" t="s">
        <v>2358</v>
      </c>
    </row>
    <row r="2241" spans="1:13" ht="15" customHeight="1">
      <c r="A2241" s="10">
        <v>46191</v>
      </c>
      <c r="B2241" t="s">
        <v>1</v>
      </c>
      <c r="C2241" s="135" t="s">
        <v>140</v>
      </c>
      <c r="D2241">
        <v>0</v>
      </c>
      <c r="E2241">
        <v>11</v>
      </c>
      <c r="I2241">
        <v>0</v>
      </c>
      <c r="J2241">
        <v>17</v>
      </c>
      <c r="M2241" t="s">
        <v>2359</v>
      </c>
    </row>
    <row r="2242" spans="1:13" ht="15" customHeight="1">
      <c r="A2242" s="10">
        <v>46191</v>
      </c>
      <c r="B2242" t="s">
        <v>1</v>
      </c>
      <c r="C2242" s="135" t="s">
        <v>143</v>
      </c>
      <c r="D2242">
        <v>0</v>
      </c>
      <c r="E2242">
        <v>54</v>
      </c>
      <c r="I2242">
        <v>0</v>
      </c>
      <c r="J2242">
        <v>69</v>
      </c>
      <c r="M2242" t="s">
        <v>2360</v>
      </c>
    </row>
    <row r="2243" spans="1:13" ht="15" customHeight="1">
      <c r="A2243" s="10">
        <v>46191</v>
      </c>
      <c r="B2243" t="s">
        <v>1</v>
      </c>
      <c r="C2243" s="135" t="s">
        <v>145</v>
      </c>
      <c r="D2243">
        <v>0</v>
      </c>
      <c r="E2243">
        <v>35</v>
      </c>
      <c r="I2243">
        <v>0</v>
      </c>
      <c r="J2243">
        <v>54</v>
      </c>
      <c r="M2243" t="s">
        <v>2361</v>
      </c>
    </row>
    <row r="2244" spans="1:13" ht="15" customHeight="1">
      <c r="A2244" s="10">
        <v>46191</v>
      </c>
      <c r="B2244" t="s">
        <v>1</v>
      </c>
      <c r="C2244" s="135" t="s">
        <v>147</v>
      </c>
      <c r="D2244">
        <v>0</v>
      </c>
      <c r="E2244">
        <v>32</v>
      </c>
      <c r="I2244">
        <v>0</v>
      </c>
      <c r="J2244">
        <v>30</v>
      </c>
      <c r="M2244" t="s">
        <v>2362</v>
      </c>
    </row>
    <row r="2245" spans="1:13" ht="15" customHeight="1">
      <c r="A2245" s="10">
        <v>46191</v>
      </c>
      <c r="B2245" t="s">
        <v>1</v>
      </c>
      <c r="C2245" t="s">
        <v>302</v>
      </c>
      <c r="D2245">
        <v>2</v>
      </c>
      <c r="E2245">
        <v>0</v>
      </c>
      <c r="I2245">
        <v>2</v>
      </c>
      <c r="M2245" t="s">
        <v>2363</v>
      </c>
    </row>
    <row r="2246" spans="1:13" ht="15" customHeight="1">
      <c r="A2246" s="10">
        <v>46191</v>
      </c>
      <c r="B2246" t="s">
        <v>1</v>
      </c>
      <c r="C2246" t="s">
        <v>150</v>
      </c>
      <c r="D2246">
        <v>2</v>
      </c>
      <c r="E2246">
        <v>0</v>
      </c>
      <c r="I2246">
        <v>2</v>
      </c>
      <c r="M2246" t="s">
        <v>2364</v>
      </c>
    </row>
    <row r="2247" spans="1:13" ht="15" customHeight="1">
      <c r="A2247" s="10">
        <v>46191</v>
      </c>
      <c r="B2247" t="s">
        <v>1</v>
      </c>
      <c r="C2247" t="s">
        <v>151</v>
      </c>
      <c r="D2247">
        <v>2</v>
      </c>
      <c r="E2247">
        <v>0</v>
      </c>
      <c r="I2247">
        <v>2</v>
      </c>
      <c r="M2247" t="s">
        <v>2365</v>
      </c>
    </row>
    <row r="2248" spans="1:13" ht="15" customHeight="1">
      <c r="A2248" s="10">
        <v>46191</v>
      </c>
      <c r="B2248" t="s">
        <v>1</v>
      </c>
      <c r="C2248" t="s">
        <v>152</v>
      </c>
      <c r="D2248">
        <v>2</v>
      </c>
      <c r="E2248">
        <v>0</v>
      </c>
      <c r="I2248">
        <v>2</v>
      </c>
      <c r="M2248" t="s">
        <v>2366</v>
      </c>
    </row>
    <row r="2249" spans="1:13" ht="15" customHeight="1">
      <c r="A2249" s="10">
        <v>46191</v>
      </c>
      <c r="B2249" t="s">
        <v>1</v>
      </c>
      <c r="C2249" t="s">
        <v>153</v>
      </c>
      <c r="D2249">
        <v>2</v>
      </c>
      <c r="E2249">
        <v>0</v>
      </c>
      <c r="I2249">
        <v>2</v>
      </c>
      <c r="M2249" t="s">
        <v>2367</v>
      </c>
    </row>
    <row r="2250" spans="1:13" ht="15" customHeight="1">
      <c r="A2250" s="10">
        <v>46191</v>
      </c>
      <c r="B2250" t="s">
        <v>1</v>
      </c>
      <c r="C2250" t="s">
        <v>308</v>
      </c>
      <c r="D2250">
        <v>0</v>
      </c>
      <c r="E2250">
        <v>2</v>
      </c>
      <c r="I2250">
        <v>0</v>
      </c>
      <c r="J2250">
        <v>4</v>
      </c>
      <c r="M2250" t="s">
        <v>2368</v>
      </c>
    </row>
    <row r="2251" spans="1:13" ht="15" customHeight="1">
      <c r="A2251" s="10">
        <v>46191</v>
      </c>
      <c r="B2251" t="s">
        <v>1</v>
      </c>
      <c r="C2251" t="s">
        <v>310</v>
      </c>
      <c r="D2251">
        <v>0</v>
      </c>
      <c r="E2251">
        <v>1</v>
      </c>
      <c r="I2251">
        <v>0</v>
      </c>
      <c r="J2251">
        <v>2</v>
      </c>
      <c r="M2251" t="s">
        <v>2369</v>
      </c>
    </row>
    <row r="2252" spans="1:13" ht="15" customHeight="1">
      <c r="A2252" s="10">
        <v>46191</v>
      </c>
      <c r="B2252" t="s">
        <v>1</v>
      </c>
      <c r="C2252" t="s">
        <v>312</v>
      </c>
      <c r="D2252">
        <v>0</v>
      </c>
      <c r="E2252">
        <v>2</v>
      </c>
      <c r="I2252">
        <v>0</v>
      </c>
      <c r="J2252">
        <v>4</v>
      </c>
      <c r="M2252" t="s">
        <v>2370</v>
      </c>
    </row>
    <row r="2253" spans="1:13" ht="15" customHeight="1">
      <c r="A2253" s="10">
        <v>46191</v>
      </c>
      <c r="B2253" t="s">
        <v>1</v>
      </c>
      <c r="C2253" t="s">
        <v>314</v>
      </c>
      <c r="D2253">
        <v>1</v>
      </c>
      <c r="E2253">
        <v>0</v>
      </c>
      <c r="I2253">
        <v>1</v>
      </c>
      <c r="M2253" t="s">
        <v>2371</v>
      </c>
    </row>
    <row r="2254" spans="1:13" ht="15" customHeight="1">
      <c r="A2254" s="10">
        <v>46191</v>
      </c>
      <c r="B2254" t="s">
        <v>1</v>
      </c>
      <c r="C2254" t="s">
        <v>316</v>
      </c>
      <c r="D2254">
        <v>0</v>
      </c>
      <c r="E2254">
        <v>0</v>
      </c>
      <c r="I2254">
        <v>0</v>
      </c>
      <c r="M2254" t="s">
        <v>2372</v>
      </c>
    </row>
    <row r="2255" spans="1:13" ht="15" customHeight="1">
      <c r="A2255" s="10">
        <v>46191</v>
      </c>
      <c r="B2255" t="s">
        <v>1</v>
      </c>
      <c r="C2255" t="s">
        <v>318</v>
      </c>
      <c r="D2255">
        <v>0</v>
      </c>
      <c r="E2255">
        <v>0</v>
      </c>
      <c r="I2255">
        <v>3</v>
      </c>
      <c r="M2255" t="s">
        <v>2373</v>
      </c>
    </row>
    <row r="2256" spans="1:13" ht="15" customHeight="1">
      <c r="A2256" s="10">
        <v>46191</v>
      </c>
      <c r="B2256" t="s">
        <v>1</v>
      </c>
      <c r="C2256" t="s">
        <v>320</v>
      </c>
      <c r="D2256">
        <v>2</v>
      </c>
      <c r="E2256">
        <v>0</v>
      </c>
      <c r="I2256">
        <v>2</v>
      </c>
      <c r="M2256" t="s">
        <v>2374</v>
      </c>
    </row>
    <row r="2257" spans="1:13" ht="15" customHeight="1">
      <c r="A2257" s="10">
        <v>46191</v>
      </c>
      <c r="B2257" t="s">
        <v>1</v>
      </c>
      <c r="C2257" s="135" t="s">
        <v>168</v>
      </c>
      <c r="D2257">
        <v>1</v>
      </c>
      <c r="E2257">
        <v>0</v>
      </c>
      <c r="I2257">
        <v>1</v>
      </c>
      <c r="M2257" t="s">
        <v>2375</v>
      </c>
    </row>
    <row r="2258" spans="1:13" ht="15" customHeight="1">
      <c r="A2258" s="10">
        <v>46191</v>
      </c>
      <c r="B2258" t="s">
        <v>1</v>
      </c>
      <c r="C2258" s="135" t="s">
        <v>170</v>
      </c>
      <c r="D2258">
        <v>1</v>
      </c>
      <c r="E2258">
        <v>0</v>
      </c>
      <c r="I2258">
        <v>1</v>
      </c>
      <c r="M2258" t="s">
        <v>2376</v>
      </c>
    </row>
    <row r="2259" spans="1:13" ht="15" customHeight="1">
      <c r="A2259" s="10">
        <v>46191</v>
      </c>
      <c r="B2259" t="s">
        <v>1</v>
      </c>
      <c r="C2259" s="135" t="s">
        <v>171</v>
      </c>
      <c r="D2259">
        <v>2</v>
      </c>
      <c r="E2259">
        <v>0</v>
      </c>
      <c r="I2259">
        <v>2</v>
      </c>
      <c r="M2259" t="s">
        <v>2377</v>
      </c>
    </row>
    <row r="2260" spans="1:13" ht="15" customHeight="1">
      <c r="A2260" s="10">
        <v>46191</v>
      </c>
      <c r="B2260" t="s">
        <v>1</v>
      </c>
      <c r="C2260" s="135" t="s">
        <v>172</v>
      </c>
      <c r="D2260">
        <v>1</v>
      </c>
      <c r="E2260">
        <v>0</v>
      </c>
      <c r="I2260">
        <v>1</v>
      </c>
      <c r="M2260" t="s">
        <v>2378</v>
      </c>
    </row>
    <row r="2261" spans="1:13" ht="15" customHeight="1">
      <c r="A2261" s="10">
        <v>46191</v>
      </c>
      <c r="B2261" t="s">
        <v>1</v>
      </c>
      <c r="C2261" t="s">
        <v>176</v>
      </c>
      <c r="D2261">
        <v>0</v>
      </c>
      <c r="E2261">
        <v>6</v>
      </c>
      <c r="I2261">
        <v>0</v>
      </c>
      <c r="J2261">
        <v>6</v>
      </c>
      <c r="M2261" t="s">
        <v>2379</v>
      </c>
    </row>
    <row r="2262" spans="1:13" ht="15" customHeight="1">
      <c r="A2262" s="10">
        <v>46191</v>
      </c>
      <c r="B2262" t="s">
        <v>1</v>
      </c>
      <c r="C2262" t="s">
        <v>178</v>
      </c>
      <c r="D2262">
        <v>0</v>
      </c>
      <c r="E2262">
        <v>12</v>
      </c>
      <c r="H2262">
        <v>3</v>
      </c>
      <c r="I2262">
        <v>0</v>
      </c>
      <c r="J2262">
        <v>9</v>
      </c>
      <c r="M2262" t="s">
        <v>2380</v>
      </c>
    </row>
    <row r="2263" spans="1:13" ht="15" customHeight="1">
      <c r="A2263" s="10">
        <v>46191</v>
      </c>
      <c r="B2263" t="s">
        <v>1</v>
      </c>
      <c r="C2263" t="s">
        <v>179</v>
      </c>
      <c r="D2263">
        <v>0</v>
      </c>
      <c r="E2263">
        <v>12</v>
      </c>
      <c r="I2263">
        <v>0</v>
      </c>
      <c r="J2263">
        <v>12</v>
      </c>
      <c r="M2263" t="s">
        <v>2381</v>
      </c>
    </row>
    <row r="2264" spans="1:13" ht="15" customHeight="1">
      <c r="A2264" s="10">
        <v>46191</v>
      </c>
      <c r="B2264" t="s">
        <v>1</v>
      </c>
      <c r="C2264" t="s">
        <v>180</v>
      </c>
      <c r="D2264">
        <v>0</v>
      </c>
      <c r="E2264">
        <v>15</v>
      </c>
      <c r="I2264">
        <v>0</v>
      </c>
      <c r="J2264">
        <v>15</v>
      </c>
      <c r="M2264" t="s">
        <v>2382</v>
      </c>
    </row>
    <row r="2265" spans="1:13" ht="15" customHeight="1">
      <c r="A2265" s="10">
        <v>46191</v>
      </c>
      <c r="B2265" t="s">
        <v>1</v>
      </c>
      <c r="C2265" s="135" t="s">
        <v>182</v>
      </c>
      <c r="D2265">
        <v>1</v>
      </c>
      <c r="E2265">
        <v>261</v>
      </c>
      <c r="I2265">
        <v>1</v>
      </c>
      <c r="J2265">
        <v>261</v>
      </c>
      <c r="M2265" t="s">
        <v>2383</v>
      </c>
    </row>
    <row r="2266" spans="1:13" ht="15" customHeight="1">
      <c r="A2266" s="10">
        <v>46191</v>
      </c>
      <c r="B2266" t="s">
        <v>1</v>
      </c>
      <c r="C2266" s="135" t="s">
        <v>184</v>
      </c>
      <c r="D2266">
        <v>1</v>
      </c>
      <c r="E2266">
        <v>84</v>
      </c>
      <c r="I2266">
        <v>0</v>
      </c>
      <c r="J2266">
        <v>84</v>
      </c>
      <c r="M2266" t="s">
        <v>2384</v>
      </c>
    </row>
    <row r="2267" spans="1:13" ht="15" customHeight="1">
      <c r="A2267" s="10">
        <v>46191</v>
      </c>
      <c r="B2267" t="s">
        <v>1</v>
      </c>
      <c r="C2267" s="135" t="s">
        <v>185</v>
      </c>
      <c r="D2267">
        <v>1</v>
      </c>
      <c r="E2267">
        <v>56</v>
      </c>
      <c r="I2267">
        <v>1</v>
      </c>
      <c r="J2267">
        <v>56</v>
      </c>
      <c r="M2267" t="s">
        <v>2385</v>
      </c>
    </row>
    <row r="2268" spans="1:13" ht="15" customHeight="1">
      <c r="A2268" s="10">
        <v>46191</v>
      </c>
      <c r="B2268" t="s">
        <v>1</v>
      </c>
      <c r="C2268" s="135" t="s">
        <v>186</v>
      </c>
      <c r="D2268">
        <v>1</v>
      </c>
      <c r="E2268">
        <v>80</v>
      </c>
      <c r="I2268">
        <v>1</v>
      </c>
      <c r="J2268">
        <v>80</v>
      </c>
      <c r="M2268" t="s">
        <v>2386</v>
      </c>
    </row>
    <row r="2269" spans="1:13" ht="15" customHeight="1">
      <c r="A2269" s="10">
        <v>46191</v>
      </c>
      <c r="B2269" t="s">
        <v>1</v>
      </c>
      <c r="C2269" t="s">
        <v>337</v>
      </c>
      <c r="D2269">
        <v>2</v>
      </c>
      <c r="E2269">
        <v>167</v>
      </c>
      <c r="I2269">
        <v>2</v>
      </c>
      <c r="J2269">
        <v>137</v>
      </c>
      <c r="M2269" t="s">
        <v>2387</v>
      </c>
    </row>
    <row r="2270" spans="1:13" ht="15" customHeight="1">
      <c r="A2270" s="10">
        <v>46191</v>
      </c>
      <c r="B2270" t="s">
        <v>1</v>
      </c>
      <c r="C2270" s="135" t="s">
        <v>191</v>
      </c>
      <c r="D2270">
        <v>1</v>
      </c>
      <c r="E2270">
        <v>241</v>
      </c>
      <c r="I2270">
        <v>1</v>
      </c>
      <c r="J2270">
        <v>341</v>
      </c>
      <c r="M2270" t="s">
        <v>2388</v>
      </c>
    </row>
    <row r="2271" spans="1:13" ht="15" customHeight="1">
      <c r="A2271" s="10">
        <v>46191</v>
      </c>
      <c r="B2271" t="s">
        <v>1</v>
      </c>
      <c r="C2271" s="135" t="s">
        <v>193</v>
      </c>
      <c r="D2271">
        <v>1</v>
      </c>
      <c r="E2271">
        <v>225</v>
      </c>
      <c r="I2271">
        <v>1</v>
      </c>
      <c r="J2271">
        <v>225</v>
      </c>
      <c r="M2271" t="s">
        <v>2389</v>
      </c>
    </row>
    <row r="2272" spans="1:13" ht="15" customHeight="1">
      <c r="A2272" s="10">
        <v>46191</v>
      </c>
      <c r="B2272" t="s">
        <v>1</v>
      </c>
      <c r="C2272" s="135" t="s">
        <v>194</v>
      </c>
      <c r="D2272">
        <v>0</v>
      </c>
      <c r="E2272">
        <v>17</v>
      </c>
      <c r="I2272">
        <v>0</v>
      </c>
      <c r="J2272">
        <v>17</v>
      </c>
      <c r="M2272" t="s">
        <v>2390</v>
      </c>
    </row>
    <row r="2273" spans="1:13" ht="15" customHeight="1">
      <c r="A2273" s="10">
        <v>46191</v>
      </c>
      <c r="B2273" t="s">
        <v>1</v>
      </c>
      <c r="C2273" s="135" t="s">
        <v>196</v>
      </c>
      <c r="D2273">
        <v>0</v>
      </c>
      <c r="E2273">
        <v>467</v>
      </c>
      <c r="I2273">
        <v>0</v>
      </c>
      <c r="J2273">
        <v>467</v>
      </c>
      <c r="M2273" t="s">
        <v>2391</v>
      </c>
    </row>
    <row r="2274" spans="1:13" ht="15" customHeight="1">
      <c r="A2274" s="10">
        <v>46192</v>
      </c>
      <c r="B2274" t="s">
        <v>1</v>
      </c>
      <c r="C2274" t="s">
        <v>23</v>
      </c>
      <c r="D2274">
        <v>3</v>
      </c>
      <c r="E2274">
        <v>993</v>
      </c>
      <c r="I2274">
        <v>3</v>
      </c>
      <c r="J2274">
        <v>0</v>
      </c>
      <c r="M2274" t="s">
        <v>2392</v>
      </c>
    </row>
    <row r="2275" spans="1:13" ht="15" customHeight="1">
      <c r="A2275" s="10">
        <v>46192</v>
      </c>
      <c r="B2275" t="s">
        <v>1</v>
      </c>
      <c r="C2275" t="s">
        <v>26</v>
      </c>
      <c r="D2275">
        <v>1</v>
      </c>
      <c r="E2275">
        <v>627</v>
      </c>
      <c r="I2275">
        <v>1</v>
      </c>
      <c r="J2275">
        <v>620</v>
      </c>
      <c r="M2275" t="s">
        <v>2393</v>
      </c>
    </row>
    <row r="2276" spans="1:13" ht="15" customHeight="1">
      <c r="A2276" s="10">
        <v>46192</v>
      </c>
      <c r="B2276" t="s">
        <v>1</v>
      </c>
      <c r="C2276" t="s">
        <v>27</v>
      </c>
      <c r="D2276">
        <v>1</v>
      </c>
      <c r="E2276">
        <v>296</v>
      </c>
      <c r="I2276">
        <v>1</v>
      </c>
      <c r="J2276">
        <v>275</v>
      </c>
      <c r="M2276" t="s">
        <v>2394</v>
      </c>
    </row>
    <row r="2277" spans="1:13" ht="15" customHeight="1">
      <c r="A2277" s="10">
        <v>46192</v>
      </c>
      <c r="B2277" t="s">
        <v>1</v>
      </c>
      <c r="C2277" t="s">
        <v>28</v>
      </c>
      <c r="D2277">
        <v>0</v>
      </c>
      <c r="E2277">
        <v>0</v>
      </c>
      <c r="I2277">
        <v>0</v>
      </c>
      <c r="J2277">
        <v>0</v>
      </c>
      <c r="M2277" t="s">
        <v>2395</v>
      </c>
    </row>
    <row r="2278" spans="1:13" ht="15" customHeight="1">
      <c r="A2278" s="10">
        <v>46192</v>
      </c>
      <c r="B2278" t="s">
        <v>1</v>
      </c>
      <c r="C2278" t="s">
        <v>29</v>
      </c>
      <c r="D2278">
        <v>0</v>
      </c>
      <c r="E2278">
        <v>669</v>
      </c>
      <c r="I2278">
        <v>0</v>
      </c>
      <c r="J2278">
        <v>500</v>
      </c>
      <c r="M2278" t="s">
        <v>2396</v>
      </c>
    </row>
    <row r="2279" spans="1:13" ht="15" customHeight="1">
      <c r="A2279" s="10">
        <v>46192</v>
      </c>
      <c r="B2279" t="s">
        <v>1</v>
      </c>
      <c r="C2279" t="s">
        <v>30</v>
      </c>
      <c r="D2279">
        <v>2</v>
      </c>
      <c r="E2279">
        <v>150</v>
      </c>
      <c r="I2279">
        <v>2</v>
      </c>
      <c r="J2279">
        <v>144</v>
      </c>
      <c r="M2279" t="s">
        <v>2397</v>
      </c>
    </row>
    <row r="2280" spans="1:13" ht="15" customHeight="1">
      <c r="A2280" s="10">
        <v>46192</v>
      </c>
      <c r="B2280" t="s">
        <v>1</v>
      </c>
      <c r="C2280" t="s">
        <v>31</v>
      </c>
      <c r="D2280">
        <v>1</v>
      </c>
      <c r="E2280">
        <v>207</v>
      </c>
      <c r="I2280">
        <v>0</v>
      </c>
      <c r="J2280">
        <v>893</v>
      </c>
      <c r="M2280" t="s">
        <v>2398</v>
      </c>
    </row>
    <row r="2281" spans="1:13" ht="15" customHeight="1">
      <c r="A2281" s="10">
        <v>46192</v>
      </c>
      <c r="B2281" t="s">
        <v>1</v>
      </c>
      <c r="C2281" t="s">
        <v>32</v>
      </c>
      <c r="D2281">
        <v>1</v>
      </c>
      <c r="E2281">
        <v>668</v>
      </c>
      <c r="I2281">
        <v>2</v>
      </c>
      <c r="J2281">
        <v>469</v>
      </c>
      <c r="M2281" t="s">
        <v>2399</v>
      </c>
    </row>
    <row r="2282" spans="1:13" ht="15" customHeight="1">
      <c r="A2282" s="10">
        <v>46192</v>
      </c>
      <c r="B2282" t="s">
        <v>1</v>
      </c>
      <c r="C2282" t="s">
        <v>223</v>
      </c>
      <c r="D2282">
        <v>6</v>
      </c>
      <c r="E2282">
        <v>0</v>
      </c>
      <c r="I2282">
        <v>5</v>
      </c>
      <c r="J2282">
        <v>232</v>
      </c>
      <c r="M2282" t="s">
        <v>2400</v>
      </c>
    </row>
    <row r="2283" spans="1:13" ht="15" customHeight="1">
      <c r="A2283" s="10">
        <v>46192</v>
      </c>
      <c r="B2283" t="s">
        <v>1</v>
      </c>
      <c r="C2283" t="s">
        <v>35</v>
      </c>
      <c r="D2283">
        <v>0</v>
      </c>
      <c r="E2283">
        <v>0</v>
      </c>
      <c r="I2283">
        <v>0</v>
      </c>
      <c r="M2283" t="s">
        <v>2401</v>
      </c>
    </row>
    <row r="2284" spans="1:13" ht="15" customHeight="1">
      <c r="A2284" s="10">
        <v>46192</v>
      </c>
      <c r="B2284" t="s">
        <v>1</v>
      </c>
      <c r="C2284" t="s">
        <v>37</v>
      </c>
      <c r="D2284">
        <v>0</v>
      </c>
      <c r="E2284">
        <v>0</v>
      </c>
      <c r="I2284">
        <v>0</v>
      </c>
      <c r="M2284" t="s">
        <v>2402</v>
      </c>
    </row>
    <row r="2285" spans="1:13" ht="15" customHeight="1">
      <c r="A2285" s="10">
        <v>46192</v>
      </c>
      <c r="B2285" t="s">
        <v>1</v>
      </c>
      <c r="C2285" t="s">
        <v>39</v>
      </c>
      <c r="D2285">
        <v>14</v>
      </c>
      <c r="E2285">
        <v>0</v>
      </c>
      <c r="H2285">
        <v>1</v>
      </c>
      <c r="I2285">
        <v>13</v>
      </c>
      <c r="J2285">
        <v>0</v>
      </c>
      <c r="M2285" t="s">
        <v>2403</v>
      </c>
    </row>
    <row r="2286" spans="1:13" ht="15" customHeight="1">
      <c r="A2286" s="10">
        <v>46192</v>
      </c>
      <c r="B2286" t="s">
        <v>1</v>
      </c>
      <c r="C2286" t="s">
        <v>41</v>
      </c>
      <c r="D2286">
        <v>10</v>
      </c>
      <c r="E2286">
        <v>0</v>
      </c>
      <c r="H2286">
        <v>1</v>
      </c>
      <c r="I2286">
        <v>9</v>
      </c>
      <c r="J2286">
        <v>0</v>
      </c>
      <c r="M2286" t="s">
        <v>2404</v>
      </c>
    </row>
    <row r="2287" spans="1:13" ht="15" customHeight="1">
      <c r="A2287" s="10">
        <v>46192</v>
      </c>
      <c r="B2287" t="s">
        <v>1</v>
      </c>
      <c r="C2287" t="s">
        <v>232</v>
      </c>
      <c r="D2287">
        <v>0</v>
      </c>
      <c r="E2287">
        <v>0</v>
      </c>
      <c r="I2287">
        <v>0</v>
      </c>
      <c r="J2287">
        <v>0</v>
      </c>
      <c r="M2287" t="s">
        <v>2405</v>
      </c>
    </row>
    <row r="2288" spans="1:13" ht="15" customHeight="1">
      <c r="A2288" s="10">
        <v>46192</v>
      </c>
      <c r="B2288" t="s">
        <v>1</v>
      </c>
      <c r="C2288" t="s">
        <v>234</v>
      </c>
      <c r="D2288">
        <v>56</v>
      </c>
      <c r="E2288">
        <v>0</v>
      </c>
      <c r="H2288">
        <v>12</v>
      </c>
      <c r="I2288">
        <v>44</v>
      </c>
      <c r="J2288">
        <v>0</v>
      </c>
      <c r="M2288" t="s">
        <v>2406</v>
      </c>
    </row>
    <row r="2289" spans="1:13" ht="15" customHeight="1">
      <c r="A2289" s="10">
        <v>46192</v>
      </c>
      <c r="B2289" t="s">
        <v>1</v>
      </c>
      <c r="C2289" t="s">
        <v>237</v>
      </c>
      <c r="D2289">
        <v>9</v>
      </c>
      <c r="E2289">
        <v>0</v>
      </c>
      <c r="I2289">
        <v>9</v>
      </c>
      <c r="J2289">
        <v>0</v>
      </c>
      <c r="M2289" t="s">
        <v>2407</v>
      </c>
    </row>
    <row r="2290" spans="1:13" ht="15" customHeight="1">
      <c r="A2290" s="10">
        <v>46192</v>
      </c>
      <c r="B2290" t="s">
        <v>1</v>
      </c>
      <c r="C2290" s="135" t="s">
        <v>58</v>
      </c>
      <c r="D2290">
        <v>4</v>
      </c>
      <c r="E2290">
        <v>0</v>
      </c>
      <c r="I2290">
        <v>4</v>
      </c>
      <c r="J2290">
        <v>0</v>
      </c>
      <c r="M2290" t="s">
        <v>2408</v>
      </c>
    </row>
    <row r="2291" spans="1:13" ht="15" customHeight="1">
      <c r="A2291" s="10">
        <v>46192</v>
      </c>
      <c r="B2291" t="s">
        <v>1</v>
      </c>
      <c r="C2291" s="135" t="s">
        <v>60</v>
      </c>
      <c r="D2291">
        <v>0</v>
      </c>
      <c r="E2291">
        <v>0</v>
      </c>
      <c r="I2291">
        <v>0</v>
      </c>
      <c r="J2291">
        <v>0</v>
      </c>
      <c r="M2291" t="s">
        <v>2409</v>
      </c>
    </row>
    <row r="2292" spans="1:13" ht="15" customHeight="1">
      <c r="A2292" s="10">
        <v>46192</v>
      </c>
      <c r="B2292" t="s">
        <v>1</v>
      </c>
      <c r="C2292" s="135" t="s">
        <v>61</v>
      </c>
      <c r="D2292">
        <v>5</v>
      </c>
      <c r="E2292">
        <v>0</v>
      </c>
      <c r="I2292">
        <v>5</v>
      </c>
      <c r="J2292">
        <v>0</v>
      </c>
      <c r="M2292" t="s">
        <v>2410</v>
      </c>
    </row>
    <row r="2293" spans="1:13" ht="15" customHeight="1">
      <c r="A2293" s="10">
        <v>46192</v>
      </c>
      <c r="B2293" t="s">
        <v>1</v>
      </c>
      <c r="C2293" s="135" t="s">
        <v>62</v>
      </c>
      <c r="D2293">
        <v>4</v>
      </c>
      <c r="E2293">
        <v>0</v>
      </c>
      <c r="I2293">
        <v>4</v>
      </c>
      <c r="J2293">
        <v>0</v>
      </c>
      <c r="M2293" t="s">
        <v>2411</v>
      </c>
    </row>
    <row r="2294" spans="1:13" ht="15" customHeight="1">
      <c r="A2294" s="10">
        <v>46192</v>
      </c>
      <c r="B2294" t="s">
        <v>1</v>
      </c>
      <c r="C2294" s="135" t="s">
        <v>63</v>
      </c>
      <c r="D2294">
        <v>3</v>
      </c>
      <c r="E2294">
        <v>0</v>
      </c>
      <c r="I2294">
        <v>3</v>
      </c>
      <c r="J2294">
        <v>0</v>
      </c>
      <c r="M2294" t="s">
        <v>2412</v>
      </c>
    </row>
    <row r="2295" spans="1:13" ht="15" customHeight="1">
      <c r="A2295" s="10">
        <v>46192</v>
      </c>
      <c r="B2295" t="s">
        <v>1</v>
      </c>
      <c r="C2295" s="135" t="s">
        <v>64</v>
      </c>
      <c r="D2295">
        <v>4</v>
      </c>
      <c r="E2295">
        <v>0</v>
      </c>
      <c r="I2295">
        <v>4</v>
      </c>
      <c r="J2295">
        <v>0</v>
      </c>
      <c r="M2295" t="s">
        <v>2413</v>
      </c>
    </row>
    <row r="2296" spans="1:13" ht="15" customHeight="1">
      <c r="A2296" s="10">
        <v>46192</v>
      </c>
      <c r="B2296" t="s">
        <v>1</v>
      </c>
      <c r="C2296" t="s">
        <v>66</v>
      </c>
      <c r="D2296">
        <v>4</v>
      </c>
      <c r="E2296">
        <v>0</v>
      </c>
      <c r="I2296">
        <v>4</v>
      </c>
      <c r="J2296">
        <v>0</v>
      </c>
      <c r="M2296" t="s">
        <v>2414</v>
      </c>
    </row>
    <row r="2297" spans="1:13" ht="15" customHeight="1">
      <c r="A2297" s="10">
        <v>46192</v>
      </c>
      <c r="B2297" t="s">
        <v>1</v>
      </c>
      <c r="C2297" t="s">
        <v>67</v>
      </c>
      <c r="D2297">
        <v>5</v>
      </c>
      <c r="E2297">
        <v>0</v>
      </c>
      <c r="I2297">
        <v>5</v>
      </c>
      <c r="J2297">
        <v>0</v>
      </c>
      <c r="M2297" t="s">
        <v>2415</v>
      </c>
    </row>
    <row r="2298" spans="1:13" ht="15" customHeight="1">
      <c r="A2298" s="10">
        <v>46192</v>
      </c>
      <c r="B2298" t="s">
        <v>1</v>
      </c>
      <c r="C2298" t="s">
        <v>68</v>
      </c>
      <c r="D2298">
        <v>0</v>
      </c>
      <c r="E2298">
        <v>0</v>
      </c>
      <c r="I2298">
        <v>0</v>
      </c>
      <c r="J2298">
        <v>0</v>
      </c>
      <c r="M2298" t="s">
        <v>2416</v>
      </c>
    </row>
    <row r="2299" spans="1:13" ht="15" customHeight="1">
      <c r="A2299" s="10">
        <v>46192</v>
      </c>
      <c r="B2299" t="s">
        <v>1</v>
      </c>
      <c r="C2299" t="s">
        <v>71</v>
      </c>
      <c r="D2299">
        <v>1</v>
      </c>
      <c r="E2299">
        <v>668</v>
      </c>
      <c r="I2299">
        <v>1</v>
      </c>
      <c r="J2299">
        <v>585</v>
      </c>
      <c r="M2299" t="s">
        <v>2417</v>
      </c>
    </row>
    <row r="2300" spans="1:13" ht="15" customHeight="1">
      <c r="A2300" s="10">
        <v>46192</v>
      </c>
      <c r="B2300" t="s">
        <v>1</v>
      </c>
      <c r="C2300" t="s">
        <v>73</v>
      </c>
      <c r="D2300">
        <v>3</v>
      </c>
      <c r="E2300">
        <v>126</v>
      </c>
      <c r="I2300">
        <v>3</v>
      </c>
      <c r="J2300">
        <v>80</v>
      </c>
      <c r="M2300" t="s">
        <v>2418</v>
      </c>
    </row>
    <row r="2301" spans="1:13" ht="15" customHeight="1">
      <c r="A2301" s="10">
        <v>46192</v>
      </c>
      <c r="B2301" t="s">
        <v>1</v>
      </c>
      <c r="C2301" t="s">
        <v>75</v>
      </c>
      <c r="D2301">
        <v>0</v>
      </c>
      <c r="E2301">
        <v>288</v>
      </c>
      <c r="I2301">
        <v>0</v>
      </c>
      <c r="J2301">
        <v>277</v>
      </c>
      <c r="M2301" t="s">
        <v>2419</v>
      </c>
    </row>
    <row r="2302" spans="1:13" ht="15" customHeight="1">
      <c r="A2302" s="10">
        <v>46192</v>
      </c>
      <c r="B2302" t="s">
        <v>1</v>
      </c>
      <c r="C2302" t="s">
        <v>77</v>
      </c>
      <c r="D2302">
        <v>0</v>
      </c>
      <c r="E2302">
        <v>890</v>
      </c>
      <c r="I2302">
        <v>0</v>
      </c>
      <c r="J2302">
        <v>890</v>
      </c>
      <c r="M2302" t="s">
        <v>2420</v>
      </c>
    </row>
    <row r="2303" spans="1:13" ht="15" customHeight="1">
      <c r="A2303" s="10">
        <v>46192</v>
      </c>
      <c r="B2303" t="s">
        <v>1</v>
      </c>
      <c r="C2303" t="s">
        <v>79</v>
      </c>
      <c r="D2303">
        <v>1</v>
      </c>
      <c r="E2303">
        <v>1166</v>
      </c>
      <c r="I2303">
        <v>1</v>
      </c>
      <c r="J2303">
        <v>996</v>
      </c>
      <c r="M2303" t="s">
        <v>2421</v>
      </c>
    </row>
    <row r="2304" spans="1:13" ht="15" customHeight="1">
      <c r="A2304" s="10">
        <v>46192</v>
      </c>
      <c r="B2304" t="s">
        <v>1</v>
      </c>
      <c r="C2304" t="s">
        <v>81</v>
      </c>
      <c r="D2304">
        <v>0</v>
      </c>
      <c r="E2304">
        <v>294</v>
      </c>
      <c r="I2304">
        <v>0</v>
      </c>
      <c r="J2304">
        <v>239</v>
      </c>
      <c r="M2304" t="s">
        <v>2422</v>
      </c>
    </row>
    <row r="2305" spans="1:13" ht="15" customHeight="1">
      <c r="A2305" s="10">
        <v>46192</v>
      </c>
      <c r="B2305" t="s">
        <v>1</v>
      </c>
      <c r="C2305" t="s">
        <v>83</v>
      </c>
      <c r="D2305">
        <v>1</v>
      </c>
      <c r="E2305">
        <v>279</v>
      </c>
      <c r="I2305">
        <v>1</v>
      </c>
      <c r="J2305">
        <v>173</v>
      </c>
      <c r="M2305" t="s">
        <v>2423</v>
      </c>
    </row>
    <row r="2306" spans="1:13" ht="15" customHeight="1">
      <c r="A2306" s="10">
        <v>46192</v>
      </c>
      <c r="B2306" t="s">
        <v>1</v>
      </c>
      <c r="C2306" t="s">
        <v>84</v>
      </c>
      <c r="D2306">
        <v>1</v>
      </c>
      <c r="E2306">
        <v>353</v>
      </c>
      <c r="I2306">
        <v>1</v>
      </c>
      <c r="J2306">
        <v>158</v>
      </c>
      <c r="M2306" t="s">
        <v>2424</v>
      </c>
    </row>
    <row r="2307" spans="1:13" ht="15" customHeight="1">
      <c r="A2307" s="10">
        <v>46192</v>
      </c>
      <c r="B2307" t="s">
        <v>1</v>
      </c>
      <c r="C2307" t="s">
        <v>85</v>
      </c>
      <c r="D2307">
        <v>0</v>
      </c>
      <c r="E2307">
        <v>150</v>
      </c>
      <c r="I2307">
        <v>0</v>
      </c>
      <c r="J2307">
        <v>150</v>
      </c>
      <c r="M2307" t="s">
        <v>2425</v>
      </c>
    </row>
    <row r="2308" spans="1:13" ht="15" customHeight="1">
      <c r="A2308" s="10">
        <v>46192</v>
      </c>
      <c r="B2308" t="s">
        <v>1</v>
      </c>
      <c r="C2308" t="s">
        <v>87</v>
      </c>
      <c r="D2308">
        <v>2</v>
      </c>
      <c r="E2308">
        <v>140</v>
      </c>
      <c r="I2308">
        <v>2</v>
      </c>
      <c r="J2308">
        <v>29</v>
      </c>
      <c r="M2308" t="s">
        <v>2426</v>
      </c>
    </row>
    <row r="2309" spans="1:13" ht="15" customHeight="1">
      <c r="A2309" s="10">
        <v>46192</v>
      </c>
      <c r="B2309" t="s">
        <v>1</v>
      </c>
      <c r="C2309" t="s">
        <v>88</v>
      </c>
      <c r="D2309">
        <v>1</v>
      </c>
      <c r="E2309">
        <v>257</v>
      </c>
      <c r="I2309">
        <v>1</v>
      </c>
      <c r="J2309">
        <v>237</v>
      </c>
      <c r="M2309" t="s">
        <v>2427</v>
      </c>
    </row>
    <row r="2310" spans="1:13" ht="15" customHeight="1">
      <c r="A2310" s="10">
        <v>46192</v>
      </c>
      <c r="B2310" t="s">
        <v>1</v>
      </c>
      <c r="C2310" t="s">
        <v>89</v>
      </c>
      <c r="D2310">
        <v>1</v>
      </c>
      <c r="E2310">
        <v>334</v>
      </c>
      <c r="I2310">
        <v>1</v>
      </c>
      <c r="J2310">
        <v>147</v>
      </c>
      <c r="M2310" t="s">
        <v>2428</v>
      </c>
    </row>
    <row r="2311" spans="1:13" ht="15" customHeight="1">
      <c r="A2311" s="10">
        <v>46192</v>
      </c>
      <c r="B2311" t="s">
        <v>1</v>
      </c>
      <c r="C2311" t="s">
        <v>90</v>
      </c>
      <c r="D2311">
        <v>1</v>
      </c>
      <c r="E2311">
        <v>830</v>
      </c>
      <c r="I2311">
        <v>1</v>
      </c>
      <c r="J2311">
        <v>830</v>
      </c>
      <c r="M2311" t="s">
        <v>2429</v>
      </c>
    </row>
    <row r="2312" spans="1:13" ht="15" customHeight="1">
      <c r="A2312" s="10">
        <v>46192</v>
      </c>
      <c r="B2312" t="s">
        <v>1</v>
      </c>
      <c r="C2312" t="s">
        <v>92</v>
      </c>
      <c r="D2312">
        <v>1</v>
      </c>
      <c r="E2312">
        <v>761</v>
      </c>
      <c r="I2312">
        <v>1</v>
      </c>
      <c r="J2312">
        <v>761</v>
      </c>
      <c r="M2312" t="s">
        <v>2430</v>
      </c>
    </row>
    <row r="2313" spans="1:13" ht="15" customHeight="1">
      <c r="A2313" s="10">
        <v>46192</v>
      </c>
      <c r="B2313" t="s">
        <v>1</v>
      </c>
      <c r="C2313" t="s">
        <v>94</v>
      </c>
      <c r="D2313">
        <v>3</v>
      </c>
      <c r="E2313">
        <v>167</v>
      </c>
      <c r="I2313">
        <v>3</v>
      </c>
      <c r="J2313">
        <v>29</v>
      </c>
      <c r="M2313" t="s">
        <v>2431</v>
      </c>
    </row>
    <row r="2314" spans="1:13" ht="15" customHeight="1">
      <c r="A2314" s="10">
        <v>46192</v>
      </c>
      <c r="B2314" t="s">
        <v>1</v>
      </c>
      <c r="C2314" t="s">
        <v>96</v>
      </c>
      <c r="D2314">
        <v>0</v>
      </c>
      <c r="E2314">
        <v>0</v>
      </c>
      <c r="I2314">
        <v>0</v>
      </c>
      <c r="J2314">
        <v>0</v>
      </c>
      <c r="M2314" t="s">
        <v>2432</v>
      </c>
    </row>
    <row r="2315" spans="1:13" ht="15" customHeight="1">
      <c r="A2315" s="10">
        <v>46192</v>
      </c>
      <c r="B2315" t="s">
        <v>1</v>
      </c>
      <c r="C2315" t="s">
        <v>98</v>
      </c>
      <c r="D2315">
        <v>3</v>
      </c>
      <c r="E2315">
        <v>0</v>
      </c>
      <c r="I2315">
        <v>3</v>
      </c>
      <c r="J2315">
        <v>0</v>
      </c>
      <c r="M2315" t="s">
        <v>2433</v>
      </c>
    </row>
    <row r="2316" spans="1:13" ht="15" customHeight="1">
      <c r="A2316" s="10">
        <v>46192</v>
      </c>
      <c r="B2316" t="s">
        <v>1</v>
      </c>
      <c r="C2316" t="s">
        <v>203</v>
      </c>
      <c r="D2316">
        <v>0</v>
      </c>
      <c r="E2316">
        <v>0</v>
      </c>
      <c r="I2316">
        <v>1</v>
      </c>
      <c r="J2316">
        <v>20</v>
      </c>
      <c r="M2316" t="s">
        <v>2434</v>
      </c>
    </row>
    <row r="2317" spans="1:13" ht="15" customHeight="1">
      <c r="A2317" s="10">
        <v>46192</v>
      </c>
      <c r="B2317" t="s">
        <v>1</v>
      </c>
      <c r="C2317" t="s">
        <v>100</v>
      </c>
      <c r="D2317">
        <v>1</v>
      </c>
      <c r="E2317">
        <v>160</v>
      </c>
      <c r="I2317">
        <v>0</v>
      </c>
      <c r="J2317">
        <v>0</v>
      </c>
      <c r="M2317" t="s">
        <v>2435</v>
      </c>
    </row>
    <row r="2318" spans="1:13" ht="15" customHeight="1">
      <c r="A2318" s="10">
        <v>46192</v>
      </c>
      <c r="B2318" t="s">
        <v>1</v>
      </c>
      <c r="C2318" t="s">
        <v>101</v>
      </c>
      <c r="D2318">
        <v>0</v>
      </c>
      <c r="E2318">
        <v>0</v>
      </c>
      <c r="I2318">
        <v>0</v>
      </c>
      <c r="J2318">
        <v>0</v>
      </c>
      <c r="M2318" t="s">
        <v>2436</v>
      </c>
    </row>
    <row r="2319" spans="1:13" ht="15" customHeight="1">
      <c r="A2319" s="10">
        <v>46192</v>
      </c>
      <c r="B2319" t="s">
        <v>1</v>
      </c>
      <c r="C2319" t="s">
        <v>103</v>
      </c>
      <c r="D2319">
        <v>0</v>
      </c>
      <c r="E2319">
        <v>0</v>
      </c>
      <c r="G2319">
        <v>5</v>
      </c>
      <c r="I2319">
        <v>0</v>
      </c>
      <c r="J2319">
        <v>2</v>
      </c>
      <c r="M2319" t="s">
        <v>2437</v>
      </c>
    </row>
    <row r="2320" spans="1:13" ht="15" customHeight="1">
      <c r="A2320" s="10">
        <v>46192</v>
      </c>
      <c r="B2320" t="s">
        <v>1</v>
      </c>
      <c r="C2320" t="s">
        <v>106</v>
      </c>
      <c r="D2320">
        <v>1</v>
      </c>
      <c r="E2320">
        <v>680</v>
      </c>
      <c r="I2320">
        <v>1</v>
      </c>
      <c r="J2320">
        <v>593</v>
      </c>
      <c r="M2320" t="s">
        <v>2438</v>
      </c>
    </row>
    <row r="2321" spans="1:13" ht="15" customHeight="1">
      <c r="A2321" s="10">
        <v>46192</v>
      </c>
      <c r="B2321" t="s">
        <v>1</v>
      </c>
      <c r="C2321" t="s">
        <v>108</v>
      </c>
      <c r="D2321">
        <v>1</v>
      </c>
      <c r="E2321">
        <v>574</v>
      </c>
      <c r="I2321">
        <v>1</v>
      </c>
      <c r="J2321">
        <v>557</v>
      </c>
      <c r="M2321" t="s">
        <v>2439</v>
      </c>
    </row>
    <row r="2322" spans="1:13" ht="15" customHeight="1">
      <c r="A2322" s="10">
        <v>46192</v>
      </c>
      <c r="B2322" t="s">
        <v>1</v>
      </c>
      <c r="C2322" t="s">
        <v>109</v>
      </c>
      <c r="D2322">
        <v>1</v>
      </c>
      <c r="E2322">
        <v>1010</v>
      </c>
      <c r="I2322">
        <v>1</v>
      </c>
      <c r="J2322">
        <v>932</v>
      </c>
      <c r="M2322" t="s">
        <v>2440</v>
      </c>
    </row>
    <row r="2323" spans="1:13" ht="15" customHeight="1">
      <c r="A2323" s="10">
        <v>46192</v>
      </c>
      <c r="B2323" t="s">
        <v>1</v>
      </c>
      <c r="C2323" t="s">
        <v>112</v>
      </c>
      <c r="D2323">
        <v>1</v>
      </c>
      <c r="E2323">
        <v>40</v>
      </c>
      <c r="I2323">
        <v>1</v>
      </c>
      <c r="J2323">
        <v>40</v>
      </c>
      <c r="M2323" t="s">
        <v>2441</v>
      </c>
    </row>
    <row r="2324" spans="1:13" ht="15" customHeight="1">
      <c r="A2324" s="10">
        <v>46192</v>
      </c>
      <c r="B2324" t="s">
        <v>1</v>
      </c>
      <c r="C2324" t="s">
        <v>114</v>
      </c>
      <c r="D2324">
        <v>1</v>
      </c>
      <c r="E2324">
        <v>23</v>
      </c>
      <c r="I2324">
        <v>1</v>
      </c>
      <c r="J2324">
        <v>18</v>
      </c>
      <c r="M2324" t="s">
        <v>2442</v>
      </c>
    </row>
    <row r="2325" spans="1:13" ht="15" customHeight="1">
      <c r="A2325" s="10">
        <v>46192</v>
      </c>
      <c r="B2325" t="s">
        <v>1</v>
      </c>
      <c r="C2325" t="s">
        <v>115</v>
      </c>
      <c r="D2325">
        <v>1</v>
      </c>
      <c r="E2325">
        <v>11</v>
      </c>
      <c r="I2325">
        <v>1</v>
      </c>
      <c r="J2325">
        <v>6</v>
      </c>
      <c r="M2325" t="s">
        <v>2443</v>
      </c>
    </row>
    <row r="2326" spans="1:13" ht="15" customHeight="1">
      <c r="A2326" s="10">
        <v>46192</v>
      </c>
      <c r="B2326" t="s">
        <v>1</v>
      </c>
      <c r="C2326" t="s">
        <v>116</v>
      </c>
      <c r="D2326">
        <v>1</v>
      </c>
      <c r="E2326">
        <v>15</v>
      </c>
      <c r="I2326">
        <v>1</v>
      </c>
      <c r="J2326">
        <v>2</v>
      </c>
      <c r="M2326" t="s">
        <v>2444</v>
      </c>
    </row>
    <row r="2327" spans="1:13" ht="15" customHeight="1">
      <c r="A2327" s="10">
        <v>46192</v>
      </c>
      <c r="B2327" t="s">
        <v>1</v>
      </c>
      <c r="C2327" t="s">
        <v>119</v>
      </c>
      <c r="D2327">
        <v>2</v>
      </c>
      <c r="E2327">
        <v>0</v>
      </c>
      <c r="I2327">
        <v>2</v>
      </c>
      <c r="M2327" t="s">
        <v>2445</v>
      </c>
    </row>
    <row r="2328" spans="1:13" ht="15" customHeight="1">
      <c r="A2328" s="10">
        <v>46192</v>
      </c>
      <c r="B2328" t="s">
        <v>1</v>
      </c>
      <c r="C2328" t="s">
        <v>120</v>
      </c>
      <c r="D2328">
        <v>2</v>
      </c>
      <c r="E2328">
        <v>0</v>
      </c>
      <c r="I2328">
        <v>2</v>
      </c>
      <c r="M2328" t="s">
        <v>2446</v>
      </c>
    </row>
    <row r="2329" spans="1:13" ht="15" customHeight="1">
      <c r="A2329" s="10">
        <v>46192</v>
      </c>
      <c r="B2329" t="s">
        <v>1</v>
      </c>
      <c r="C2329" t="s">
        <v>121</v>
      </c>
      <c r="D2329">
        <v>1</v>
      </c>
      <c r="E2329">
        <v>0</v>
      </c>
      <c r="I2329">
        <v>2</v>
      </c>
      <c r="M2329" t="s">
        <v>2447</v>
      </c>
    </row>
    <row r="2330" spans="1:13" ht="15" customHeight="1">
      <c r="A2330" s="10">
        <v>46192</v>
      </c>
      <c r="B2330" t="s">
        <v>1</v>
      </c>
      <c r="C2330" t="s">
        <v>123</v>
      </c>
      <c r="D2330">
        <v>2</v>
      </c>
      <c r="E2330">
        <v>0</v>
      </c>
      <c r="I2330">
        <v>2</v>
      </c>
      <c r="M2330" t="s">
        <v>2448</v>
      </c>
    </row>
    <row r="2331" spans="1:13" ht="15" customHeight="1">
      <c r="A2331" s="10">
        <v>46192</v>
      </c>
      <c r="B2331" t="s">
        <v>1</v>
      </c>
      <c r="C2331" t="s">
        <v>124</v>
      </c>
      <c r="D2331">
        <v>1</v>
      </c>
      <c r="E2331">
        <v>0</v>
      </c>
      <c r="I2331">
        <v>1</v>
      </c>
      <c r="M2331" t="s">
        <v>2449</v>
      </c>
    </row>
    <row r="2332" spans="1:13" ht="15" customHeight="1">
      <c r="A2332" s="10">
        <v>46192</v>
      </c>
      <c r="B2332" t="s">
        <v>1</v>
      </c>
      <c r="C2332" t="s">
        <v>125</v>
      </c>
      <c r="D2332">
        <v>2</v>
      </c>
      <c r="E2332">
        <v>0</v>
      </c>
      <c r="I2332">
        <v>2</v>
      </c>
      <c r="M2332" t="s">
        <v>2450</v>
      </c>
    </row>
    <row r="2333" spans="1:13" ht="15" customHeight="1">
      <c r="A2333" s="10">
        <v>46192</v>
      </c>
      <c r="B2333" t="s">
        <v>1</v>
      </c>
      <c r="C2333" t="s">
        <v>126</v>
      </c>
      <c r="D2333">
        <v>2</v>
      </c>
      <c r="E2333">
        <v>0</v>
      </c>
      <c r="I2333">
        <v>2</v>
      </c>
      <c r="M2333" t="s">
        <v>2451</v>
      </c>
    </row>
    <row r="2334" spans="1:13" ht="15" customHeight="1">
      <c r="A2334" s="10">
        <v>46192</v>
      </c>
      <c r="B2334" t="s">
        <v>1</v>
      </c>
      <c r="C2334" t="s">
        <v>128</v>
      </c>
      <c r="D2334">
        <v>4</v>
      </c>
      <c r="E2334">
        <v>0</v>
      </c>
      <c r="I2334">
        <v>4</v>
      </c>
      <c r="M2334" t="s">
        <v>2452</v>
      </c>
    </row>
    <row r="2335" spans="1:13" ht="15" customHeight="1">
      <c r="A2335" s="10">
        <v>46192</v>
      </c>
      <c r="B2335" t="s">
        <v>1</v>
      </c>
      <c r="C2335" t="s">
        <v>130</v>
      </c>
      <c r="D2335">
        <v>4</v>
      </c>
      <c r="E2335">
        <v>0</v>
      </c>
      <c r="I2335">
        <v>4</v>
      </c>
      <c r="M2335" t="s">
        <v>2453</v>
      </c>
    </row>
    <row r="2336" spans="1:13" ht="15" customHeight="1">
      <c r="A2336" s="10">
        <v>46192</v>
      </c>
      <c r="B2336" t="s">
        <v>1</v>
      </c>
      <c r="C2336" t="s">
        <v>285</v>
      </c>
      <c r="D2336">
        <v>1</v>
      </c>
      <c r="E2336">
        <v>0</v>
      </c>
      <c r="I2336">
        <v>1</v>
      </c>
      <c r="M2336" t="s">
        <v>2454</v>
      </c>
    </row>
    <row r="2337" spans="1:13" ht="15" customHeight="1">
      <c r="A2337" s="10">
        <v>46192</v>
      </c>
      <c r="B2337" t="s">
        <v>1</v>
      </c>
      <c r="C2337" t="s">
        <v>287</v>
      </c>
      <c r="D2337">
        <v>2</v>
      </c>
      <c r="E2337">
        <v>0</v>
      </c>
      <c r="I2337">
        <v>2</v>
      </c>
      <c r="M2337" t="s">
        <v>2455</v>
      </c>
    </row>
    <row r="2338" spans="1:13" ht="15" customHeight="1">
      <c r="A2338" s="10">
        <v>46192</v>
      </c>
      <c r="B2338" t="s">
        <v>1</v>
      </c>
      <c r="C2338" t="s">
        <v>289</v>
      </c>
      <c r="D2338">
        <v>1</v>
      </c>
      <c r="E2338">
        <v>0</v>
      </c>
      <c r="I2338">
        <v>1</v>
      </c>
      <c r="M2338" t="s">
        <v>2456</v>
      </c>
    </row>
    <row r="2339" spans="1:13" ht="15" customHeight="1">
      <c r="A2339" s="10">
        <v>46192</v>
      </c>
      <c r="B2339" t="s">
        <v>1</v>
      </c>
      <c r="C2339" t="s">
        <v>291</v>
      </c>
      <c r="D2339">
        <v>2</v>
      </c>
      <c r="E2339">
        <v>0</v>
      </c>
      <c r="I2339">
        <v>2</v>
      </c>
      <c r="M2339" t="s">
        <v>2457</v>
      </c>
    </row>
    <row r="2340" spans="1:13" ht="15" customHeight="1">
      <c r="A2340" s="10">
        <v>46192</v>
      </c>
      <c r="B2340" t="s">
        <v>1</v>
      </c>
      <c r="C2340" t="s">
        <v>293</v>
      </c>
      <c r="D2340">
        <v>5</v>
      </c>
      <c r="E2340">
        <v>0</v>
      </c>
      <c r="I2340">
        <v>4</v>
      </c>
      <c r="M2340" t="s">
        <v>2458</v>
      </c>
    </row>
    <row r="2341" spans="1:13" ht="15" customHeight="1">
      <c r="A2341" s="10">
        <v>46192</v>
      </c>
      <c r="B2341" t="s">
        <v>1</v>
      </c>
      <c r="C2341" s="135" t="s">
        <v>138</v>
      </c>
      <c r="D2341">
        <v>0</v>
      </c>
      <c r="E2341">
        <v>33</v>
      </c>
      <c r="I2341">
        <v>0</v>
      </c>
      <c r="J2341">
        <v>24</v>
      </c>
      <c r="M2341" t="s">
        <v>2459</v>
      </c>
    </row>
    <row r="2342" spans="1:13" ht="15" customHeight="1">
      <c r="A2342" s="10">
        <v>46192</v>
      </c>
      <c r="B2342" t="s">
        <v>1</v>
      </c>
      <c r="C2342" s="135" t="s">
        <v>139</v>
      </c>
      <c r="D2342">
        <v>0</v>
      </c>
      <c r="E2342">
        <v>26</v>
      </c>
      <c r="I2342">
        <v>0</v>
      </c>
      <c r="J2342">
        <v>25</v>
      </c>
      <c r="M2342" t="s">
        <v>2460</v>
      </c>
    </row>
    <row r="2343" spans="1:13" ht="15" customHeight="1">
      <c r="A2343" s="10">
        <v>46192</v>
      </c>
      <c r="B2343" t="s">
        <v>1</v>
      </c>
      <c r="C2343" s="135" t="s">
        <v>140</v>
      </c>
      <c r="D2343">
        <v>0</v>
      </c>
      <c r="E2343">
        <v>17</v>
      </c>
      <c r="I2343">
        <v>0</v>
      </c>
      <c r="J2343">
        <v>12</v>
      </c>
      <c r="M2343" t="s">
        <v>2461</v>
      </c>
    </row>
    <row r="2344" spans="1:13" ht="15" customHeight="1">
      <c r="A2344" s="10">
        <v>46192</v>
      </c>
      <c r="B2344" t="s">
        <v>1</v>
      </c>
      <c r="C2344" s="135" t="s">
        <v>143</v>
      </c>
      <c r="D2344">
        <v>0</v>
      </c>
      <c r="E2344">
        <v>69</v>
      </c>
      <c r="I2344">
        <v>0</v>
      </c>
      <c r="J2344">
        <v>65</v>
      </c>
      <c r="M2344" t="s">
        <v>2462</v>
      </c>
    </row>
    <row r="2345" spans="1:13" ht="15" customHeight="1">
      <c r="A2345" s="10">
        <v>46192</v>
      </c>
      <c r="B2345" t="s">
        <v>1</v>
      </c>
      <c r="C2345" s="135" t="s">
        <v>145</v>
      </c>
      <c r="D2345">
        <v>0</v>
      </c>
      <c r="E2345">
        <v>54</v>
      </c>
      <c r="I2345">
        <v>0</v>
      </c>
      <c r="J2345">
        <v>50</v>
      </c>
      <c r="M2345" t="s">
        <v>2463</v>
      </c>
    </row>
    <row r="2346" spans="1:13" ht="15" customHeight="1">
      <c r="A2346" s="10">
        <v>46192</v>
      </c>
      <c r="B2346" t="s">
        <v>1</v>
      </c>
      <c r="C2346" s="135" t="s">
        <v>147</v>
      </c>
      <c r="D2346">
        <v>0</v>
      </c>
      <c r="E2346">
        <v>30</v>
      </c>
      <c r="I2346">
        <v>0</v>
      </c>
      <c r="J2346">
        <v>30</v>
      </c>
      <c r="M2346" t="s">
        <v>2464</v>
      </c>
    </row>
    <row r="2347" spans="1:13" ht="15" customHeight="1">
      <c r="A2347" s="10">
        <v>46192</v>
      </c>
      <c r="B2347" t="s">
        <v>1</v>
      </c>
      <c r="C2347" t="s">
        <v>302</v>
      </c>
      <c r="D2347">
        <v>2</v>
      </c>
      <c r="E2347">
        <v>0</v>
      </c>
      <c r="I2347">
        <v>2</v>
      </c>
      <c r="M2347" t="s">
        <v>2465</v>
      </c>
    </row>
    <row r="2348" spans="1:13" ht="15" customHeight="1">
      <c r="A2348" s="10">
        <v>46192</v>
      </c>
      <c r="B2348" t="s">
        <v>1</v>
      </c>
      <c r="C2348" t="s">
        <v>150</v>
      </c>
      <c r="D2348">
        <v>2</v>
      </c>
      <c r="E2348">
        <v>0</v>
      </c>
      <c r="I2348">
        <v>1</v>
      </c>
      <c r="M2348" t="s">
        <v>2466</v>
      </c>
    </row>
    <row r="2349" spans="1:13" ht="15" customHeight="1">
      <c r="A2349" s="10">
        <v>46192</v>
      </c>
      <c r="B2349" t="s">
        <v>1</v>
      </c>
      <c r="C2349" t="s">
        <v>151</v>
      </c>
      <c r="D2349">
        <v>2</v>
      </c>
      <c r="E2349">
        <v>0</v>
      </c>
      <c r="I2349">
        <v>2</v>
      </c>
      <c r="M2349" t="s">
        <v>2467</v>
      </c>
    </row>
    <row r="2350" spans="1:13" ht="15" customHeight="1">
      <c r="A2350" s="10">
        <v>46192</v>
      </c>
      <c r="B2350" t="s">
        <v>1</v>
      </c>
      <c r="C2350" t="s">
        <v>152</v>
      </c>
      <c r="D2350">
        <v>2</v>
      </c>
      <c r="E2350">
        <v>0</v>
      </c>
      <c r="I2350">
        <v>2</v>
      </c>
      <c r="M2350" t="s">
        <v>2468</v>
      </c>
    </row>
    <row r="2351" spans="1:13" ht="15" customHeight="1">
      <c r="A2351" s="10">
        <v>46192</v>
      </c>
      <c r="B2351" t="s">
        <v>1</v>
      </c>
      <c r="C2351" t="s">
        <v>153</v>
      </c>
      <c r="D2351">
        <v>2</v>
      </c>
      <c r="E2351">
        <v>0</v>
      </c>
      <c r="I2351">
        <v>2</v>
      </c>
      <c r="M2351" t="s">
        <v>2469</v>
      </c>
    </row>
    <row r="2352" spans="1:13" ht="15" customHeight="1">
      <c r="A2352" s="10">
        <v>46192</v>
      </c>
      <c r="B2352" t="s">
        <v>1</v>
      </c>
      <c r="C2352" t="s">
        <v>308</v>
      </c>
      <c r="D2352">
        <v>0</v>
      </c>
      <c r="E2352">
        <v>4</v>
      </c>
      <c r="I2352">
        <v>0</v>
      </c>
      <c r="J2352">
        <v>4</v>
      </c>
      <c r="M2352" t="s">
        <v>2470</v>
      </c>
    </row>
    <row r="2353" spans="1:13" ht="15" customHeight="1">
      <c r="A2353" s="10">
        <v>46192</v>
      </c>
      <c r="B2353" t="s">
        <v>1</v>
      </c>
      <c r="C2353" t="s">
        <v>310</v>
      </c>
      <c r="D2353">
        <v>0</v>
      </c>
      <c r="E2353">
        <v>2</v>
      </c>
      <c r="I2353">
        <v>0</v>
      </c>
      <c r="J2353">
        <v>2</v>
      </c>
      <c r="M2353" t="s">
        <v>2471</v>
      </c>
    </row>
    <row r="2354" spans="1:13" ht="15" customHeight="1">
      <c r="A2354" s="10">
        <v>46192</v>
      </c>
      <c r="B2354" t="s">
        <v>1</v>
      </c>
      <c r="C2354" t="s">
        <v>312</v>
      </c>
      <c r="D2354">
        <v>0</v>
      </c>
      <c r="E2354">
        <v>4</v>
      </c>
      <c r="I2354">
        <v>0</v>
      </c>
      <c r="J2354">
        <v>3</v>
      </c>
      <c r="M2354" t="s">
        <v>2472</v>
      </c>
    </row>
    <row r="2355" spans="1:13" ht="15" customHeight="1">
      <c r="A2355" s="10">
        <v>46192</v>
      </c>
      <c r="B2355" t="s">
        <v>1</v>
      </c>
      <c r="C2355" t="s">
        <v>314</v>
      </c>
      <c r="D2355">
        <v>1</v>
      </c>
      <c r="E2355">
        <v>0</v>
      </c>
      <c r="I2355">
        <v>1</v>
      </c>
      <c r="M2355" t="s">
        <v>2473</v>
      </c>
    </row>
    <row r="2356" spans="1:13" ht="15" customHeight="1">
      <c r="A2356" s="10">
        <v>46192</v>
      </c>
      <c r="B2356" t="s">
        <v>1</v>
      </c>
      <c r="C2356" t="s">
        <v>316</v>
      </c>
      <c r="D2356">
        <v>0</v>
      </c>
      <c r="E2356">
        <v>0</v>
      </c>
      <c r="I2356">
        <v>0</v>
      </c>
      <c r="M2356" t="s">
        <v>2474</v>
      </c>
    </row>
    <row r="2357" spans="1:13" ht="15" customHeight="1">
      <c r="A2357" s="10">
        <v>46192</v>
      </c>
      <c r="B2357" t="s">
        <v>1</v>
      </c>
      <c r="C2357" t="s">
        <v>318</v>
      </c>
      <c r="D2357">
        <v>3</v>
      </c>
      <c r="E2357">
        <v>0</v>
      </c>
      <c r="I2357">
        <v>2</v>
      </c>
      <c r="M2357" t="s">
        <v>2475</v>
      </c>
    </row>
    <row r="2358" spans="1:13" ht="15" customHeight="1">
      <c r="A2358" s="10">
        <v>46192</v>
      </c>
      <c r="B2358" t="s">
        <v>1</v>
      </c>
      <c r="C2358" t="s">
        <v>320</v>
      </c>
      <c r="D2358">
        <v>2</v>
      </c>
      <c r="E2358">
        <v>0</v>
      </c>
      <c r="I2358">
        <v>1</v>
      </c>
      <c r="M2358" t="s">
        <v>2476</v>
      </c>
    </row>
    <row r="2359" spans="1:13" ht="15" customHeight="1">
      <c r="A2359" s="10">
        <v>46192</v>
      </c>
      <c r="B2359" t="s">
        <v>1</v>
      </c>
      <c r="C2359" t="s">
        <v>322</v>
      </c>
      <c r="D2359">
        <v>0</v>
      </c>
      <c r="E2359">
        <v>0</v>
      </c>
      <c r="I2359">
        <v>0</v>
      </c>
      <c r="M2359" t="s">
        <v>2477</v>
      </c>
    </row>
    <row r="2360" spans="1:13" ht="15" customHeight="1">
      <c r="A2360" s="10">
        <v>46192</v>
      </c>
      <c r="B2360" t="s">
        <v>1</v>
      </c>
      <c r="C2360" s="135" t="s">
        <v>168</v>
      </c>
      <c r="D2360">
        <v>1</v>
      </c>
      <c r="E2360">
        <v>0</v>
      </c>
      <c r="I2360">
        <v>1</v>
      </c>
      <c r="M2360" t="s">
        <v>2478</v>
      </c>
    </row>
    <row r="2361" spans="1:13" ht="15" customHeight="1">
      <c r="A2361" s="10">
        <v>46192</v>
      </c>
      <c r="B2361" t="s">
        <v>1</v>
      </c>
      <c r="C2361" s="135" t="s">
        <v>170</v>
      </c>
      <c r="D2361">
        <v>1</v>
      </c>
      <c r="E2361">
        <v>0</v>
      </c>
      <c r="I2361">
        <v>1</v>
      </c>
      <c r="M2361" t="s">
        <v>2479</v>
      </c>
    </row>
    <row r="2362" spans="1:13" ht="15" customHeight="1">
      <c r="A2362" s="10">
        <v>46192</v>
      </c>
      <c r="B2362" t="s">
        <v>1</v>
      </c>
      <c r="C2362" s="135" t="s">
        <v>171</v>
      </c>
      <c r="D2362">
        <v>2</v>
      </c>
      <c r="E2362">
        <v>0</v>
      </c>
      <c r="I2362">
        <v>2</v>
      </c>
      <c r="M2362" t="s">
        <v>2480</v>
      </c>
    </row>
    <row r="2363" spans="1:13" ht="15" customHeight="1">
      <c r="A2363" s="10">
        <v>46192</v>
      </c>
      <c r="B2363" t="s">
        <v>1</v>
      </c>
      <c r="C2363" s="135" t="s">
        <v>172</v>
      </c>
      <c r="D2363">
        <v>1</v>
      </c>
      <c r="E2363">
        <v>0</v>
      </c>
      <c r="I2363">
        <v>1</v>
      </c>
      <c r="M2363" t="s">
        <v>2481</v>
      </c>
    </row>
    <row r="2364" spans="1:13" ht="15" customHeight="1">
      <c r="A2364" s="10">
        <v>46192</v>
      </c>
      <c r="B2364" t="s">
        <v>1</v>
      </c>
      <c r="C2364" s="135" t="s">
        <v>173</v>
      </c>
      <c r="D2364">
        <v>0</v>
      </c>
      <c r="E2364">
        <v>0</v>
      </c>
      <c r="I2364">
        <v>0</v>
      </c>
      <c r="M2364" t="s">
        <v>2482</v>
      </c>
    </row>
    <row r="2365" spans="1:13" ht="15" customHeight="1">
      <c r="A2365" s="10">
        <v>46192</v>
      </c>
      <c r="B2365" t="s">
        <v>1</v>
      </c>
      <c r="C2365" t="s">
        <v>176</v>
      </c>
      <c r="D2365">
        <v>0</v>
      </c>
      <c r="E2365">
        <v>6</v>
      </c>
      <c r="I2365">
        <v>0</v>
      </c>
      <c r="J2365">
        <v>6</v>
      </c>
      <c r="M2365" t="s">
        <v>2483</v>
      </c>
    </row>
    <row r="2366" spans="1:13" ht="15" customHeight="1">
      <c r="A2366" s="10">
        <v>46192</v>
      </c>
      <c r="B2366" t="s">
        <v>1</v>
      </c>
      <c r="C2366" t="s">
        <v>178</v>
      </c>
      <c r="D2366">
        <v>0</v>
      </c>
      <c r="E2366">
        <v>9</v>
      </c>
      <c r="I2366">
        <v>0</v>
      </c>
      <c r="J2366">
        <v>9</v>
      </c>
      <c r="M2366" t="s">
        <v>2484</v>
      </c>
    </row>
    <row r="2367" spans="1:13" ht="15" customHeight="1">
      <c r="A2367" s="10">
        <v>46192</v>
      </c>
      <c r="B2367" t="s">
        <v>1</v>
      </c>
      <c r="C2367" t="s">
        <v>179</v>
      </c>
      <c r="D2367">
        <v>0</v>
      </c>
      <c r="E2367">
        <v>12</v>
      </c>
      <c r="H2367">
        <v>1</v>
      </c>
      <c r="I2367">
        <v>0</v>
      </c>
      <c r="J2367">
        <v>11</v>
      </c>
      <c r="M2367" t="s">
        <v>2485</v>
      </c>
    </row>
    <row r="2368" spans="1:13" ht="15" customHeight="1">
      <c r="A2368" s="10">
        <v>46192</v>
      </c>
      <c r="B2368" t="s">
        <v>1</v>
      </c>
      <c r="C2368" t="s">
        <v>180</v>
      </c>
      <c r="D2368">
        <v>0</v>
      </c>
      <c r="E2368">
        <v>15</v>
      </c>
      <c r="I2368">
        <v>0</v>
      </c>
      <c r="J2368">
        <v>15</v>
      </c>
      <c r="M2368" t="s">
        <v>2486</v>
      </c>
    </row>
    <row r="2369" spans="1:13" ht="15" customHeight="1">
      <c r="A2369" s="10">
        <v>46192</v>
      </c>
      <c r="B2369" t="s">
        <v>1</v>
      </c>
      <c r="C2369" s="135" t="s">
        <v>182</v>
      </c>
      <c r="D2369">
        <v>1</v>
      </c>
      <c r="E2369">
        <v>261</v>
      </c>
      <c r="I2369">
        <v>1</v>
      </c>
      <c r="J2369">
        <v>261</v>
      </c>
      <c r="M2369" t="s">
        <v>2487</v>
      </c>
    </row>
    <row r="2370" spans="1:13" ht="15" customHeight="1">
      <c r="A2370" s="10">
        <v>46192</v>
      </c>
      <c r="B2370" t="s">
        <v>1</v>
      </c>
      <c r="C2370" s="135" t="s">
        <v>184</v>
      </c>
      <c r="D2370">
        <v>0</v>
      </c>
      <c r="E2370">
        <v>84</v>
      </c>
      <c r="I2370">
        <v>0</v>
      </c>
      <c r="J2370">
        <v>83</v>
      </c>
      <c r="M2370" t="s">
        <v>2488</v>
      </c>
    </row>
    <row r="2371" spans="1:13" ht="15" customHeight="1">
      <c r="A2371" s="10">
        <v>46192</v>
      </c>
      <c r="B2371" t="s">
        <v>1</v>
      </c>
      <c r="C2371" s="135" t="s">
        <v>185</v>
      </c>
      <c r="D2371">
        <v>1</v>
      </c>
      <c r="E2371">
        <v>56</v>
      </c>
      <c r="I2371">
        <v>1</v>
      </c>
      <c r="J2371">
        <v>50</v>
      </c>
      <c r="M2371" t="s">
        <v>2489</v>
      </c>
    </row>
    <row r="2372" spans="1:13" ht="15" customHeight="1">
      <c r="A2372" s="10">
        <v>46192</v>
      </c>
      <c r="B2372" t="s">
        <v>1</v>
      </c>
      <c r="C2372" s="135" t="s">
        <v>186</v>
      </c>
      <c r="D2372">
        <v>1</v>
      </c>
      <c r="E2372">
        <v>80</v>
      </c>
      <c r="I2372">
        <v>1</v>
      </c>
      <c r="J2372">
        <v>71</v>
      </c>
      <c r="M2372" t="s">
        <v>2490</v>
      </c>
    </row>
    <row r="2373" spans="1:13" ht="15" customHeight="1">
      <c r="A2373" s="10">
        <v>46192</v>
      </c>
      <c r="B2373" t="s">
        <v>1</v>
      </c>
      <c r="C2373" t="s">
        <v>337</v>
      </c>
      <c r="D2373">
        <v>2</v>
      </c>
      <c r="E2373">
        <v>137</v>
      </c>
      <c r="I2373">
        <v>2</v>
      </c>
      <c r="J2373">
        <v>0</v>
      </c>
      <c r="M2373" t="s">
        <v>2491</v>
      </c>
    </row>
    <row r="2374" spans="1:13" ht="15" customHeight="1">
      <c r="A2374" s="10">
        <v>46192</v>
      </c>
      <c r="B2374" t="s">
        <v>1</v>
      </c>
      <c r="C2374" t="s">
        <v>339</v>
      </c>
      <c r="D2374">
        <v>0</v>
      </c>
      <c r="E2374">
        <v>0</v>
      </c>
      <c r="I2374">
        <v>0</v>
      </c>
      <c r="J2374">
        <v>0</v>
      </c>
      <c r="M2374" t="s">
        <v>2492</v>
      </c>
    </row>
    <row r="2375" spans="1:13" ht="15" customHeight="1">
      <c r="A2375" s="10">
        <v>46192</v>
      </c>
      <c r="B2375" t="s">
        <v>1</v>
      </c>
      <c r="C2375" s="135" t="s">
        <v>191</v>
      </c>
      <c r="D2375">
        <v>1</v>
      </c>
      <c r="E2375">
        <v>341</v>
      </c>
      <c r="I2375">
        <v>1</v>
      </c>
      <c r="J2375">
        <v>220</v>
      </c>
      <c r="M2375" t="s">
        <v>2493</v>
      </c>
    </row>
    <row r="2376" spans="1:13" ht="15" customHeight="1">
      <c r="A2376" s="10">
        <v>46192</v>
      </c>
      <c r="B2376" t="s">
        <v>1</v>
      </c>
      <c r="C2376" s="135" t="s">
        <v>193</v>
      </c>
      <c r="D2376">
        <v>1</v>
      </c>
      <c r="E2376">
        <v>225</v>
      </c>
      <c r="I2376">
        <v>1</v>
      </c>
      <c r="J2376">
        <v>204</v>
      </c>
      <c r="M2376" t="s">
        <v>2494</v>
      </c>
    </row>
    <row r="2377" spans="1:13" ht="15" customHeight="1">
      <c r="A2377" s="10">
        <v>46192</v>
      </c>
      <c r="B2377" t="s">
        <v>1</v>
      </c>
      <c r="C2377" s="135" t="s">
        <v>194</v>
      </c>
      <c r="D2377">
        <v>0</v>
      </c>
      <c r="E2377">
        <v>17</v>
      </c>
      <c r="I2377">
        <v>0</v>
      </c>
      <c r="J2377">
        <v>14</v>
      </c>
      <c r="M2377" t="s">
        <v>2495</v>
      </c>
    </row>
    <row r="2378" spans="1:13" ht="15" customHeight="1">
      <c r="A2378" s="10">
        <v>46192</v>
      </c>
      <c r="B2378" t="s">
        <v>1</v>
      </c>
      <c r="C2378" s="135" t="s">
        <v>196</v>
      </c>
      <c r="D2378">
        <v>0</v>
      </c>
      <c r="E2378">
        <v>467</v>
      </c>
      <c r="I2378">
        <v>0</v>
      </c>
      <c r="J2378">
        <v>434</v>
      </c>
      <c r="M2378" t="s">
        <v>2496</v>
      </c>
    </row>
    <row r="2379" spans="1:13" ht="15" customHeight="1">
      <c r="A2379" s="10">
        <v>46193</v>
      </c>
      <c r="B2379" t="s">
        <v>1</v>
      </c>
      <c r="C2379" t="s">
        <v>23</v>
      </c>
      <c r="D2379">
        <v>3</v>
      </c>
      <c r="E2379">
        <v>0</v>
      </c>
      <c r="F2379">
        <v>3</v>
      </c>
      <c r="I2379">
        <v>6</v>
      </c>
      <c r="J2379">
        <v>0</v>
      </c>
      <c r="M2379" t="s">
        <v>2497</v>
      </c>
    </row>
    <row r="2380" spans="1:13" ht="15" customHeight="1">
      <c r="A2380" s="10">
        <v>46193</v>
      </c>
      <c r="B2380" t="s">
        <v>1</v>
      </c>
      <c r="C2380" t="s">
        <v>26</v>
      </c>
      <c r="D2380">
        <v>1</v>
      </c>
      <c r="E2380">
        <v>620</v>
      </c>
      <c r="I2380">
        <v>1</v>
      </c>
      <c r="J2380">
        <v>617</v>
      </c>
      <c r="M2380" t="s">
        <v>2498</v>
      </c>
    </row>
    <row r="2381" spans="1:13" ht="15" customHeight="1">
      <c r="A2381" s="10">
        <v>46193</v>
      </c>
      <c r="B2381" t="s">
        <v>1</v>
      </c>
      <c r="C2381" t="s">
        <v>27</v>
      </c>
      <c r="D2381">
        <v>1</v>
      </c>
      <c r="E2381">
        <v>275</v>
      </c>
      <c r="G2381">
        <v>500</v>
      </c>
      <c r="I2381">
        <v>1</v>
      </c>
      <c r="J2381">
        <v>270</v>
      </c>
      <c r="M2381" t="s">
        <v>2499</v>
      </c>
    </row>
    <row r="2382" spans="1:13" ht="15" customHeight="1">
      <c r="A2382" s="10">
        <v>46193</v>
      </c>
      <c r="B2382" t="s">
        <v>1</v>
      </c>
      <c r="C2382" t="s">
        <v>28</v>
      </c>
      <c r="D2382">
        <v>0</v>
      </c>
      <c r="E2382">
        <v>0</v>
      </c>
      <c r="I2382">
        <v>0</v>
      </c>
      <c r="J2382">
        <v>0</v>
      </c>
      <c r="M2382" t="s">
        <v>2500</v>
      </c>
    </row>
    <row r="2383" spans="1:13" ht="15" customHeight="1">
      <c r="A2383" s="10">
        <v>46193</v>
      </c>
      <c r="B2383" t="s">
        <v>1</v>
      </c>
      <c r="C2383" t="s">
        <v>29</v>
      </c>
      <c r="D2383">
        <v>0</v>
      </c>
      <c r="E2383">
        <v>500</v>
      </c>
      <c r="F2383">
        <v>1</v>
      </c>
      <c r="I2383">
        <v>1</v>
      </c>
      <c r="J2383">
        <v>498</v>
      </c>
      <c r="M2383" t="s">
        <v>2501</v>
      </c>
    </row>
    <row r="2384" spans="1:13" ht="15" customHeight="1">
      <c r="A2384" s="10">
        <v>46193</v>
      </c>
      <c r="B2384" t="s">
        <v>1</v>
      </c>
      <c r="C2384" t="s">
        <v>30</v>
      </c>
      <c r="D2384">
        <v>2</v>
      </c>
      <c r="E2384">
        <v>144</v>
      </c>
      <c r="I2384">
        <v>2</v>
      </c>
      <c r="J2384">
        <v>140</v>
      </c>
      <c r="M2384" t="s">
        <v>2502</v>
      </c>
    </row>
    <row r="2385" spans="1:13" ht="15" customHeight="1">
      <c r="A2385" s="10">
        <v>46193</v>
      </c>
      <c r="B2385" t="s">
        <v>1</v>
      </c>
      <c r="C2385" t="s">
        <v>31</v>
      </c>
      <c r="D2385">
        <v>0</v>
      </c>
      <c r="E2385">
        <v>893</v>
      </c>
      <c r="F2385">
        <v>1</v>
      </c>
      <c r="G2385">
        <v>850</v>
      </c>
      <c r="I2385">
        <v>2</v>
      </c>
      <c r="J2385">
        <v>740</v>
      </c>
      <c r="M2385" t="s">
        <v>2503</v>
      </c>
    </row>
    <row r="2386" spans="1:13" ht="15" customHeight="1">
      <c r="A2386" s="10">
        <v>46193</v>
      </c>
      <c r="B2386" t="s">
        <v>1</v>
      </c>
      <c r="C2386" t="s">
        <v>32</v>
      </c>
      <c r="D2386">
        <v>2</v>
      </c>
      <c r="E2386">
        <v>469</v>
      </c>
      <c r="I2386">
        <v>2</v>
      </c>
      <c r="J2386">
        <v>469</v>
      </c>
      <c r="M2386" t="s">
        <v>2504</v>
      </c>
    </row>
    <row r="2387" spans="1:13" ht="15" customHeight="1">
      <c r="A2387" s="10">
        <v>46193</v>
      </c>
      <c r="B2387" t="s">
        <v>1</v>
      </c>
      <c r="C2387" t="s">
        <v>223</v>
      </c>
      <c r="D2387">
        <v>5</v>
      </c>
      <c r="E2387">
        <v>232</v>
      </c>
      <c r="F2387">
        <v>2</v>
      </c>
      <c r="I2387">
        <v>7</v>
      </c>
      <c r="J2387">
        <v>180</v>
      </c>
      <c r="M2387" t="s">
        <v>2505</v>
      </c>
    </row>
    <row r="2388" spans="1:13" ht="15" customHeight="1">
      <c r="A2388" s="10">
        <v>46193</v>
      </c>
      <c r="B2388" t="s">
        <v>1</v>
      </c>
      <c r="C2388" t="s">
        <v>35</v>
      </c>
      <c r="D2388">
        <v>0</v>
      </c>
      <c r="E2388">
        <v>0</v>
      </c>
      <c r="F2388">
        <v>10</v>
      </c>
      <c r="I2388">
        <v>10</v>
      </c>
      <c r="M2388" t="s">
        <v>2506</v>
      </c>
    </row>
    <row r="2389" spans="1:13" ht="15" customHeight="1">
      <c r="A2389" s="10">
        <v>46193</v>
      </c>
      <c r="B2389" t="s">
        <v>1</v>
      </c>
      <c r="C2389" t="s">
        <v>37</v>
      </c>
      <c r="D2389">
        <v>0</v>
      </c>
      <c r="E2389">
        <v>0</v>
      </c>
      <c r="F2389">
        <v>3</v>
      </c>
      <c r="I2389">
        <v>3</v>
      </c>
      <c r="M2389" t="s">
        <v>2507</v>
      </c>
    </row>
    <row r="2390" spans="1:13" ht="15" customHeight="1">
      <c r="A2390" s="10">
        <v>46193</v>
      </c>
      <c r="B2390" t="s">
        <v>1</v>
      </c>
      <c r="C2390" t="s">
        <v>39</v>
      </c>
      <c r="D2390">
        <v>13</v>
      </c>
      <c r="E2390">
        <v>0</v>
      </c>
      <c r="I2390">
        <v>13</v>
      </c>
      <c r="J2390">
        <v>0</v>
      </c>
      <c r="M2390" t="s">
        <v>2508</v>
      </c>
    </row>
    <row r="2391" spans="1:13" ht="15" customHeight="1">
      <c r="A2391" s="10">
        <v>46193</v>
      </c>
      <c r="B2391" t="s">
        <v>1</v>
      </c>
      <c r="C2391" t="s">
        <v>41</v>
      </c>
      <c r="D2391">
        <v>9</v>
      </c>
      <c r="E2391">
        <v>0</v>
      </c>
      <c r="F2391">
        <v>10</v>
      </c>
      <c r="I2391">
        <v>19</v>
      </c>
      <c r="J2391">
        <v>0</v>
      </c>
      <c r="M2391" t="s">
        <v>2509</v>
      </c>
    </row>
    <row r="2392" spans="1:13" ht="15" customHeight="1">
      <c r="A2392" s="10">
        <v>46193</v>
      </c>
      <c r="B2392" t="s">
        <v>1</v>
      </c>
      <c r="C2392" t="s">
        <v>232</v>
      </c>
      <c r="D2392">
        <v>0</v>
      </c>
      <c r="E2392">
        <v>0</v>
      </c>
      <c r="I2392">
        <v>0</v>
      </c>
      <c r="J2392">
        <v>0</v>
      </c>
      <c r="M2392" t="s">
        <v>2510</v>
      </c>
    </row>
    <row r="2393" spans="1:13" ht="15" customHeight="1">
      <c r="A2393" s="10">
        <v>46193</v>
      </c>
      <c r="B2393" t="s">
        <v>1</v>
      </c>
      <c r="C2393" t="s">
        <v>234</v>
      </c>
      <c r="D2393">
        <v>44</v>
      </c>
      <c r="E2393">
        <v>0</v>
      </c>
      <c r="F2393">
        <v>45</v>
      </c>
      <c r="H2393">
        <v>1</v>
      </c>
      <c r="I2393">
        <v>88</v>
      </c>
      <c r="J2393">
        <v>0</v>
      </c>
      <c r="M2393" t="s">
        <v>2511</v>
      </c>
    </row>
    <row r="2394" spans="1:13" ht="15" customHeight="1">
      <c r="A2394" s="10">
        <v>46193</v>
      </c>
      <c r="B2394" t="s">
        <v>1</v>
      </c>
      <c r="C2394" t="s">
        <v>54</v>
      </c>
      <c r="D2394">
        <v>0</v>
      </c>
      <c r="E2394">
        <v>0</v>
      </c>
      <c r="I2394">
        <v>0</v>
      </c>
      <c r="J2394">
        <v>0</v>
      </c>
      <c r="M2394" t="s">
        <v>2512</v>
      </c>
    </row>
    <row r="2395" spans="1:13" ht="15" customHeight="1">
      <c r="A2395" s="10">
        <v>46193</v>
      </c>
      <c r="B2395" t="s">
        <v>1</v>
      </c>
      <c r="C2395" t="s">
        <v>237</v>
      </c>
      <c r="D2395">
        <v>9</v>
      </c>
      <c r="E2395">
        <v>0</v>
      </c>
      <c r="I2395">
        <v>9</v>
      </c>
      <c r="J2395">
        <v>0</v>
      </c>
      <c r="M2395" t="s">
        <v>2513</v>
      </c>
    </row>
    <row r="2396" spans="1:13" ht="15" customHeight="1">
      <c r="A2396" s="10">
        <v>46193</v>
      </c>
      <c r="B2396" t="s">
        <v>1</v>
      </c>
      <c r="C2396" s="135" t="s">
        <v>58</v>
      </c>
      <c r="D2396">
        <v>4</v>
      </c>
      <c r="E2396">
        <v>0</v>
      </c>
      <c r="F2396">
        <v>10</v>
      </c>
      <c r="I2396">
        <v>14</v>
      </c>
      <c r="J2396">
        <v>0</v>
      </c>
      <c r="M2396" t="s">
        <v>2514</v>
      </c>
    </row>
    <row r="2397" spans="1:13" ht="15" customHeight="1">
      <c r="A2397" s="10">
        <v>46193</v>
      </c>
      <c r="B2397" t="s">
        <v>1</v>
      </c>
      <c r="C2397" s="135" t="s">
        <v>60</v>
      </c>
      <c r="D2397">
        <v>0</v>
      </c>
      <c r="E2397">
        <v>0</v>
      </c>
      <c r="F2397">
        <v>10</v>
      </c>
      <c r="I2397">
        <v>10</v>
      </c>
      <c r="J2397">
        <v>0</v>
      </c>
      <c r="M2397" t="s">
        <v>2515</v>
      </c>
    </row>
    <row r="2398" spans="1:13" ht="15" customHeight="1">
      <c r="A2398" s="10">
        <v>46193</v>
      </c>
      <c r="B2398" t="s">
        <v>1</v>
      </c>
      <c r="C2398" s="135" t="s">
        <v>61</v>
      </c>
      <c r="D2398">
        <v>5</v>
      </c>
      <c r="E2398">
        <v>0</v>
      </c>
      <c r="F2398">
        <v>10</v>
      </c>
      <c r="I2398">
        <v>15</v>
      </c>
      <c r="J2398">
        <v>0</v>
      </c>
      <c r="M2398" t="s">
        <v>2516</v>
      </c>
    </row>
    <row r="2399" spans="1:13" ht="15" customHeight="1">
      <c r="A2399" s="10">
        <v>46193</v>
      </c>
      <c r="B2399" t="s">
        <v>1</v>
      </c>
      <c r="C2399" s="135" t="s">
        <v>62</v>
      </c>
      <c r="D2399">
        <v>4</v>
      </c>
      <c r="E2399">
        <v>0</v>
      </c>
      <c r="F2399">
        <v>5</v>
      </c>
      <c r="I2399">
        <v>9</v>
      </c>
      <c r="J2399">
        <v>0</v>
      </c>
      <c r="M2399" t="s">
        <v>2517</v>
      </c>
    </row>
    <row r="2400" spans="1:13" ht="15" customHeight="1">
      <c r="A2400" s="10">
        <v>46193</v>
      </c>
      <c r="B2400" t="s">
        <v>1</v>
      </c>
      <c r="C2400" s="135" t="s">
        <v>63</v>
      </c>
      <c r="D2400">
        <v>3</v>
      </c>
      <c r="E2400">
        <v>0</v>
      </c>
      <c r="F2400">
        <v>5</v>
      </c>
      <c r="I2400">
        <v>8</v>
      </c>
      <c r="J2400">
        <v>0</v>
      </c>
      <c r="M2400" t="s">
        <v>2518</v>
      </c>
    </row>
    <row r="2401" spans="1:13" ht="15" customHeight="1">
      <c r="A2401" s="10">
        <v>46193</v>
      </c>
      <c r="B2401" t="s">
        <v>1</v>
      </c>
      <c r="C2401" s="135" t="s">
        <v>64</v>
      </c>
      <c r="D2401">
        <v>4</v>
      </c>
      <c r="E2401">
        <v>0</v>
      </c>
      <c r="F2401">
        <v>5</v>
      </c>
      <c r="I2401">
        <v>9</v>
      </c>
      <c r="J2401">
        <v>0</v>
      </c>
      <c r="M2401" t="s">
        <v>2519</v>
      </c>
    </row>
    <row r="2402" spans="1:13" ht="15" customHeight="1">
      <c r="A2402" s="10">
        <v>46193</v>
      </c>
      <c r="B2402" t="s">
        <v>1</v>
      </c>
      <c r="C2402" t="s">
        <v>66</v>
      </c>
      <c r="D2402">
        <v>4</v>
      </c>
      <c r="E2402">
        <v>0</v>
      </c>
      <c r="I2402">
        <v>4</v>
      </c>
      <c r="J2402">
        <v>0</v>
      </c>
      <c r="M2402" t="s">
        <v>2520</v>
      </c>
    </row>
    <row r="2403" spans="1:13" ht="15" customHeight="1">
      <c r="A2403" s="10">
        <v>46193</v>
      </c>
      <c r="B2403" t="s">
        <v>1</v>
      </c>
      <c r="C2403" t="s">
        <v>67</v>
      </c>
      <c r="D2403">
        <v>5</v>
      </c>
      <c r="E2403">
        <v>0</v>
      </c>
      <c r="I2403">
        <v>5</v>
      </c>
      <c r="J2403">
        <v>0</v>
      </c>
      <c r="M2403" t="s">
        <v>2521</v>
      </c>
    </row>
    <row r="2404" spans="1:13" ht="15" customHeight="1">
      <c r="A2404" s="10">
        <v>46193</v>
      </c>
      <c r="B2404" t="s">
        <v>1</v>
      </c>
      <c r="C2404" t="s">
        <v>68</v>
      </c>
      <c r="D2404">
        <v>0</v>
      </c>
      <c r="E2404">
        <v>0</v>
      </c>
      <c r="I2404">
        <v>0</v>
      </c>
      <c r="J2404">
        <v>0</v>
      </c>
      <c r="M2404" t="s">
        <v>2522</v>
      </c>
    </row>
    <row r="2405" spans="1:13" ht="15" customHeight="1">
      <c r="A2405" s="10">
        <v>46193</v>
      </c>
      <c r="B2405" t="s">
        <v>1</v>
      </c>
      <c r="C2405" t="s">
        <v>71</v>
      </c>
      <c r="D2405">
        <v>1</v>
      </c>
      <c r="E2405">
        <v>585</v>
      </c>
      <c r="I2405">
        <v>1</v>
      </c>
      <c r="J2405">
        <v>585</v>
      </c>
      <c r="M2405" t="s">
        <v>2523</v>
      </c>
    </row>
    <row r="2406" spans="1:13" ht="15" customHeight="1">
      <c r="A2406" s="10">
        <v>46193</v>
      </c>
      <c r="B2406" t="s">
        <v>1</v>
      </c>
      <c r="C2406" t="s">
        <v>73</v>
      </c>
      <c r="D2406">
        <v>3</v>
      </c>
      <c r="E2406">
        <v>80</v>
      </c>
      <c r="I2406">
        <v>3</v>
      </c>
      <c r="J2406">
        <v>80</v>
      </c>
      <c r="M2406" t="s">
        <v>2524</v>
      </c>
    </row>
    <row r="2407" spans="1:13" ht="15" customHeight="1">
      <c r="A2407" s="10">
        <v>46193</v>
      </c>
      <c r="B2407" t="s">
        <v>1</v>
      </c>
      <c r="C2407" t="s">
        <v>75</v>
      </c>
      <c r="D2407">
        <v>0</v>
      </c>
      <c r="E2407">
        <v>277</v>
      </c>
      <c r="I2407">
        <v>0</v>
      </c>
      <c r="J2407">
        <v>277</v>
      </c>
      <c r="M2407" t="s">
        <v>2525</v>
      </c>
    </row>
    <row r="2408" spans="1:13" ht="15" customHeight="1">
      <c r="A2408" s="10">
        <v>46193</v>
      </c>
      <c r="B2408" t="s">
        <v>1</v>
      </c>
      <c r="C2408" t="s">
        <v>77</v>
      </c>
      <c r="D2408">
        <v>0</v>
      </c>
      <c r="E2408">
        <v>890</v>
      </c>
      <c r="I2408">
        <v>0</v>
      </c>
      <c r="J2408">
        <v>890</v>
      </c>
      <c r="M2408" t="s">
        <v>2526</v>
      </c>
    </row>
    <row r="2409" spans="1:13" ht="15" customHeight="1">
      <c r="A2409" s="10">
        <v>46193</v>
      </c>
      <c r="B2409" t="s">
        <v>1</v>
      </c>
      <c r="C2409" t="s">
        <v>79</v>
      </c>
      <c r="D2409">
        <v>1</v>
      </c>
      <c r="E2409">
        <v>996</v>
      </c>
      <c r="I2409">
        <v>1</v>
      </c>
      <c r="J2409">
        <v>996</v>
      </c>
      <c r="M2409" t="s">
        <v>2527</v>
      </c>
    </row>
    <row r="2410" spans="1:13" ht="15" customHeight="1">
      <c r="A2410" s="10">
        <v>46193</v>
      </c>
      <c r="B2410" t="s">
        <v>1</v>
      </c>
      <c r="C2410" t="s">
        <v>81</v>
      </c>
      <c r="D2410">
        <v>0</v>
      </c>
      <c r="E2410">
        <v>239</v>
      </c>
      <c r="I2410">
        <v>0</v>
      </c>
      <c r="J2410">
        <v>239</v>
      </c>
      <c r="M2410" t="s">
        <v>2528</v>
      </c>
    </row>
    <row r="2411" spans="1:13" ht="15" customHeight="1">
      <c r="A2411" s="10">
        <v>46193</v>
      </c>
      <c r="B2411" t="s">
        <v>1</v>
      </c>
      <c r="C2411" t="s">
        <v>83</v>
      </c>
      <c r="D2411">
        <v>1</v>
      </c>
      <c r="E2411">
        <v>173</v>
      </c>
      <c r="I2411">
        <v>1</v>
      </c>
      <c r="J2411">
        <v>173</v>
      </c>
      <c r="M2411" t="s">
        <v>2529</v>
      </c>
    </row>
    <row r="2412" spans="1:13" ht="15" customHeight="1">
      <c r="A2412" s="10">
        <v>46193</v>
      </c>
      <c r="B2412" t="s">
        <v>1</v>
      </c>
      <c r="C2412" t="s">
        <v>84</v>
      </c>
      <c r="D2412">
        <v>1</v>
      </c>
      <c r="E2412">
        <v>158</v>
      </c>
      <c r="I2412">
        <v>1</v>
      </c>
      <c r="J2412">
        <v>158</v>
      </c>
      <c r="M2412" t="s">
        <v>2530</v>
      </c>
    </row>
    <row r="2413" spans="1:13" ht="15" customHeight="1">
      <c r="A2413" s="10">
        <v>46193</v>
      </c>
      <c r="B2413" t="s">
        <v>1</v>
      </c>
      <c r="C2413" t="s">
        <v>85</v>
      </c>
      <c r="D2413">
        <v>0</v>
      </c>
      <c r="E2413">
        <v>150</v>
      </c>
      <c r="I2413">
        <v>0</v>
      </c>
      <c r="J2413">
        <v>150</v>
      </c>
      <c r="M2413" t="s">
        <v>2531</v>
      </c>
    </row>
    <row r="2414" spans="1:13" ht="15" customHeight="1">
      <c r="A2414" s="10">
        <v>46193</v>
      </c>
      <c r="B2414" t="s">
        <v>1</v>
      </c>
      <c r="C2414" t="s">
        <v>87</v>
      </c>
      <c r="D2414">
        <v>2</v>
      </c>
      <c r="E2414">
        <v>29</v>
      </c>
      <c r="I2414">
        <v>2</v>
      </c>
      <c r="J2414">
        <v>29</v>
      </c>
      <c r="M2414" t="s">
        <v>2532</v>
      </c>
    </row>
    <row r="2415" spans="1:13" ht="15" customHeight="1">
      <c r="A2415" s="10">
        <v>46193</v>
      </c>
      <c r="B2415" t="s">
        <v>1</v>
      </c>
      <c r="C2415" t="s">
        <v>88</v>
      </c>
      <c r="D2415">
        <v>1</v>
      </c>
      <c r="E2415">
        <v>237</v>
      </c>
      <c r="I2415">
        <v>1</v>
      </c>
      <c r="J2415">
        <v>237</v>
      </c>
      <c r="M2415" t="s">
        <v>2533</v>
      </c>
    </row>
    <row r="2416" spans="1:13" ht="15" customHeight="1">
      <c r="A2416" s="10">
        <v>46193</v>
      </c>
      <c r="B2416" t="s">
        <v>1</v>
      </c>
      <c r="C2416" t="s">
        <v>89</v>
      </c>
      <c r="D2416">
        <v>1</v>
      </c>
      <c r="E2416">
        <v>147</v>
      </c>
      <c r="I2416">
        <v>1</v>
      </c>
      <c r="J2416">
        <v>147</v>
      </c>
      <c r="M2416" t="s">
        <v>2534</v>
      </c>
    </row>
    <row r="2417" spans="1:13" ht="15" customHeight="1">
      <c r="A2417" s="10">
        <v>46193</v>
      </c>
      <c r="B2417" t="s">
        <v>1</v>
      </c>
      <c r="C2417" t="s">
        <v>90</v>
      </c>
      <c r="D2417">
        <v>1</v>
      </c>
      <c r="E2417">
        <v>830</v>
      </c>
      <c r="I2417">
        <v>1</v>
      </c>
      <c r="J2417">
        <v>830</v>
      </c>
      <c r="M2417" t="s">
        <v>2535</v>
      </c>
    </row>
    <row r="2418" spans="1:13" ht="15" customHeight="1">
      <c r="A2418" s="10">
        <v>46193</v>
      </c>
      <c r="B2418" t="s">
        <v>1</v>
      </c>
      <c r="C2418" t="s">
        <v>92</v>
      </c>
      <c r="D2418">
        <v>1</v>
      </c>
      <c r="E2418">
        <v>761</v>
      </c>
      <c r="I2418">
        <v>1</v>
      </c>
      <c r="J2418">
        <v>761</v>
      </c>
      <c r="M2418" t="s">
        <v>2536</v>
      </c>
    </row>
    <row r="2419" spans="1:13" ht="15" customHeight="1">
      <c r="A2419" s="10">
        <v>46193</v>
      </c>
      <c r="B2419" t="s">
        <v>1</v>
      </c>
      <c r="C2419" t="s">
        <v>94</v>
      </c>
      <c r="D2419">
        <v>3</v>
      </c>
      <c r="E2419">
        <v>29</v>
      </c>
      <c r="G2419">
        <v>2</v>
      </c>
      <c r="I2419">
        <v>5</v>
      </c>
      <c r="J2419">
        <v>29</v>
      </c>
      <c r="M2419" t="s">
        <v>2537</v>
      </c>
    </row>
    <row r="2420" spans="1:13" ht="15" customHeight="1">
      <c r="A2420" s="10">
        <v>46193</v>
      </c>
      <c r="B2420" t="s">
        <v>1</v>
      </c>
      <c r="C2420" t="s">
        <v>96</v>
      </c>
      <c r="D2420">
        <v>0</v>
      </c>
      <c r="E2420">
        <v>0</v>
      </c>
      <c r="I2420">
        <v>0</v>
      </c>
      <c r="J2420">
        <v>0</v>
      </c>
      <c r="M2420" t="s">
        <v>2538</v>
      </c>
    </row>
    <row r="2421" spans="1:13" ht="15" customHeight="1">
      <c r="A2421" s="10">
        <v>46193</v>
      </c>
      <c r="B2421" t="s">
        <v>1</v>
      </c>
      <c r="C2421" t="s">
        <v>98</v>
      </c>
      <c r="D2421">
        <v>3</v>
      </c>
      <c r="E2421">
        <v>0</v>
      </c>
      <c r="G2421">
        <v>2</v>
      </c>
      <c r="I2421">
        <v>5</v>
      </c>
      <c r="J2421">
        <v>0</v>
      </c>
      <c r="M2421" t="s">
        <v>2539</v>
      </c>
    </row>
    <row r="2422" spans="1:13" ht="15" customHeight="1">
      <c r="A2422" s="10">
        <v>46193</v>
      </c>
      <c r="B2422" t="s">
        <v>1</v>
      </c>
      <c r="C2422" t="s">
        <v>203</v>
      </c>
      <c r="D2422">
        <v>1</v>
      </c>
      <c r="E2422">
        <v>20</v>
      </c>
      <c r="I2422">
        <v>1</v>
      </c>
      <c r="J2422">
        <v>20</v>
      </c>
      <c r="M2422" t="s">
        <v>2540</v>
      </c>
    </row>
    <row r="2423" spans="1:13" ht="15" customHeight="1">
      <c r="A2423" s="10">
        <v>46193</v>
      </c>
      <c r="B2423" t="s">
        <v>1</v>
      </c>
      <c r="C2423" t="s">
        <v>100</v>
      </c>
      <c r="D2423">
        <v>0</v>
      </c>
      <c r="E2423">
        <v>0</v>
      </c>
      <c r="I2423">
        <v>0</v>
      </c>
      <c r="J2423">
        <v>0</v>
      </c>
      <c r="M2423" t="s">
        <v>2541</v>
      </c>
    </row>
    <row r="2424" spans="1:13" ht="15" customHeight="1">
      <c r="A2424" s="10">
        <v>46193</v>
      </c>
      <c r="B2424" t="s">
        <v>1</v>
      </c>
      <c r="C2424" t="s">
        <v>101</v>
      </c>
      <c r="D2424">
        <v>0</v>
      </c>
      <c r="E2424">
        <v>0</v>
      </c>
      <c r="I2424">
        <v>0</v>
      </c>
      <c r="J2424">
        <v>0</v>
      </c>
      <c r="M2424" t="s">
        <v>2542</v>
      </c>
    </row>
    <row r="2425" spans="1:13" ht="15" customHeight="1">
      <c r="A2425" s="10">
        <v>46193</v>
      </c>
      <c r="B2425" t="s">
        <v>1</v>
      </c>
      <c r="C2425" t="s">
        <v>103</v>
      </c>
      <c r="D2425">
        <v>0</v>
      </c>
      <c r="E2425">
        <v>2</v>
      </c>
      <c r="I2425">
        <v>0</v>
      </c>
      <c r="J2425">
        <v>2</v>
      </c>
      <c r="M2425" t="s">
        <v>2543</v>
      </c>
    </row>
    <row r="2426" spans="1:13" ht="15" customHeight="1">
      <c r="A2426" s="10">
        <v>46193</v>
      </c>
      <c r="B2426" t="s">
        <v>1</v>
      </c>
      <c r="C2426" t="s">
        <v>106</v>
      </c>
      <c r="D2426">
        <v>1</v>
      </c>
      <c r="E2426">
        <v>593</v>
      </c>
      <c r="I2426">
        <v>1</v>
      </c>
      <c r="J2426">
        <v>593</v>
      </c>
      <c r="M2426" t="s">
        <v>2544</v>
      </c>
    </row>
    <row r="2427" spans="1:13" ht="15" customHeight="1">
      <c r="A2427" s="10">
        <v>46193</v>
      </c>
      <c r="B2427" t="s">
        <v>1</v>
      </c>
      <c r="C2427" t="s">
        <v>108</v>
      </c>
      <c r="D2427">
        <v>1</v>
      </c>
      <c r="E2427">
        <v>557</v>
      </c>
      <c r="I2427">
        <v>1</v>
      </c>
      <c r="J2427">
        <v>557</v>
      </c>
      <c r="M2427" t="s">
        <v>2545</v>
      </c>
    </row>
    <row r="2428" spans="1:13" ht="15" customHeight="1">
      <c r="A2428" s="10">
        <v>46193</v>
      </c>
      <c r="B2428" t="s">
        <v>1</v>
      </c>
      <c r="C2428" t="s">
        <v>109</v>
      </c>
      <c r="D2428">
        <v>1</v>
      </c>
      <c r="E2428">
        <v>932</v>
      </c>
      <c r="I2428">
        <v>1</v>
      </c>
      <c r="J2428">
        <v>932</v>
      </c>
      <c r="M2428" t="s">
        <v>2546</v>
      </c>
    </row>
    <row r="2429" spans="1:13" ht="15" customHeight="1">
      <c r="A2429" s="10">
        <v>46193</v>
      </c>
      <c r="B2429" t="s">
        <v>1</v>
      </c>
      <c r="C2429" t="s">
        <v>112</v>
      </c>
      <c r="D2429">
        <v>1</v>
      </c>
      <c r="E2429">
        <v>40</v>
      </c>
      <c r="I2429">
        <v>1</v>
      </c>
      <c r="J2429">
        <v>40</v>
      </c>
      <c r="M2429" t="s">
        <v>2547</v>
      </c>
    </row>
    <row r="2430" spans="1:13" ht="15" customHeight="1">
      <c r="A2430" s="10">
        <v>46193</v>
      </c>
      <c r="B2430" t="s">
        <v>1</v>
      </c>
      <c r="C2430" t="s">
        <v>114</v>
      </c>
      <c r="D2430">
        <v>1</v>
      </c>
      <c r="E2430">
        <v>18</v>
      </c>
      <c r="F2430">
        <v>1</v>
      </c>
      <c r="I2430">
        <v>2</v>
      </c>
      <c r="J2430">
        <v>18</v>
      </c>
      <c r="M2430" t="s">
        <v>2548</v>
      </c>
    </row>
    <row r="2431" spans="1:13" ht="15" customHeight="1">
      <c r="A2431" s="10">
        <v>46193</v>
      </c>
      <c r="B2431" t="s">
        <v>1</v>
      </c>
      <c r="C2431" t="s">
        <v>115</v>
      </c>
      <c r="D2431">
        <v>1</v>
      </c>
      <c r="E2431">
        <v>6</v>
      </c>
      <c r="I2431">
        <v>1</v>
      </c>
      <c r="J2431">
        <v>6</v>
      </c>
      <c r="M2431" t="s">
        <v>2549</v>
      </c>
    </row>
    <row r="2432" spans="1:13" ht="15" customHeight="1">
      <c r="A2432" s="10">
        <v>46193</v>
      </c>
      <c r="B2432" t="s">
        <v>1</v>
      </c>
      <c r="C2432" t="s">
        <v>116</v>
      </c>
      <c r="D2432">
        <v>1</v>
      </c>
      <c r="E2432">
        <v>2</v>
      </c>
      <c r="F2432">
        <v>1</v>
      </c>
      <c r="I2432">
        <v>2</v>
      </c>
      <c r="J2432">
        <v>1</v>
      </c>
      <c r="M2432" t="s">
        <v>2550</v>
      </c>
    </row>
    <row r="2433" spans="1:13" ht="15" customHeight="1">
      <c r="A2433" s="10">
        <v>46193</v>
      </c>
      <c r="B2433" t="s">
        <v>1</v>
      </c>
      <c r="C2433" t="s">
        <v>119</v>
      </c>
      <c r="D2433">
        <v>2</v>
      </c>
      <c r="E2433">
        <v>0</v>
      </c>
      <c r="I2433">
        <v>2</v>
      </c>
      <c r="M2433" t="s">
        <v>2551</v>
      </c>
    </row>
    <row r="2434" spans="1:13" ht="15" customHeight="1">
      <c r="A2434" s="10">
        <v>46193</v>
      </c>
      <c r="B2434" t="s">
        <v>1</v>
      </c>
      <c r="C2434" t="s">
        <v>120</v>
      </c>
      <c r="D2434">
        <v>2</v>
      </c>
      <c r="E2434">
        <v>0</v>
      </c>
      <c r="I2434">
        <v>2</v>
      </c>
      <c r="M2434" t="s">
        <v>2552</v>
      </c>
    </row>
    <row r="2435" spans="1:13" ht="15" customHeight="1">
      <c r="A2435" s="10">
        <v>46193</v>
      </c>
      <c r="B2435" t="s">
        <v>1</v>
      </c>
      <c r="C2435" t="s">
        <v>121</v>
      </c>
      <c r="D2435">
        <v>2</v>
      </c>
      <c r="E2435">
        <v>0</v>
      </c>
      <c r="F2435">
        <v>1</v>
      </c>
      <c r="I2435">
        <v>3</v>
      </c>
      <c r="M2435" t="s">
        <v>2553</v>
      </c>
    </row>
    <row r="2436" spans="1:13" ht="15" customHeight="1">
      <c r="A2436" s="10">
        <v>46193</v>
      </c>
      <c r="B2436" t="s">
        <v>1</v>
      </c>
      <c r="C2436" t="s">
        <v>123</v>
      </c>
      <c r="D2436">
        <v>2</v>
      </c>
      <c r="E2436">
        <v>0</v>
      </c>
      <c r="I2436">
        <v>2</v>
      </c>
      <c r="M2436" t="s">
        <v>2554</v>
      </c>
    </row>
    <row r="2437" spans="1:13" ht="15" customHeight="1">
      <c r="A2437" s="10">
        <v>46193</v>
      </c>
      <c r="B2437" t="s">
        <v>1</v>
      </c>
      <c r="C2437" t="s">
        <v>124</v>
      </c>
      <c r="D2437">
        <v>1</v>
      </c>
      <c r="E2437">
        <v>0</v>
      </c>
      <c r="F2437">
        <v>1</v>
      </c>
      <c r="I2437">
        <v>2</v>
      </c>
      <c r="M2437" t="s">
        <v>2555</v>
      </c>
    </row>
    <row r="2438" spans="1:13" ht="15" customHeight="1">
      <c r="A2438" s="10">
        <v>46193</v>
      </c>
      <c r="B2438" t="s">
        <v>1</v>
      </c>
      <c r="C2438" t="s">
        <v>125</v>
      </c>
      <c r="D2438">
        <v>2</v>
      </c>
      <c r="E2438">
        <v>0</v>
      </c>
      <c r="I2438">
        <v>2</v>
      </c>
      <c r="M2438" t="s">
        <v>2556</v>
      </c>
    </row>
    <row r="2439" spans="1:13" ht="15" customHeight="1">
      <c r="A2439" s="10">
        <v>46193</v>
      </c>
      <c r="B2439" t="s">
        <v>1</v>
      </c>
      <c r="C2439" t="s">
        <v>126</v>
      </c>
      <c r="D2439">
        <v>2</v>
      </c>
      <c r="E2439">
        <v>0</v>
      </c>
      <c r="I2439">
        <v>2</v>
      </c>
      <c r="M2439" t="s">
        <v>2557</v>
      </c>
    </row>
    <row r="2440" spans="1:13" ht="15" customHeight="1">
      <c r="A2440" s="10">
        <v>46193</v>
      </c>
      <c r="B2440" t="s">
        <v>1</v>
      </c>
      <c r="C2440" t="s">
        <v>128</v>
      </c>
      <c r="D2440">
        <v>4</v>
      </c>
      <c r="E2440">
        <v>0</v>
      </c>
      <c r="I2440">
        <v>4</v>
      </c>
      <c r="M2440" t="s">
        <v>2558</v>
      </c>
    </row>
    <row r="2441" spans="1:13" ht="15" customHeight="1">
      <c r="A2441" s="10">
        <v>46193</v>
      </c>
      <c r="B2441" t="s">
        <v>1</v>
      </c>
      <c r="C2441" t="s">
        <v>130</v>
      </c>
      <c r="D2441">
        <v>4</v>
      </c>
      <c r="E2441">
        <v>0</v>
      </c>
      <c r="I2441">
        <v>4</v>
      </c>
      <c r="M2441" t="s">
        <v>2559</v>
      </c>
    </row>
    <row r="2442" spans="1:13" ht="15" customHeight="1">
      <c r="A2442" s="10">
        <v>46193</v>
      </c>
      <c r="B2442" t="s">
        <v>1</v>
      </c>
      <c r="C2442" t="s">
        <v>285</v>
      </c>
      <c r="D2442">
        <v>1</v>
      </c>
      <c r="E2442">
        <v>0</v>
      </c>
      <c r="F2442">
        <v>1</v>
      </c>
      <c r="I2442">
        <v>2</v>
      </c>
      <c r="M2442" t="s">
        <v>2560</v>
      </c>
    </row>
    <row r="2443" spans="1:13" ht="15" customHeight="1">
      <c r="A2443" s="10">
        <v>46193</v>
      </c>
      <c r="B2443" t="s">
        <v>1</v>
      </c>
      <c r="C2443" t="s">
        <v>287</v>
      </c>
      <c r="D2443">
        <v>2</v>
      </c>
      <c r="E2443">
        <v>0</v>
      </c>
      <c r="I2443">
        <v>2</v>
      </c>
      <c r="M2443" t="s">
        <v>2561</v>
      </c>
    </row>
    <row r="2444" spans="1:13" ht="15" customHeight="1">
      <c r="A2444" s="10">
        <v>46193</v>
      </c>
      <c r="B2444" t="s">
        <v>1</v>
      </c>
      <c r="C2444" t="s">
        <v>289</v>
      </c>
      <c r="D2444">
        <v>1</v>
      </c>
      <c r="E2444">
        <v>0</v>
      </c>
      <c r="F2444">
        <v>1</v>
      </c>
      <c r="I2444">
        <v>2</v>
      </c>
      <c r="M2444" t="s">
        <v>2562</v>
      </c>
    </row>
    <row r="2445" spans="1:13" ht="15" customHeight="1">
      <c r="A2445" s="10">
        <v>46193</v>
      </c>
      <c r="B2445" t="s">
        <v>1</v>
      </c>
      <c r="C2445" t="s">
        <v>291</v>
      </c>
      <c r="D2445">
        <v>2</v>
      </c>
      <c r="E2445">
        <v>0</v>
      </c>
      <c r="I2445">
        <v>2</v>
      </c>
      <c r="M2445" t="s">
        <v>2563</v>
      </c>
    </row>
    <row r="2446" spans="1:13" ht="15" customHeight="1">
      <c r="A2446" s="10">
        <v>46193</v>
      </c>
      <c r="B2446" t="s">
        <v>1</v>
      </c>
      <c r="C2446" t="s">
        <v>293</v>
      </c>
      <c r="D2446">
        <v>4</v>
      </c>
      <c r="E2446">
        <v>0</v>
      </c>
      <c r="I2446">
        <v>4</v>
      </c>
      <c r="M2446" t="s">
        <v>2564</v>
      </c>
    </row>
    <row r="2447" spans="1:13" ht="15" customHeight="1">
      <c r="A2447" s="10">
        <v>46193</v>
      </c>
      <c r="B2447" t="s">
        <v>1</v>
      </c>
      <c r="C2447" s="135" t="s">
        <v>138</v>
      </c>
      <c r="D2447">
        <v>0</v>
      </c>
      <c r="E2447">
        <v>24</v>
      </c>
      <c r="I2447">
        <v>0</v>
      </c>
      <c r="J2447">
        <v>23</v>
      </c>
      <c r="M2447" t="s">
        <v>2565</v>
      </c>
    </row>
    <row r="2448" spans="1:13" ht="15" customHeight="1">
      <c r="A2448" s="10">
        <v>46193</v>
      </c>
      <c r="B2448" t="s">
        <v>1</v>
      </c>
      <c r="C2448" s="135" t="s">
        <v>139</v>
      </c>
      <c r="D2448">
        <v>0</v>
      </c>
      <c r="E2448">
        <v>25</v>
      </c>
      <c r="G2448">
        <v>20</v>
      </c>
      <c r="I2448">
        <v>0</v>
      </c>
      <c r="J2448">
        <v>45</v>
      </c>
      <c r="M2448" t="s">
        <v>2566</v>
      </c>
    </row>
    <row r="2449" spans="1:13" ht="15" customHeight="1">
      <c r="A2449" s="10">
        <v>46193</v>
      </c>
      <c r="B2449" t="s">
        <v>1</v>
      </c>
      <c r="C2449" s="135" t="s">
        <v>140</v>
      </c>
      <c r="D2449">
        <v>0</v>
      </c>
      <c r="E2449">
        <v>12</v>
      </c>
      <c r="G2449">
        <v>10</v>
      </c>
      <c r="I2449">
        <v>0</v>
      </c>
      <c r="J2449">
        <v>25</v>
      </c>
      <c r="M2449" t="s">
        <v>2567</v>
      </c>
    </row>
    <row r="2450" spans="1:13" ht="15" customHeight="1">
      <c r="A2450" s="10">
        <v>46193</v>
      </c>
      <c r="B2450" t="s">
        <v>1</v>
      </c>
      <c r="C2450" s="135" t="s">
        <v>143</v>
      </c>
      <c r="D2450">
        <v>0</v>
      </c>
      <c r="E2450">
        <v>65</v>
      </c>
      <c r="I2450">
        <v>0</v>
      </c>
      <c r="J2450">
        <v>64</v>
      </c>
      <c r="M2450" t="s">
        <v>2568</v>
      </c>
    </row>
    <row r="2451" spans="1:13" ht="15" customHeight="1">
      <c r="A2451" s="10">
        <v>46193</v>
      </c>
      <c r="B2451" t="s">
        <v>1</v>
      </c>
      <c r="C2451" s="135" t="s">
        <v>145</v>
      </c>
      <c r="D2451">
        <v>0</v>
      </c>
      <c r="E2451">
        <v>50</v>
      </c>
      <c r="I2451">
        <v>0</v>
      </c>
      <c r="J2451">
        <v>49</v>
      </c>
      <c r="M2451" t="s">
        <v>2569</v>
      </c>
    </row>
    <row r="2452" spans="1:13" ht="15" customHeight="1">
      <c r="A2452" s="10">
        <v>46193</v>
      </c>
      <c r="B2452" t="s">
        <v>1</v>
      </c>
      <c r="C2452" s="135" t="s">
        <v>147</v>
      </c>
      <c r="D2452">
        <v>0</v>
      </c>
      <c r="E2452">
        <v>30</v>
      </c>
      <c r="I2452">
        <v>0</v>
      </c>
      <c r="J2452">
        <v>30</v>
      </c>
      <c r="M2452" t="s">
        <v>2570</v>
      </c>
    </row>
    <row r="2453" spans="1:13" ht="15" customHeight="1">
      <c r="A2453" s="10">
        <v>46193</v>
      </c>
      <c r="B2453" t="s">
        <v>1</v>
      </c>
      <c r="C2453" t="s">
        <v>302</v>
      </c>
      <c r="D2453">
        <v>2</v>
      </c>
      <c r="E2453">
        <v>0</v>
      </c>
      <c r="I2453">
        <v>2</v>
      </c>
      <c r="M2453" t="s">
        <v>2571</v>
      </c>
    </row>
    <row r="2454" spans="1:13" ht="15" customHeight="1">
      <c r="A2454" s="10">
        <v>46193</v>
      </c>
      <c r="B2454" t="s">
        <v>1</v>
      </c>
      <c r="C2454" t="s">
        <v>150</v>
      </c>
      <c r="D2454">
        <v>1</v>
      </c>
      <c r="E2454">
        <v>0</v>
      </c>
      <c r="I2454">
        <v>1</v>
      </c>
      <c r="M2454" t="s">
        <v>2572</v>
      </c>
    </row>
    <row r="2455" spans="1:13" ht="15" customHeight="1">
      <c r="A2455" s="10">
        <v>46193</v>
      </c>
      <c r="B2455" t="s">
        <v>1</v>
      </c>
      <c r="C2455" t="s">
        <v>151</v>
      </c>
      <c r="D2455">
        <v>2</v>
      </c>
      <c r="E2455">
        <v>0</v>
      </c>
      <c r="I2455">
        <v>2</v>
      </c>
      <c r="M2455" t="s">
        <v>2573</v>
      </c>
    </row>
    <row r="2456" spans="1:13" ht="15" customHeight="1">
      <c r="A2456" s="10">
        <v>46193</v>
      </c>
      <c r="B2456" t="s">
        <v>1</v>
      </c>
      <c r="C2456" t="s">
        <v>152</v>
      </c>
      <c r="D2456">
        <v>2</v>
      </c>
      <c r="E2456">
        <v>0</v>
      </c>
      <c r="I2456">
        <v>2</v>
      </c>
      <c r="M2456" t="s">
        <v>2574</v>
      </c>
    </row>
    <row r="2457" spans="1:13" ht="15" customHeight="1">
      <c r="A2457" s="10">
        <v>46193</v>
      </c>
      <c r="B2457" t="s">
        <v>1</v>
      </c>
      <c r="C2457" t="s">
        <v>153</v>
      </c>
      <c r="D2457">
        <v>2</v>
      </c>
      <c r="E2457">
        <v>0</v>
      </c>
      <c r="I2457">
        <v>2</v>
      </c>
      <c r="M2457" t="s">
        <v>2575</v>
      </c>
    </row>
    <row r="2458" spans="1:13" ht="15" customHeight="1">
      <c r="A2458" s="10">
        <v>46193</v>
      </c>
      <c r="B2458" t="s">
        <v>1</v>
      </c>
      <c r="C2458" t="s">
        <v>308</v>
      </c>
      <c r="D2458">
        <v>0</v>
      </c>
      <c r="E2458">
        <v>4</v>
      </c>
      <c r="I2458">
        <v>0</v>
      </c>
      <c r="J2458">
        <v>4</v>
      </c>
      <c r="M2458" t="s">
        <v>2576</v>
      </c>
    </row>
    <row r="2459" spans="1:13" ht="15" customHeight="1">
      <c r="A2459" s="10">
        <v>46193</v>
      </c>
      <c r="B2459" t="s">
        <v>1</v>
      </c>
      <c r="C2459" t="s">
        <v>310</v>
      </c>
      <c r="D2459">
        <v>0</v>
      </c>
      <c r="E2459">
        <v>2</v>
      </c>
      <c r="I2459">
        <v>0</v>
      </c>
      <c r="J2459">
        <v>2</v>
      </c>
      <c r="M2459" t="s">
        <v>2577</v>
      </c>
    </row>
    <row r="2460" spans="1:13" ht="15" customHeight="1">
      <c r="A2460" s="10">
        <v>46193</v>
      </c>
      <c r="B2460" t="s">
        <v>1</v>
      </c>
      <c r="C2460" t="s">
        <v>312</v>
      </c>
      <c r="D2460">
        <v>0</v>
      </c>
      <c r="E2460">
        <v>3</v>
      </c>
      <c r="I2460">
        <v>0</v>
      </c>
      <c r="J2460">
        <v>3</v>
      </c>
      <c r="M2460" t="s">
        <v>2578</v>
      </c>
    </row>
    <row r="2461" spans="1:13" ht="15" customHeight="1">
      <c r="A2461" s="10">
        <v>46193</v>
      </c>
      <c r="B2461" t="s">
        <v>1</v>
      </c>
      <c r="C2461" t="s">
        <v>314</v>
      </c>
      <c r="D2461">
        <v>1</v>
      </c>
      <c r="E2461">
        <v>0</v>
      </c>
      <c r="I2461">
        <v>1</v>
      </c>
      <c r="M2461" t="s">
        <v>2579</v>
      </c>
    </row>
    <row r="2462" spans="1:13" ht="15" customHeight="1">
      <c r="A2462" s="10">
        <v>46193</v>
      </c>
      <c r="B2462" t="s">
        <v>1</v>
      </c>
      <c r="C2462" t="s">
        <v>316</v>
      </c>
      <c r="D2462">
        <v>0</v>
      </c>
      <c r="E2462">
        <v>0</v>
      </c>
      <c r="F2462">
        <v>1</v>
      </c>
      <c r="I2462">
        <v>1</v>
      </c>
      <c r="M2462" t="s">
        <v>2580</v>
      </c>
    </row>
    <row r="2463" spans="1:13" ht="15" customHeight="1">
      <c r="A2463" s="10">
        <v>46193</v>
      </c>
      <c r="B2463" t="s">
        <v>1</v>
      </c>
      <c r="C2463" t="s">
        <v>318</v>
      </c>
      <c r="D2463">
        <v>2</v>
      </c>
      <c r="E2463">
        <v>0</v>
      </c>
      <c r="I2463">
        <v>2</v>
      </c>
      <c r="M2463" t="s">
        <v>2581</v>
      </c>
    </row>
    <row r="2464" spans="1:13" ht="15" customHeight="1">
      <c r="A2464" s="10">
        <v>46193</v>
      </c>
      <c r="B2464" t="s">
        <v>1</v>
      </c>
      <c r="C2464" t="s">
        <v>320</v>
      </c>
      <c r="D2464">
        <v>1</v>
      </c>
      <c r="E2464">
        <v>0</v>
      </c>
      <c r="I2464">
        <v>1</v>
      </c>
      <c r="M2464" t="s">
        <v>2582</v>
      </c>
    </row>
    <row r="2465" spans="1:13" ht="15" customHeight="1">
      <c r="A2465" s="10">
        <v>46193</v>
      </c>
      <c r="B2465" t="s">
        <v>1</v>
      </c>
      <c r="C2465" s="135" t="s">
        <v>168</v>
      </c>
      <c r="D2465">
        <v>1</v>
      </c>
      <c r="E2465">
        <v>0</v>
      </c>
      <c r="I2465">
        <v>1</v>
      </c>
      <c r="M2465" t="s">
        <v>2583</v>
      </c>
    </row>
    <row r="2466" spans="1:13" ht="15" customHeight="1">
      <c r="A2466" s="10">
        <v>46193</v>
      </c>
      <c r="B2466" t="s">
        <v>1</v>
      </c>
      <c r="C2466" s="135" t="s">
        <v>170</v>
      </c>
      <c r="D2466">
        <v>1</v>
      </c>
      <c r="E2466">
        <v>0</v>
      </c>
      <c r="I2466">
        <v>1</v>
      </c>
      <c r="M2466" t="s">
        <v>2584</v>
      </c>
    </row>
    <row r="2467" spans="1:13" ht="15" customHeight="1">
      <c r="A2467" s="10">
        <v>46193</v>
      </c>
      <c r="B2467" t="s">
        <v>1</v>
      </c>
      <c r="C2467" s="135" t="s">
        <v>171</v>
      </c>
      <c r="D2467">
        <v>2</v>
      </c>
      <c r="E2467">
        <v>0</v>
      </c>
      <c r="I2467">
        <v>2</v>
      </c>
      <c r="M2467" t="s">
        <v>2585</v>
      </c>
    </row>
    <row r="2468" spans="1:13" ht="15" customHeight="1">
      <c r="A2468" s="10">
        <v>46193</v>
      </c>
      <c r="B2468" t="s">
        <v>1</v>
      </c>
      <c r="C2468" s="135" t="s">
        <v>172</v>
      </c>
      <c r="D2468">
        <v>1</v>
      </c>
      <c r="E2468">
        <v>0</v>
      </c>
      <c r="I2468">
        <v>1</v>
      </c>
      <c r="M2468" t="s">
        <v>2586</v>
      </c>
    </row>
    <row r="2469" spans="1:13" ht="15" customHeight="1">
      <c r="A2469" s="10">
        <v>46193</v>
      </c>
      <c r="B2469" t="s">
        <v>1</v>
      </c>
      <c r="C2469" t="s">
        <v>176</v>
      </c>
      <c r="D2469">
        <v>0</v>
      </c>
      <c r="E2469">
        <v>6</v>
      </c>
      <c r="G2469">
        <v>10</v>
      </c>
      <c r="I2469">
        <v>0</v>
      </c>
      <c r="J2469">
        <v>16</v>
      </c>
      <c r="M2469" t="s">
        <v>2587</v>
      </c>
    </row>
    <row r="2470" spans="1:13" ht="15" customHeight="1">
      <c r="A2470" s="10">
        <v>46193</v>
      </c>
      <c r="B2470" t="s">
        <v>1</v>
      </c>
      <c r="C2470" t="s">
        <v>178</v>
      </c>
      <c r="D2470">
        <v>0</v>
      </c>
      <c r="E2470">
        <v>9</v>
      </c>
      <c r="G2470">
        <v>10</v>
      </c>
      <c r="I2470">
        <v>0</v>
      </c>
      <c r="J2470">
        <v>19</v>
      </c>
      <c r="M2470" t="s">
        <v>2588</v>
      </c>
    </row>
    <row r="2471" spans="1:13" ht="15" customHeight="1">
      <c r="A2471" s="10">
        <v>46193</v>
      </c>
      <c r="B2471" t="s">
        <v>1</v>
      </c>
      <c r="C2471" t="s">
        <v>179</v>
      </c>
      <c r="D2471">
        <v>0</v>
      </c>
      <c r="E2471">
        <v>11</v>
      </c>
      <c r="I2471">
        <v>0</v>
      </c>
      <c r="J2471">
        <v>11</v>
      </c>
      <c r="M2471" t="s">
        <v>2589</v>
      </c>
    </row>
    <row r="2472" spans="1:13" ht="15" customHeight="1">
      <c r="A2472" s="10">
        <v>46193</v>
      </c>
      <c r="B2472" t="s">
        <v>1</v>
      </c>
      <c r="C2472" t="s">
        <v>180</v>
      </c>
      <c r="D2472">
        <v>0</v>
      </c>
      <c r="E2472">
        <v>15</v>
      </c>
      <c r="I2472">
        <v>0</v>
      </c>
      <c r="J2472">
        <v>15</v>
      </c>
      <c r="M2472" t="s">
        <v>2590</v>
      </c>
    </row>
    <row r="2473" spans="1:13" ht="15" customHeight="1">
      <c r="A2473" s="10">
        <v>46193</v>
      </c>
      <c r="B2473" t="s">
        <v>1</v>
      </c>
      <c r="C2473" s="135" t="s">
        <v>182</v>
      </c>
      <c r="D2473">
        <v>1</v>
      </c>
      <c r="E2473">
        <v>261</v>
      </c>
      <c r="I2473">
        <v>1</v>
      </c>
      <c r="J2473">
        <v>261</v>
      </c>
      <c r="M2473" t="s">
        <v>2591</v>
      </c>
    </row>
    <row r="2474" spans="1:13" ht="15" customHeight="1">
      <c r="A2474" s="10">
        <v>46193</v>
      </c>
      <c r="B2474" t="s">
        <v>1</v>
      </c>
      <c r="C2474" s="135" t="s">
        <v>184</v>
      </c>
      <c r="D2474">
        <v>0</v>
      </c>
      <c r="E2474">
        <v>83</v>
      </c>
      <c r="I2474">
        <v>0</v>
      </c>
      <c r="J2474">
        <v>83</v>
      </c>
      <c r="M2474" t="s">
        <v>2592</v>
      </c>
    </row>
    <row r="2475" spans="1:13" ht="15" customHeight="1">
      <c r="A2475" s="10">
        <v>46193</v>
      </c>
      <c r="B2475" t="s">
        <v>1</v>
      </c>
      <c r="C2475" s="135" t="s">
        <v>185</v>
      </c>
      <c r="D2475">
        <v>1</v>
      </c>
      <c r="E2475">
        <v>50</v>
      </c>
      <c r="I2475">
        <v>1</v>
      </c>
      <c r="J2475">
        <v>50</v>
      </c>
      <c r="M2475" t="s">
        <v>2593</v>
      </c>
    </row>
    <row r="2476" spans="1:13" ht="15" customHeight="1">
      <c r="A2476" s="10">
        <v>46193</v>
      </c>
      <c r="B2476" t="s">
        <v>1</v>
      </c>
      <c r="C2476" s="135" t="s">
        <v>186</v>
      </c>
      <c r="D2476">
        <v>1</v>
      </c>
      <c r="E2476">
        <v>71</v>
      </c>
      <c r="I2476">
        <v>1</v>
      </c>
      <c r="J2476">
        <v>71</v>
      </c>
      <c r="M2476" t="s">
        <v>2594</v>
      </c>
    </row>
    <row r="2477" spans="1:13" ht="15" customHeight="1">
      <c r="A2477" s="10">
        <v>46193</v>
      </c>
      <c r="B2477" t="s">
        <v>1</v>
      </c>
      <c r="C2477" t="s">
        <v>337</v>
      </c>
      <c r="D2477">
        <v>2</v>
      </c>
      <c r="E2477">
        <v>0</v>
      </c>
      <c r="I2477">
        <v>2</v>
      </c>
      <c r="J2477">
        <v>0</v>
      </c>
      <c r="M2477" t="s">
        <v>2595</v>
      </c>
    </row>
    <row r="2478" spans="1:13" ht="15" customHeight="1">
      <c r="A2478" s="10">
        <v>46193</v>
      </c>
      <c r="B2478" t="s">
        <v>1</v>
      </c>
      <c r="C2478" t="s">
        <v>339</v>
      </c>
      <c r="D2478">
        <v>0</v>
      </c>
      <c r="E2478">
        <v>0</v>
      </c>
      <c r="I2478">
        <v>0</v>
      </c>
      <c r="J2478">
        <v>0</v>
      </c>
      <c r="M2478" t="s">
        <v>2596</v>
      </c>
    </row>
    <row r="2479" spans="1:13" ht="15" customHeight="1">
      <c r="A2479" s="10">
        <v>46193</v>
      </c>
      <c r="B2479" t="s">
        <v>1</v>
      </c>
      <c r="C2479" s="135" t="s">
        <v>191</v>
      </c>
      <c r="D2479">
        <v>1</v>
      </c>
      <c r="E2479">
        <v>220</v>
      </c>
      <c r="I2479">
        <v>1</v>
      </c>
      <c r="J2479">
        <v>220</v>
      </c>
      <c r="M2479" t="s">
        <v>2597</v>
      </c>
    </row>
    <row r="2480" spans="1:13" ht="15" customHeight="1">
      <c r="A2480" s="10">
        <v>46193</v>
      </c>
      <c r="B2480" t="s">
        <v>1</v>
      </c>
      <c r="C2480" s="135" t="s">
        <v>193</v>
      </c>
      <c r="D2480">
        <v>1</v>
      </c>
      <c r="E2480">
        <v>204</v>
      </c>
      <c r="I2480">
        <v>1</v>
      </c>
      <c r="J2480">
        <v>204</v>
      </c>
      <c r="M2480" t="s">
        <v>2598</v>
      </c>
    </row>
    <row r="2481" spans="1:13" ht="15" customHeight="1">
      <c r="A2481" s="10">
        <v>46193</v>
      </c>
      <c r="B2481" t="s">
        <v>1</v>
      </c>
      <c r="C2481" s="135" t="s">
        <v>194</v>
      </c>
      <c r="D2481">
        <v>0</v>
      </c>
      <c r="E2481">
        <v>14</v>
      </c>
      <c r="F2481">
        <v>1</v>
      </c>
      <c r="I2481">
        <v>1</v>
      </c>
      <c r="J2481">
        <v>14</v>
      </c>
      <c r="M2481" t="s">
        <v>2599</v>
      </c>
    </row>
    <row r="2482" spans="1:13" ht="15" customHeight="1">
      <c r="A2482" s="10">
        <v>46193</v>
      </c>
      <c r="B2482" t="s">
        <v>1</v>
      </c>
      <c r="C2482" s="135" t="s">
        <v>196</v>
      </c>
      <c r="D2482">
        <v>0</v>
      </c>
      <c r="E2482">
        <v>434</v>
      </c>
      <c r="I2482">
        <v>0</v>
      </c>
      <c r="J2482">
        <v>434</v>
      </c>
      <c r="M2482" t="s">
        <v>2600</v>
      </c>
    </row>
    <row r="2483" spans="1:13" ht="15" customHeight="1">
      <c r="A2483" s="10">
        <v>46195</v>
      </c>
      <c r="B2483" t="s">
        <v>1</v>
      </c>
      <c r="C2483" t="s">
        <v>23</v>
      </c>
      <c r="D2483">
        <v>6</v>
      </c>
      <c r="E2483">
        <v>0</v>
      </c>
      <c r="I2483">
        <v>4</v>
      </c>
      <c r="J2483">
        <v>0</v>
      </c>
      <c r="M2483" t="s">
        <v>2601</v>
      </c>
    </row>
    <row r="2484" spans="1:13" ht="15" customHeight="1">
      <c r="A2484" s="10">
        <v>46195</v>
      </c>
      <c r="B2484" t="s">
        <v>1</v>
      </c>
      <c r="C2484" t="s">
        <v>26</v>
      </c>
      <c r="D2484">
        <v>1</v>
      </c>
      <c r="E2484">
        <v>617</v>
      </c>
      <c r="I2484">
        <v>1</v>
      </c>
      <c r="J2484">
        <v>610</v>
      </c>
      <c r="M2484" t="s">
        <v>2602</v>
      </c>
    </row>
    <row r="2485" spans="1:13" ht="15" customHeight="1">
      <c r="A2485" s="10">
        <v>46195</v>
      </c>
      <c r="B2485" t="s">
        <v>1</v>
      </c>
      <c r="C2485" t="s">
        <v>27</v>
      </c>
      <c r="D2485">
        <v>1</v>
      </c>
      <c r="E2485">
        <v>270</v>
      </c>
      <c r="I2485">
        <v>1</v>
      </c>
      <c r="J2485">
        <v>765</v>
      </c>
      <c r="M2485" t="s">
        <v>2603</v>
      </c>
    </row>
    <row r="2486" spans="1:13" ht="15" customHeight="1">
      <c r="A2486" s="10">
        <v>46195</v>
      </c>
      <c r="B2486" t="s">
        <v>1</v>
      </c>
      <c r="C2486" t="s">
        <v>28</v>
      </c>
      <c r="D2486">
        <v>0</v>
      </c>
      <c r="E2486">
        <v>0</v>
      </c>
      <c r="I2486">
        <v>0</v>
      </c>
      <c r="J2486">
        <v>0</v>
      </c>
      <c r="M2486" t="s">
        <v>2604</v>
      </c>
    </row>
    <row r="2487" spans="1:13" ht="15" customHeight="1">
      <c r="A2487" s="10">
        <v>46195</v>
      </c>
      <c r="B2487" t="s">
        <v>1</v>
      </c>
      <c r="C2487" t="s">
        <v>29</v>
      </c>
      <c r="D2487">
        <v>1</v>
      </c>
      <c r="E2487">
        <v>498</v>
      </c>
      <c r="I2487">
        <v>1</v>
      </c>
      <c r="J2487">
        <v>418</v>
      </c>
      <c r="M2487" t="s">
        <v>2605</v>
      </c>
    </row>
    <row r="2488" spans="1:13" ht="15" customHeight="1">
      <c r="A2488" s="10">
        <v>46195</v>
      </c>
      <c r="B2488" t="s">
        <v>1</v>
      </c>
      <c r="C2488" t="s">
        <v>30</v>
      </c>
      <c r="D2488">
        <v>2</v>
      </c>
      <c r="E2488">
        <v>140</v>
      </c>
      <c r="I2488">
        <v>2</v>
      </c>
      <c r="J2488">
        <v>140</v>
      </c>
      <c r="M2488" t="s">
        <v>2606</v>
      </c>
    </row>
    <row r="2489" spans="1:13" ht="15" customHeight="1">
      <c r="A2489" s="10">
        <v>46195</v>
      </c>
      <c r="B2489" t="s">
        <v>1</v>
      </c>
      <c r="C2489" t="s">
        <v>31</v>
      </c>
      <c r="D2489">
        <v>2</v>
      </c>
      <c r="E2489">
        <v>740</v>
      </c>
      <c r="I2489">
        <v>2</v>
      </c>
      <c r="J2489">
        <v>550</v>
      </c>
      <c r="M2489" t="s">
        <v>2607</v>
      </c>
    </row>
    <row r="2490" spans="1:13" ht="15" customHeight="1">
      <c r="A2490" s="10">
        <v>46195</v>
      </c>
      <c r="B2490" t="s">
        <v>1</v>
      </c>
      <c r="C2490" t="s">
        <v>32</v>
      </c>
      <c r="D2490">
        <v>2</v>
      </c>
      <c r="E2490">
        <v>469</v>
      </c>
      <c r="I2490">
        <v>2</v>
      </c>
      <c r="J2490">
        <v>92</v>
      </c>
      <c r="M2490" t="s">
        <v>2608</v>
      </c>
    </row>
    <row r="2491" spans="1:13" ht="15" customHeight="1">
      <c r="A2491" s="10">
        <v>46195</v>
      </c>
      <c r="B2491" t="s">
        <v>1</v>
      </c>
      <c r="C2491" t="s">
        <v>223</v>
      </c>
      <c r="D2491">
        <v>7</v>
      </c>
      <c r="E2491">
        <v>180</v>
      </c>
      <c r="I2491">
        <v>6</v>
      </c>
      <c r="J2491">
        <v>391</v>
      </c>
      <c r="M2491" t="s">
        <v>2609</v>
      </c>
    </row>
    <row r="2492" spans="1:13" ht="15" customHeight="1">
      <c r="A2492" s="10">
        <v>46195</v>
      </c>
      <c r="B2492" t="s">
        <v>1</v>
      </c>
      <c r="C2492" t="s">
        <v>35</v>
      </c>
      <c r="D2492">
        <v>10</v>
      </c>
      <c r="E2492">
        <v>0</v>
      </c>
      <c r="H2492">
        <v>2</v>
      </c>
      <c r="I2492">
        <v>8</v>
      </c>
      <c r="M2492" t="s">
        <v>2610</v>
      </c>
    </row>
    <row r="2493" spans="1:13" ht="15" customHeight="1">
      <c r="A2493" s="10">
        <v>46195</v>
      </c>
      <c r="B2493" t="s">
        <v>1</v>
      </c>
      <c r="C2493" t="s">
        <v>37</v>
      </c>
      <c r="D2493">
        <v>3</v>
      </c>
      <c r="E2493">
        <v>0</v>
      </c>
      <c r="I2493">
        <v>3</v>
      </c>
      <c r="M2493" t="s">
        <v>2611</v>
      </c>
    </row>
    <row r="2494" spans="1:13" ht="15" customHeight="1">
      <c r="A2494" s="10">
        <v>46195</v>
      </c>
      <c r="B2494" t="s">
        <v>1</v>
      </c>
      <c r="C2494" t="s">
        <v>39</v>
      </c>
      <c r="D2494">
        <v>13</v>
      </c>
      <c r="E2494">
        <v>0</v>
      </c>
      <c r="I2494">
        <v>13</v>
      </c>
      <c r="J2494">
        <v>0</v>
      </c>
      <c r="M2494" t="s">
        <v>2612</v>
      </c>
    </row>
    <row r="2495" spans="1:13" ht="15" customHeight="1">
      <c r="A2495" s="10">
        <v>46195</v>
      </c>
      <c r="B2495" t="s">
        <v>1</v>
      </c>
      <c r="C2495" t="s">
        <v>41</v>
      </c>
      <c r="D2495">
        <v>19</v>
      </c>
      <c r="E2495">
        <v>0</v>
      </c>
      <c r="I2495">
        <v>19</v>
      </c>
      <c r="J2495">
        <v>0</v>
      </c>
      <c r="M2495" t="s">
        <v>2613</v>
      </c>
    </row>
    <row r="2496" spans="1:13" ht="15" customHeight="1">
      <c r="A2496" s="10">
        <v>46195</v>
      </c>
      <c r="B2496" t="s">
        <v>1</v>
      </c>
      <c r="C2496" t="s">
        <v>232</v>
      </c>
      <c r="D2496">
        <v>0</v>
      </c>
      <c r="E2496">
        <v>0</v>
      </c>
      <c r="H2496">
        <v>0</v>
      </c>
      <c r="I2496">
        <v>0</v>
      </c>
      <c r="J2496">
        <v>0</v>
      </c>
      <c r="M2496" t="s">
        <v>2614</v>
      </c>
    </row>
    <row r="2497" spans="1:13" ht="15" customHeight="1">
      <c r="A2497" s="10">
        <v>46195</v>
      </c>
      <c r="B2497" t="s">
        <v>1</v>
      </c>
      <c r="C2497" t="s">
        <v>234</v>
      </c>
      <c r="D2497">
        <v>88</v>
      </c>
      <c r="E2497">
        <v>0</v>
      </c>
      <c r="H2497">
        <v>9</v>
      </c>
      <c r="I2497">
        <v>79</v>
      </c>
      <c r="J2497">
        <v>0</v>
      </c>
      <c r="M2497" t="s">
        <v>2615</v>
      </c>
    </row>
    <row r="2498" spans="1:13" ht="15" customHeight="1">
      <c r="A2498" s="10">
        <v>46195</v>
      </c>
      <c r="B2498" t="s">
        <v>1</v>
      </c>
      <c r="C2498" t="s">
        <v>237</v>
      </c>
      <c r="D2498">
        <v>9</v>
      </c>
      <c r="E2498">
        <v>0</v>
      </c>
      <c r="I2498">
        <v>9</v>
      </c>
      <c r="J2498">
        <v>0</v>
      </c>
      <c r="M2498" t="s">
        <v>2616</v>
      </c>
    </row>
    <row r="2499" spans="1:13" ht="15" customHeight="1">
      <c r="A2499" s="10">
        <v>46195</v>
      </c>
      <c r="B2499" t="s">
        <v>1</v>
      </c>
      <c r="C2499" s="135" t="s">
        <v>58</v>
      </c>
      <c r="D2499">
        <v>14</v>
      </c>
      <c r="E2499">
        <v>0</v>
      </c>
      <c r="H2499">
        <v>5</v>
      </c>
      <c r="I2499">
        <v>9</v>
      </c>
      <c r="J2499">
        <v>0</v>
      </c>
      <c r="M2499" t="s">
        <v>2617</v>
      </c>
    </row>
    <row r="2500" spans="1:13" ht="15" customHeight="1">
      <c r="A2500" s="10">
        <v>46195</v>
      </c>
      <c r="B2500" t="s">
        <v>1</v>
      </c>
      <c r="C2500" s="135" t="s">
        <v>60</v>
      </c>
      <c r="D2500">
        <v>10</v>
      </c>
      <c r="E2500">
        <v>0</v>
      </c>
      <c r="H2500">
        <v>1</v>
      </c>
      <c r="I2500">
        <v>9</v>
      </c>
      <c r="J2500">
        <v>0</v>
      </c>
      <c r="M2500" t="s">
        <v>2618</v>
      </c>
    </row>
    <row r="2501" spans="1:13" ht="15" customHeight="1">
      <c r="A2501" s="10">
        <v>46195</v>
      </c>
      <c r="B2501" t="s">
        <v>1</v>
      </c>
      <c r="C2501" s="135" t="s">
        <v>61</v>
      </c>
      <c r="D2501">
        <v>15</v>
      </c>
      <c r="E2501">
        <v>0</v>
      </c>
      <c r="H2501">
        <v>3</v>
      </c>
      <c r="I2501">
        <v>12</v>
      </c>
      <c r="J2501">
        <v>0</v>
      </c>
      <c r="M2501" t="s">
        <v>2619</v>
      </c>
    </row>
    <row r="2502" spans="1:13" ht="15" customHeight="1">
      <c r="A2502" s="10">
        <v>46195</v>
      </c>
      <c r="B2502" t="s">
        <v>1</v>
      </c>
      <c r="C2502" s="135" t="s">
        <v>62</v>
      </c>
      <c r="D2502">
        <v>9</v>
      </c>
      <c r="E2502">
        <v>0</v>
      </c>
      <c r="H2502">
        <v>1</v>
      </c>
      <c r="I2502">
        <v>8</v>
      </c>
      <c r="J2502">
        <v>0</v>
      </c>
      <c r="M2502" t="s">
        <v>2620</v>
      </c>
    </row>
    <row r="2503" spans="1:13" ht="15" customHeight="1">
      <c r="A2503" s="10">
        <v>46195</v>
      </c>
      <c r="B2503" t="s">
        <v>1</v>
      </c>
      <c r="C2503" s="135" t="s">
        <v>63</v>
      </c>
      <c r="D2503">
        <v>8</v>
      </c>
      <c r="E2503">
        <v>0</v>
      </c>
      <c r="H2503">
        <v>1</v>
      </c>
      <c r="I2503">
        <v>7</v>
      </c>
      <c r="J2503">
        <v>0</v>
      </c>
      <c r="M2503" t="s">
        <v>2621</v>
      </c>
    </row>
    <row r="2504" spans="1:13" ht="15" customHeight="1">
      <c r="A2504" s="10">
        <v>46195</v>
      </c>
      <c r="B2504" t="s">
        <v>1</v>
      </c>
      <c r="C2504" s="135" t="s">
        <v>64</v>
      </c>
      <c r="D2504">
        <v>9</v>
      </c>
      <c r="E2504">
        <v>0</v>
      </c>
      <c r="H2504">
        <v>1</v>
      </c>
      <c r="I2504">
        <v>4</v>
      </c>
      <c r="J2504">
        <v>0</v>
      </c>
      <c r="K2504">
        <v>4</v>
      </c>
      <c r="M2504" t="s">
        <v>2622</v>
      </c>
    </row>
    <row r="2505" spans="1:13" ht="15" customHeight="1">
      <c r="A2505" s="10">
        <v>46195</v>
      </c>
      <c r="B2505" t="s">
        <v>1</v>
      </c>
      <c r="C2505" t="s">
        <v>66</v>
      </c>
      <c r="D2505">
        <v>4</v>
      </c>
      <c r="E2505">
        <v>0</v>
      </c>
      <c r="H2505">
        <v>1</v>
      </c>
      <c r="I2505">
        <v>3</v>
      </c>
      <c r="J2505">
        <v>0</v>
      </c>
      <c r="M2505" t="s">
        <v>2623</v>
      </c>
    </row>
    <row r="2506" spans="1:13" ht="15" customHeight="1">
      <c r="A2506" s="10">
        <v>46195</v>
      </c>
      <c r="B2506" t="s">
        <v>1</v>
      </c>
      <c r="C2506" t="s">
        <v>67</v>
      </c>
      <c r="D2506">
        <v>5</v>
      </c>
      <c r="E2506">
        <v>0</v>
      </c>
      <c r="H2506">
        <v>0</v>
      </c>
      <c r="I2506">
        <v>5</v>
      </c>
      <c r="J2506">
        <v>0</v>
      </c>
      <c r="M2506" t="s">
        <v>2624</v>
      </c>
    </row>
    <row r="2507" spans="1:13" ht="15" customHeight="1">
      <c r="A2507" s="10">
        <v>46195</v>
      </c>
      <c r="B2507" t="s">
        <v>1</v>
      </c>
      <c r="C2507" t="s">
        <v>68</v>
      </c>
      <c r="D2507">
        <v>0</v>
      </c>
      <c r="E2507">
        <v>0</v>
      </c>
      <c r="H2507">
        <v>0</v>
      </c>
      <c r="I2507">
        <v>0</v>
      </c>
      <c r="J2507">
        <v>0</v>
      </c>
      <c r="M2507" t="s">
        <v>2625</v>
      </c>
    </row>
    <row r="2508" spans="1:13" ht="15" customHeight="1">
      <c r="A2508" s="10">
        <v>46195</v>
      </c>
      <c r="B2508" t="s">
        <v>1</v>
      </c>
      <c r="C2508" t="s">
        <v>71</v>
      </c>
      <c r="D2508">
        <v>1</v>
      </c>
      <c r="E2508">
        <v>585</v>
      </c>
      <c r="I2508">
        <v>1</v>
      </c>
      <c r="J2508">
        <v>465</v>
      </c>
      <c r="M2508" t="s">
        <v>2626</v>
      </c>
    </row>
    <row r="2509" spans="1:13" ht="15" customHeight="1">
      <c r="A2509" s="10">
        <v>46195</v>
      </c>
      <c r="B2509" t="s">
        <v>1</v>
      </c>
      <c r="C2509" t="s">
        <v>73</v>
      </c>
      <c r="D2509">
        <v>3</v>
      </c>
      <c r="E2509">
        <v>80</v>
      </c>
      <c r="I2509">
        <v>2</v>
      </c>
      <c r="J2509">
        <v>482</v>
      </c>
      <c r="M2509" t="s">
        <v>2627</v>
      </c>
    </row>
    <row r="2510" spans="1:13" ht="15" customHeight="1">
      <c r="A2510" s="10">
        <v>46195</v>
      </c>
      <c r="B2510" t="s">
        <v>1</v>
      </c>
      <c r="C2510" t="s">
        <v>75</v>
      </c>
      <c r="D2510">
        <v>0</v>
      </c>
      <c r="E2510">
        <v>277</v>
      </c>
      <c r="I2510">
        <v>0</v>
      </c>
      <c r="J2510">
        <v>237</v>
      </c>
      <c r="M2510" t="s">
        <v>2628</v>
      </c>
    </row>
    <row r="2511" spans="1:13" ht="15" customHeight="1">
      <c r="A2511" s="10">
        <v>46195</v>
      </c>
      <c r="B2511" t="s">
        <v>1</v>
      </c>
      <c r="C2511" t="s">
        <v>77</v>
      </c>
      <c r="D2511">
        <v>0</v>
      </c>
      <c r="E2511">
        <v>890</v>
      </c>
      <c r="I2511">
        <v>0</v>
      </c>
      <c r="J2511">
        <v>865</v>
      </c>
      <c r="M2511" t="s">
        <v>2629</v>
      </c>
    </row>
    <row r="2512" spans="1:13" ht="15" customHeight="1">
      <c r="A2512" s="10">
        <v>46195</v>
      </c>
      <c r="B2512" t="s">
        <v>1</v>
      </c>
      <c r="C2512" t="s">
        <v>79</v>
      </c>
      <c r="D2512">
        <v>1</v>
      </c>
      <c r="E2512">
        <v>996</v>
      </c>
      <c r="I2512">
        <v>1</v>
      </c>
      <c r="J2512">
        <v>774</v>
      </c>
      <c r="M2512" t="s">
        <v>2630</v>
      </c>
    </row>
    <row r="2513" spans="1:13" ht="15" customHeight="1">
      <c r="A2513" s="10">
        <v>46195</v>
      </c>
      <c r="B2513" t="s">
        <v>1</v>
      </c>
      <c r="C2513" t="s">
        <v>81</v>
      </c>
      <c r="D2513">
        <v>0</v>
      </c>
      <c r="E2513">
        <v>239</v>
      </c>
      <c r="I2513">
        <v>0</v>
      </c>
      <c r="J2513">
        <v>230</v>
      </c>
      <c r="M2513" t="s">
        <v>2631</v>
      </c>
    </row>
    <row r="2514" spans="1:13" ht="15" customHeight="1">
      <c r="A2514" s="10">
        <v>46195</v>
      </c>
      <c r="B2514" t="s">
        <v>1</v>
      </c>
      <c r="C2514" t="s">
        <v>83</v>
      </c>
      <c r="D2514">
        <v>1</v>
      </c>
      <c r="E2514">
        <v>173</v>
      </c>
      <c r="I2514">
        <v>1</v>
      </c>
      <c r="J2514">
        <v>160</v>
      </c>
      <c r="M2514" t="s">
        <v>2632</v>
      </c>
    </row>
    <row r="2515" spans="1:13" ht="15" customHeight="1">
      <c r="A2515" s="10">
        <v>46195</v>
      </c>
      <c r="B2515" t="s">
        <v>1</v>
      </c>
      <c r="C2515" t="s">
        <v>84</v>
      </c>
      <c r="D2515">
        <v>1</v>
      </c>
      <c r="E2515">
        <v>158</v>
      </c>
      <c r="I2515">
        <v>1</v>
      </c>
      <c r="J2515">
        <v>145</v>
      </c>
      <c r="M2515" t="s">
        <v>2633</v>
      </c>
    </row>
    <row r="2516" spans="1:13" ht="15" customHeight="1">
      <c r="A2516" s="10">
        <v>46195</v>
      </c>
      <c r="B2516" t="s">
        <v>1</v>
      </c>
      <c r="C2516" t="s">
        <v>85</v>
      </c>
      <c r="D2516">
        <v>0</v>
      </c>
      <c r="E2516">
        <v>150</v>
      </c>
      <c r="I2516">
        <v>0</v>
      </c>
      <c r="J2516">
        <v>150</v>
      </c>
      <c r="M2516" t="s">
        <v>2634</v>
      </c>
    </row>
    <row r="2517" spans="1:13" ht="15" customHeight="1">
      <c r="A2517" s="10">
        <v>46195</v>
      </c>
      <c r="B2517" t="s">
        <v>1</v>
      </c>
      <c r="C2517" t="s">
        <v>87</v>
      </c>
      <c r="D2517">
        <v>2</v>
      </c>
      <c r="E2517">
        <v>29</v>
      </c>
      <c r="I2517">
        <v>2</v>
      </c>
      <c r="J2517">
        <v>24</v>
      </c>
      <c r="M2517" t="s">
        <v>2635</v>
      </c>
    </row>
    <row r="2518" spans="1:13" ht="15" customHeight="1">
      <c r="A2518" s="10">
        <v>46195</v>
      </c>
      <c r="B2518" t="s">
        <v>1</v>
      </c>
      <c r="C2518" t="s">
        <v>88</v>
      </c>
      <c r="D2518">
        <v>1</v>
      </c>
      <c r="E2518">
        <v>237</v>
      </c>
      <c r="I2518">
        <v>1</v>
      </c>
      <c r="J2518">
        <v>235</v>
      </c>
      <c r="M2518" t="s">
        <v>2636</v>
      </c>
    </row>
    <row r="2519" spans="1:13" ht="15" customHeight="1">
      <c r="A2519" s="10">
        <v>46195</v>
      </c>
      <c r="B2519" t="s">
        <v>1</v>
      </c>
      <c r="C2519" t="s">
        <v>89</v>
      </c>
      <c r="D2519">
        <v>1</v>
      </c>
      <c r="E2519">
        <v>147</v>
      </c>
      <c r="I2519">
        <v>1</v>
      </c>
      <c r="J2519">
        <v>142</v>
      </c>
      <c r="M2519" t="s">
        <v>2637</v>
      </c>
    </row>
    <row r="2520" spans="1:13" ht="15" customHeight="1">
      <c r="A2520" s="10">
        <v>46195</v>
      </c>
      <c r="B2520" t="s">
        <v>1</v>
      </c>
      <c r="C2520" t="s">
        <v>90</v>
      </c>
      <c r="D2520">
        <v>1</v>
      </c>
      <c r="E2520">
        <v>830</v>
      </c>
      <c r="I2520">
        <v>1</v>
      </c>
      <c r="J2520">
        <v>830</v>
      </c>
      <c r="M2520" t="s">
        <v>2638</v>
      </c>
    </row>
    <row r="2521" spans="1:13" ht="15" customHeight="1">
      <c r="A2521" s="10">
        <v>46195</v>
      </c>
      <c r="B2521" t="s">
        <v>1</v>
      </c>
      <c r="C2521" t="s">
        <v>92</v>
      </c>
      <c r="D2521">
        <v>1</v>
      </c>
      <c r="E2521">
        <v>761</v>
      </c>
      <c r="I2521">
        <v>1</v>
      </c>
      <c r="J2521">
        <v>761</v>
      </c>
      <c r="M2521" t="s">
        <v>2639</v>
      </c>
    </row>
    <row r="2522" spans="1:13" ht="15" customHeight="1">
      <c r="A2522" s="10">
        <v>46195</v>
      </c>
      <c r="B2522" t="s">
        <v>1</v>
      </c>
      <c r="C2522" t="s">
        <v>94</v>
      </c>
      <c r="D2522">
        <v>5</v>
      </c>
      <c r="E2522">
        <v>29</v>
      </c>
      <c r="I2522">
        <v>4</v>
      </c>
      <c r="J2522">
        <v>54</v>
      </c>
      <c r="M2522" t="s">
        <v>2640</v>
      </c>
    </row>
    <row r="2523" spans="1:13" ht="15" customHeight="1">
      <c r="A2523" s="10">
        <v>46195</v>
      </c>
      <c r="B2523" t="s">
        <v>1</v>
      </c>
      <c r="C2523" t="s">
        <v>96</v>
      </c>
      <c r="D2523">
        <v>0</v>
      </c>
      <c r="E2523">
        <v>0</v>
      </c>
      <c r="I2523">
        <v>0</v>
      </c>
      <c r="J2523">
        <v>0</v>
      </c>
      <c r="K2523">
        <v>0</v>
      </c>
      <c r="M2523" t="s">
        <v>2641</v>
      </c>
    </row>
    <row r="2524" spans="1:13" ht="15" customHeight="1">
      <c r="A2524" s="10">
        <v>46195</v>
      </c>
      <c r="B2524" t="s">
        <v>1</v>
      </c>
      <c r="C2524" t="s">
        <v>98</v>
      </c>
      <c r="D2524">
        <v>5</v>
      </c>
      <c r="E2524">
        <v>0</v>
      </c>
      <c r="I2524">
        <v>5</v>
      </c>
      <c r="J2524">
        <v>0</v>
      </c>
      <c r="M2524" t="s">
        <v>2642</v>
      </c>
    </row>
    <row r="2525" spans="1:13" ht="15" customHeight="1">
      <c r="A2525" s="10">
        <v>46195</v>
      </c>
      <c r="B2525" t="s">
        <v>1</v>
      </c>
      <c r="C2525" t="s">
        <v>203</v>
      </c>
      <c r="D2525">
        <v>1</v>
      </c>
      <c r="E2525">
        <v>20</v>
      </c>
      <c r="I2525">
        <v>0</v>
      </c>
      <c r="J2525">
        <v>164</v>
      </c>
      <c r="M2525" t="s">
        <v>2643</v>
      </c>
    </row>
    <row r="2526" spans="1:13" ht="15" customHeight="1">
      <c r="A2526" s="10">
        <v>46195</v>
      </c>
      <c r="B2526" t="s">
        <v>1</v>
      </c>
      <c r="C2526" t="s">
        <v>100</v>
      </c>
      <c r="D2526">
        <v>0</v>
      </c>
      <c r="E2526">
        <v>0</v>
      </c>
      <c r="I2526">
        <v>0</v>
      </c>
      <c r="J2526">
        <v>0</v>
      </c>
      <c r="M2526" t="s">
        <v>2644</v>
      </c>
    </row>
    <row r="2527" spans="1:13" ht="15" customHeight="1">
      <c r="A2527" s="10">
        <v>46195</v>
      </c>
      <c r="B2527" t="s">
        <v>1</v>
      </c>
      <c r="C2527" t="s">
        <v>101</v>
      </c>
      <c r="D2527">
        <v>0</v>
      </c>
      <c r="E2527">
        <v>0</v>
      </c>
      <c r="I2527">
        <v>0</v>
      </c>
      <c r="J2527">
        <v>0</v>
      </c>
      <c r="M2527" t="s">
        <v>2645</v>
      </c>
    </row>
    <row r="2528" spans="1:13" ht="15" customHeight="1">
      <c r="A2528" s="10">
        <v>46195</v>
      </c>
      <c r="B2528" t="s">
        <v>1</v>
      </c>
      <c r="C2528" t="s">
        <v>103</v>
      </c>
      <c r="D2528">
        <v>0</v>
      </c>
      <c r="E2528">
        <v>2</v>
      </c>
      <c r="G2528">
        <v>14</v>
      </c>
      <c r="I2528">
        <v>0</v>
      </c>
      <c r="J2528">
        <v>13</v>
      </c>
      <c r="M2528" t="s">
        <v>2646</v>
      </c>
    </row>
    <row r="2529" spans="1:13" ht="15" customHeight="1">
      <c r="A2529" s="10">
        <v>46195</v>
      </c>
      <c r="B2529" t="s">
        <v>1</v>
      </c>
      <c r="C2529" t="s">
        <v>106</v>
      </c>
      <c r="D2529">
        <v>1</v>
      </c>
      <c r="E2529">
        <v>593</v>
      </c>
      <c r="I2529">
        <v>1</v>
      </c>
      <c r="J2529">
        <v>451</v>
      </c>
      <c r="M2529" t="s">
        <v>2647</v>
      </c>
    </row>
    <row r="2530" spans="1:13" ht="15" customHeight="1">
      <c r="A2530" s="10">
        <v>46195</v>
      </c>
      <c r="B2530" t="s">
        <v>1</v>
      </c>
      <c r="C2530" t="s">
        <v>108</v>
      </c>
      <c r="D2530">
        <v>1</v>
      </c>
      <c r="E2530">
        <v>557</v>
      </c>
      <c r="I2530">
        <v>1</v>
      </c>
      <c r="J2530">
        <v>439</v>
      </c>
      <c r="M2530" t="s">
        <v>2648</v>
      </c>
    </row>
    <row r="2531" spans="1:13" ht="15" customHeight="1">
      <c r="A2531" s="10">
        <v>46195</v>
      </c>
      <c r="B2531" t="s">
        <v>1</v>
      </c>
      <c r="C2531" t="s">
        <v>109</v>
      </c>
      <c r="D2531">
        <v>1</v>
      </c>
      <c r="E2531">
        <v>932</v>
      </c>
      <c r="I2531">
        <v>1</v>
      </c>
      <c r="J2531">
        <v>759</v>
      </c>
      <c r="M2531" t="s">
        <v>2649</v>
      </c>
    </row>
    <row r="2532" spans="1:13" ht="15" customHeight="1">
      <c r="A2532" s="10">
        <v>46195</v>
      </c>
      <c r="B2532" t="s">
        <v>1</v>
      </c>
      <c r="C2532" t="s">
        <v>112</v>
      </c>
      <c r="D2532">
        <v>1</v>
      </c>
      <c r="E2532">
        <v>40</v>
      </c>
      <c r="I2532">
        <v>1</v>
      </c>
      <c r="J2532">
        <v>38</v>
      </c>
      <c r="M2532" t="s">
        <v>2650</v>
      </c>
    </row>
    <row r="2533" spans="1:13" ht="15" customHeight="1">
      <c r="A2533" s="10">
        <v>46195</v>
      </c>
      <c r="B2533" t="s">
        <v>1</v>
      </c>
      <c r="C2533" t="s">
        <v>114</v>
      </c>
      <c r="D2533">
        <v>2</v>
      </c>
      <c r="E2533">
        <v>18</v>
      </c>
      <c r="I2533">
        <v>2</v>
      </c>
      <c r="J2533">
        <v>14</v>
      </c>
      <c r="M2533" t="s">
        <v>2651</v>
      </c>
    </row>
    <row r="2534" spans="1:13" ht="15" customHeight="1">
      <c r="A2534" s="10">
        <v>46195</v>
      </c>
      <c r="B2534" t="s">
        <v>1</v>
      </c>
      <c r="C2534" t="s">
        <v>115</v>
      </c>
      <c r="D2534">
        <v>1</v>
      </c>
      <c r="E2534">
        <v>6</v>
      </c>
      <c r="I2534">
        <v>0</v>
      </c>
      <c r="J2534">
        <v>45</v>
      </c>
      <c r="M2534" t="s">
        <v>2652</v>
      </c>
    </row>
    <row r="2535" spans="1:13" ht="15" customHeight="1">
      <c r="A2535" s="10">
        <v>46195</v>
      </c>
      <c r="B2535" t="s">
        <v>1</v>
      </c>
      <c r="C2535" t="s">
        <v>116</v>
      </c>
      <c r="D2535">
        <v>2</v>
      </c>
      <c r="E2535">
        <v>1</v>
      </c>
      <c r="I2535">
        <v>1</v>
      </c>
      <c r="J2535">
        <v>40</v>
      </c>
      <c r="M2535" t="s">
        <v>2653</v>
      </c>
    </row>
    <row r="2536" spans="1:13" ht="15" customHeight="1">
      <c r="A2536" s="10">
        <v>46195</v>
      </c>
      <c r="B2536" t="s">
        <v>1</v>
      </c>
      <c r="C2536" t="s">
        <v>119</v>
      </c>
      <c r="D2536">
        <v>2</v>
      </c>
      <c r="E2536">
        <v>0</v>
      </c>
      <c r="I2536">
        <v>2</v>
      </c>
      <c r="M2536" t="s">
        <v>2654</v>
      </c>
    </row>
    <row r="2537" spans="1:13" ht="15" customHeight="1">
      <c r="A2537" s="10">
        <v>46195</v>
      </c>
      <c r="B2537" t="s">
        <v>1</v>
      </c>
      <c r="C2537" t="s">
        <v>120</v>
      </c>
      <c r="D2537">
        <v>2</v>
      </c>
      <c r="E2537">
        <v>0</v>
      </c>
      <c r="I2537">
        <v>2</v>
      </c>
      <c r="M2537" t="s">
        <v>2655</v>
      </c>
    </row>
    <row r="2538" spans="1:13" ht="15" customHeight="1">
      <c r="A2538" s="10">
        <v>46195</v>
      </c>
      <c r="B2538" t="s">
        <v>1</v>
      </c>
      <c r="C2538" t="s">
        <v>121</v>
      </c>
      <c r="D2538">
        <v>3</v>
      </c>
      <c r="E2538">
        <v>0</v>
      </c>
      <c r="I2538">
        <v>3</v>
      </c>
      <c r="M2538" t="s">
        <v>2656</v>
      </c>
    </row>
    <row r="2539" spans="1:13" ht="15" customHeight="1">
      <c r="A2539" s="10">
        <v>46195</v>
      </c>
      <c r="B2539" t="s">
        <v>1</v>
      </c>
      <c r="C2539" t="s">
        <v>123</v>
      </c>
      <c r="D2539">
        <v>2</v>
      </c>
      <c r="E2539">
        <v>0</v>
      </c>
      <c r="I2539">
        <v>1</v>
      </c>
      <c r="M2539" t="s">
        <v>2657</v>
      </c>
    </row>
    <row r="2540" spans="1:13" ht="15" customHeight="1">
      <c r="A2540" s="10">
        <v>46195</v>
      </c>
      <c r="B2540" t="s">
        <v>1</v>
      </c>
      <c r="C2540" t="s">
        <v>124</v>
      </c>
      <c r="D2540">
        <v>2</v>
      </c>
      <c r="E2540">
        <v>0</v>
      </c>
      <c r="I2540">
        <v>2</v>
      </c>
      <c r="M2540" t="s">
        <v>2658</v>
      </c>
    </row>
    <row r="2541" spans="1:13" ht="15" customHeight="1">
      <c r="A2541" s="10">
        <v>46195</v>
      </c>
      <c r="B2541" t="s">
        <v>1</v>
      </c>
      <c r="C2541" t="s">
        <v>125</v>
      </c>
      <c r="D2541">
        <v>2</v>
      </c>
      <c r="E2541">
        <v>0</v>
      </c>
      <c r="I2541">
        <v>2</v>
      </c>
      <c r="M2541" t="s">
        <v>2659</v>
      </c>
    </row>
    <row r="2542" spans="1:13" ht="15" customHeight="1">
      <c r="A2542" s="10">
        <v>46195</v>
      </c>
      <c r="B2542" t="s">
        <v>1</v>
      </c>
      <c r="C2542" t="s">
        <v>126</v>
      </c>
      <c r="D2542">
        <v>2</v>
      </c>
      <c r="E2542">
        <v>0</v>
      </c>
      <c r="I2542">
        <v>2</v>
      </c>
      <c r="M2542" t="s">
        <v>2660</v>
      </c>
    </row>
    <row r="2543" spans="1:13" ht="15" customHeight="1">
      <c r="A2543" s="10">
        <v>46195</v>
      </c>
      <c r="B2543" t="s">
        <v>1</v>
      </c>
      <c r="C2543" t="s">
        <v>128</v>
      </c>
      <c r="D2543">
        <v>4</v>
      </c>
      <c r="E2543">
        <v>0</v>
      </c>
      <c r="I2543">
        <v>3</v>
      </c>
      <c r="M2543" t="s">
        <v>2661</v>
      </c>
    </row>
    <row r="2544" spans="1:13" ht="15" customHeight="1">
      <c r="A2544" s="10">
        <v>46195</v>
      </c>
      <c r="B2544" t="s">
        <v>1</v>
      </c>
      <c r="C2544" t="s">
        <v>130</v>
      </c>
      <c r="D2544">
        <v>4</v>
      </c>
      <c r="E2544">
        <v>0</v>
      </c>
      <c r="I2544">
        <v>4</v>
      </c>
      <c r="M2544" t="s">
        <v>2662</v>
      </c>
    </row>
    <row r="2545" spans="1:13" ht="15" customHeight="1">
      <c r="A2545" s="10">
        <v>46195</v>
      </c>
      <c r="B2545" t="s">
        <v>1</v>
      </c>
      <c r="C2545" t="s">
        <v>285</v>
      </c>
      <c r="D2545">
        <v>2</v>
      </c>
      <c r="E2545">
        <v>0</v>
      </c>
      <c r="I2545">
        <v>2</v>
      </c>
      <c r="M2545" t="s">
        <v>2663</v>
      </c>
    </row>
    <row r="2546" spans="1:13" ht="15" customHeight="1">
      <c r="A2546" s="10">
        <v>46195</v>
      </c>
      <c r="B2546" t="s">
        <v>1</v>
      </c>
      <c r="C2546" t="s">
        <v>287</v>
      </c>
      <c r="D2546">
        <v>2</v>
      </c>
      <c r="E2546">
        <v>0</v>
      </c>
      <c r="I2546">
        <v>2</v>
      </c>
      <c r="M2546" t="s">
        <v>2664</v>
      </c>
    </row>
    <row r="2547" spans="1:13" ht="15" customHeight="1">
      <c r="A2547" s="10">
        <v>46195</v>
      </c>
      <c r="B2547" t="s">
        <v>1</v>
      </c>
      <c r="C2547" t="s">
        <v>289</v>
      </c>
      <c r="D2547">
        <v>2</v>
      </c>
      <c r="E2547">
        <v>0</v>
      </c>
      <c r="I2547">
        <v>2</v>
      </c>
      <c r="M2547" t="s">
        <v>2665</v>
      </c>
    </row>
    <row r="2548" spans="1:13" ht="15" customHeight="1">
      <c r="A2548" s="10">
        <v>46195</v>
      </c>
      <c r="B2548" t="s">
        <v>1</v>
      </c>
      <c r="C2548" t="s">
        <v>291</v>
      </c>
      <c r="D2548">
        <v>2</v>
      </c>
      <c r="E2548">
        <v>0</v>
      </c>
      <c r="I2548">
        <v>2</v>
      </c>
      <c r="M2548" t="s">
        <v>2666</v>
      </c>
    </row>
    <row r="2549" spans="1:13" ht="15" customHeight="1">
      <c r="A2549" s="10">
        <v>46195</v>
      </c>
      <c r="B2549" t="s">
        <v>1</v>
      </c>
      <c r="C2549" t="s">
        <v>293</v>
      </c>
      <c r="D2549">
        <v>4</v>
      </c>
      <c r="E2549">
        <v>0</v>
      </c>
      <c r="I2549">
        <v>4</v>
      </c>
      <c r="M2549" t="s">
        <v>2667</v>
      </c>
    </row>
    <row r="2550" spans="1:13" ht="15" customHeight="1">
      <c r="A2550" s="10">
        <v>46195</v>
      </c>
      <c r="B2550" t="s">
        <v>1</v>
      </c>
      <c r="C2550" s="135" t="s">
        <v>138</v>
      </c>
      <c r="D2550">
        <v>0</v>
      </c>
      <c r="E2550">
        <v>23</v>
      </c>
      <c r="I2550">
        <v>0</v>
      </c>
      <c r="J2550">
        <v>20</v>
      </c>
      <c r="M2550" t="s">
        <v>2668</v>
      </c>
    </row>
    <row r="2551" spans="1:13" ht="15" customHeight="1">
      <c r="A2551" s="10">
        <v>46195</v>
      </c>
      <c r="B2551" t="s">
        <v>1</v>
      </c>
      <c r="C2551" s="135" t="s">
        <v>139</v>
      </c>
      <c r="D2551">
        <v>0</v>
      </c>
      <c r="E2551">
        <v>45</v>
      </c>
      <c r="I2551">
        <v>0</v>
      </c>
      <c r="J2551">
        <v>43</v>
      </c>
      <c r="M2551" t="s">
        <v>2669</v>
      </c>
    </row>
    <row r="2552" spans="1:13" ht="15" customHeight="1">
      <c r="A2552" s="10">
        <v>46195</v>
      </c>
      <c r="B2552" t="s">
        <v>1</v>
      </c>
      <c r="C2552" s="135" t="s">
        <v>140</v>
      </c>
      <c r="D2552">
        <v>0</v>
      </c>
      <c r="E2552">
        <v>25</v>
      </c>
      <c r="I2552">
        <v>0</v>
      </c>
      <c r="J2552">
        <v>23</v>
      </c>
      <c r="M2552" t="s">
        <v>2670</v>
      </c>
    </row>
    <row r="2553" spans="1:13" ht="15" customHeight="1">
      <c r="A2553" s="10">
        <v>46195</v>
      </c>
      <c r="B2553" t="s">
        <v>1</v>
      </c>
      <c r="C2553" s="135" t="s">
        <v>141</v>
      </c>
      <c r="D2553">
        <v>0</v>
      </c>
      <c r="E2553">
        <v>0</v>
      </c>
      <c r="I2553">
        <v>0</v>
      </c>
      <c r="J2553">
        <v>0</v>
      </c>
      <c r="M2553" t="s">
        <v>2671</v>
      </c>
    </row>
    <row r="2554" spans="1:13" ht="15" customHeight="1">
      <c r="A2554" s="10">
        <v>46195</v>
      </c>
      <c r="B2554" t="s">
        <v>1</v>
      </c>
      <c r="C2554" s="135" t="s">
        <v>143</v>
      </c>
      <c r="D2554">
        <v>0</v>
      </c>
      <c r="E2554">
        <v>64</v>
      </c>
      <c r="I2554">
        <v>0</v>
      </c>
      <c r="J2554">
        <v>60</v>
      </c>
      <c r="M2554" t="s">
        <v>2672</v>
      </c>
    </row>
    <row r="2555" spans="1:13" ht="15" customHeight="1">
      <c r="A2555" s="10">
        <v>46195</v>
      </c>
      <c r="B2555" t="s">
        <v>1</v>
      </c>
      <c r="C2555" s="135" t="s">
        <v>145</v>
      </c>
      <c r="D2555">
        <v>0</v>
      </c>
      <c r="E2555">
        <v>49</v>
      </c>
      <c r="I2555">
        <v>0</v>
      </c>
      <c r="J2555">
        <v>45</v>
      </c>
      <c r="M2555" t="s">
        <v>2673</v>
      </c>
    </row>
    <row r="2556" spans="1:13" ht="15" customHeight="1">
      <c r="A2556" s="10">
        <v>46195</v>
      </c>
      <c r="B2556" t="s">
        <v>1</v>
      </c>
      <c r="C2556" s="135" t="s">
        <v>147</v>
      </c>
      <c r="D2556">
        <v>0</v>
      </c>
      <c r="E2556">
        <v>30</v>
      </c>
      <c r="I2556">
        <v>0</v>
      </c>
      <c r="J2556">
        <v>29</v>
      </c>
      <c r="M2556" t="s">
        <v>2674</v>
      </c>
    </row>
    <row r="2557" spans="1:13" ht="15" customHeight="1">
      <c r="A2557" s="10">
        <v>46195</v>
      </c>
      <c r="B2557" t="s">
        <v>1</v>
      </c>
      <c r="C2557" t="s">
        <v>302</v>
      </c>
      <c r="D2557">
        <v>2</v>
      </c>
      <c r="E2557">
        <v>0</v>
      </c>
      <c r="I2557">
        <v>2</v>
      </c>
      <c r="M2557" t="s">
        <v>2675</v>
      </c>
    </row>
    <row r="2558" spans="1:13" ht="15" customHeight="1">
      <c r="A2558" s="10">
        <v>46195</v>
      </c>
      <c r="B2558" t="s">
        <v>1</v>
      </c>
      <c r="C2558" t="s">
        <v>150</v>
      </c>
      <c r="D2558">
        <v>1</v>
      </c>
      <c r="E2558">
        <v>0</v>
      </c>
      <c r="I2558">
        <v>1</v>
      </c>
      <c r="M2558" t="s">
        <v>2676</v>
      </c>
    </row>
    <row r="2559" spans="1:13" ht="15" customHeight="1">
      <c r="A2559" s="10">
        <v>46195</v>
      </c>
      <c r="B2559" t="s">
        <v>1</v>
      </c>
      <c r="C2559" t="s">
        <v>151</v>
      </c>
      <c r="D2559">
        <v>2</v>
      </c>
      <c r="E2559">
        <v>0</v>
      </c>
      <c r="I2559">
        <v>2</v>
      </c>
      <c r="M2559" t="s">
        <v>2677</v>
      </c>
    </row>
    <row r="2560" spans="1:13" ht="15" customHeight="1">
      <c r="A2560" s="10">
        <v>46195</v>
      </c>
      <c r="B2560" t="s">
        <v>1</v>
      </c>
      <c r="C2560" t="s">
        <v>152</v>
      </c>
      <c r="D2560">
        <v>2</v>
      </c>
      <c r="E2560">
        <v>0</v>
      </c>
      <c r="I2560">
        <v>2</v>
      </c>
      <c r="M2560" t="s">
        <v>2678</v>
      </c>
    </row>
    <row r="2561" spans="1:13" ht="15" customHeight="1">
      <c r="A2561" s="10">
        <v>46195</v>
      </c>
      <c r="B2561" t="s">
        <v>1</v>
      </c>
      <c r="C2561" t="s">
        <v>153</v>
      </c>
      <c r="D2561">
        <v>2</v>
      </c>
      <c r="E2561">
        <v>0</v>
      </c>
      <c r="I2561">
        <v>2</v>
      </c>
      <c r="M2561" t="s">
        <v>2679</v>
      </c>
    </row>
    <row r="2562" spans="1:13" ht="15" customHeight="1">
      <c r="A2562" s="10">
        <v>46195</v>
      </c>
      <c r="B2562" t="s">
        <v>1</v>
      </c>
      <c r="C2562" t="s">
        <v>308</v>
      </c>
      <c r="D2562">
        <v>0</v>
      </c>
      <c r="E2562">
        <v>4</v>
      </c>
      <c r="I2562">
        <v>0</v>
      </c>
      <c r="J2562">
        <v>3</v>
      </c>
      <c r="M2562" t="s">
        <v>2680</v>
      </c>
    </row>
    <row r="2563" spans="1:13" ht="15" customHeight="1">
      <c r="A2563" s="10">
        <v>46195</v>
      </c>
      <c r="B2563" t="s">
        <v>1</v>
      </c>
      <c r="C2563" t="s">
        <v>310</v>
      </c>
      <c r="D2563">
        <v>0</v>
      </c>
      <c r="E2563">
        <v>2</v>
      </c>
      <c r="I2563">
        <v>0</v>
      </c>
      <c r="J2563">
        <v>2</v>
      </c>
      <c r="M2563" t="s">
        <v>2681</v>
      </c>
    </row>
    <row r="2564" spans="1:13" ht="15" customHeight="1">
      <c r="A2564" s="10">
        <v>46195</v>
      </c>
      <c r="B2564" t="s">
        <v>1</v>
      </c>
      <c r="C2564" t="s">
        <v>312</v>
      </c>
      <c r="D2564">
        <v>0</v>
      </c>
      <c r="E2564">
        <v>3</v>
      </c>
      <c r="I2564">
        <v>0</v>
      </c>
      <c r="J2564">
        <v>3</v>
      </c>
      <c r="M2564" t="s">
        <v>2682</v>
      </c>
    </row>
    <row r="2565" spans="1:13" ht="15" customHeight="1">
      <c r="A2565" s="10">
        <v>46195</v>
      </c>
      <c r="B2565" t="s">
        <v>1</v>
      </c>
      <c r="C2565" t="s">
        <v>314</v>
      </c>
      <c r="D2565">
        <v>1</v>
      </c>
      <c r="E2565">
        <v>0</v>
      </c>
      <c r="I2565">
        <v>1</v>
      </c>
      <c r="M2565" t="s">
        <v>2683</v>
      </c>
    </row>
    <row r="2566" spans="1:13" ht="15" customHeight="1">
      <c r="A2566" s="10">
        <v>46195</v>
      </c>
      <c r="B2566" t="s">
        <v>1</v>
      </c>
      <c r="C2566" t="s">
        <v>316</v>
      </c>
      <c r="D2566">
        <v>1</v>
      </c>
      <c r="E2566">
        <v>0</v>
      </c>
      <c r="I2566">
        <v>1</v>
      </c>
      <c r="M2566" t="s">
        <v>2684</v>
      </c>
    </row>
    <row r="2567" spans="1:13" ht="15" customHeight="1">
      <c r="A2567" s="10">
        <v>46195</v>
      </c>
      <c r="B2567" t="s">
        <v>1</v>
      </c>
      <c r="C2567" t="s">
        <v>318</v>
      </c>
      <c r="D2567">
        <v>2</v>
      </c>
      <c r="E2567">
        <v>0</v>
      </c>
      <c r="I2567">
        <v>1</v>
      </c>
      <c r="M2567" t="s">
        <v>2685</v>
      </c>
    </row>
    <row r="2568" spans="1:13" ht="15" customHeight="1">
      <c r="A2568" s="10">
        <v>46195</v>
      </c>
      <c r="B2568" t="s">
        <v>1</v>
      </c>
      <c r="C2568" t="s">
        <v>320</v>
      </c>
      <c r="D2568">
        <v>1</v>
      </c>
      <c r="E2568">
        <v>0</v>
      </c>
      <c r="I2568">
        <v>1</v>
      </c>
      <c r="M2568" t="s">
        <v>2686</v>
      </c>
    </row>
    <row r="2569" spans="1:13" ht="15" customHeight="1">
      <c r="A2569" s="10">
        <v>46195</v>
      </c>
      <c r="B2569" t="s">
        <v>1</v>
      </c>
      <c r="C2569" t="s">
        <v>322</v>
      </c>
      <c r="D2569">
        <v>0</v>
      </c>
      <c r="E2569">
        <v>0</v>
      </c>
      <c r="I2569">
        <v>0</v>
      </c>
      <c r="M2569" t="s">
        <v>2687</v>
      </c>
    </row>
    <row r="2570" spans="1:13" ht="15" customHeight="1">
      <c r="A2570" s="10">
        <v>46195</v>
      </c>
      <c r="B2570" t="s">
        <v>1</v>
      </c>
      <c r="C2570" s="135" t="s">
        <v>168</v>
      </c>
      <c r="D2570">
        <v>1</v>
      </c>
      <c r="E2570">
        <v>0</v>
      </c>
      <c r="I2570">
        <v>1</v>
      </c>
      <c r="M2570" t="s">
        <v>2688</v>
      </c>
    </row>
    <row r="2571" spans="1:13" ht="15" customHeight="1">
      <c r="A2571" s="10">
        <v>46195</v>
      </c>
      <c r="B2571" t="s">
        <v>1</v>
      </c>
      <c r="C2571" s="135" t="s">
        <v>170</v>
      </c>
      <c r="D2571">
        <v>1</v>
      </c>
      <c r="E2571">
        <v>0</v>
      </c>
      <c r="I2571">
        <v>1</v>
      </c>
      <c r="M2571" t="s">
        <v>2689</v>
      </c>
    </row>
    <row r="2572" spans="1:13" ht="15" customHeight="1">
      <c r="A2572" s="10">
        <v>46195</v>
      </c>
      <c r="B2572" t="s">
        <v>1</v>
      </c>
      <c r="C2572" s="135" t="s">
        <v>171</v>
      </c>
      <c r="D2572">
        <v>2</v>
      </c>
      <c r="E2572">
        <v>0</v>
      </c>
      <c r="I2572">
        <v>2</v>
      </c>
      <c r="M2572" t="s">
        <v>2690</v>
      </c>
    </row>
    <row r="2573" spans="1:13" ht="15" customHeight="1">
      <c r="A2573" s="10">
        <v>46195</v>
      </c>
      <c r="B2573" t="s">
        <v>1</v>
      </c>
      <c r="C2573" s="135" t="s">
        <v>172</v>
      </c>
      <c r="D2573">
        <v>1</v>
      </c>
      <c r="E2573">
        <v>0</v>
      </c>
      <c r="I2573">
        <v>1</v>
      </c>
      <c r="M2573" t="s">
        <v>2691</v>
      </c>
    </row>
    <row r="2574" spans="1:13" ht="15" customHeight="1">
      <c r="A2574" s="10">
        <v>46195</v>
      </c>
      <c r="B2574" t="s">
        <v>1</v>
      </c>
      <c r="C2574" s="135" t="s">
        <v>173</v>
      </c>
      <c r="D2574">
        <v>0</v>
      </c>
      <c r="E2574">
        <v>0</v>
      </c>
      <c r="I2574">
        <v>0</v>
      </c>
      <c r="M2574" t="s">
        <v>2692</v>
      </c>
    </row>
    <row r="2575" spans="1:13" ht="15" customHeight="1">
      <c r="A2575" s="10">
        <v>46195</v>
      </c>
      <c r="B2575" t="s">
        <v>1</v>
      </c>
      <c r="C2575" t="s">
        <v>176</v>
      </c>
      <c r="D2575">
        <v>0</v>
      </c>
      <c r="E2575">
        <v>16</v>
      </c>
      <c r="H2575">
        <v>1</v>
      </c>
      <c r="I2575">
        <v>0</v>
      </c>
      <c r="J2575">
        <v>15</v>
      </c>
      <c r="M2575" t="s">
        <v>2693</v>
      </c>
    </row>
    <row r="2576" spans="1:13" ht="15" customHeight="1">
      <c r="A2576" s="10">
        <v>46195</v>
      </c>
      <c r="B2576" t="s">
        <v>1</v>
      </c>
      <c r="C2576" t="s">
        <v>178</v>
      </c>
      <c r="D2576">
        <v>0</v>
      </c>
      <c r="E2576">
        <v>19</v>
      </c>
      <c r="H2576">
        <v>1</v>
      </c>
      <c r="I2576">
        <v>0</v>
      </c>
      <c r="J2576">
        <v>18</v>
      </c>
      <c r="M2576" t="s">
        <v>2694</v>
      </c>
    </row>
    <row r="2577" spans="1:13" ht="15" customHeight="1">
      <c r="A2577" s="10">
        <v>46195</v>
      </c>
      <c r="B2577" t="s">
        <v>1</v>
      </c>
      <c r="C2577" t="s">
        <v>179</v>
      </c>
      <c r="D2577">
        <v>0</v>
      </c>
      <c r="E2577">
        <v>11</v>
      </c>
      <c r="I2577">
        <v>0</v>
      </c>
      <c r="J2577">
        <v>11</v>
      </c>
      <c r="M2577" t="s">
        <v>2695</v>
      </c>
    </row>
    <row r="2578" spans="1:13" ht="15" customHeight="1">
      <c r="A2578" s="10">
        <v>46195</v>
      </c>
      <c r="B2578" t="s">
        <v>1</v>
      </c>
      <c r="C2578" t="s">
        <v>180</v>
      </c>
      <c r="D2578">
        <v>0</v>
      </c>
      <c r="E2578">
        <v>15</v>
      </c>
      <c r="I2578">
        <v>0</v>
      </c>
      <c r="J2578">
        <v>15</v>
      </c>
      <c r="M2578" t="s">
        <v>2696</v>
      </c>
    </row>
    <row r="2579" spans="1:13" ht="15" customHeight="1">
      <c r="A2579" s="10">
        <v>46195</v>
      </c>
      <c r="B2579" t="s">
        <v>1</v>
      </c>
      <c r="C2579" s="135" t="s">
        <v>182</v>
      </c>
      <c r="D2579">
        <v>1</v>
      </c>
      <c r="E2579">
        <v>261</v>
      </c>
      <c r="I2579">
        <v>1</v>
      </c>
      <c r="J2579">
        <v>231</v>
      </c>
      <c r="M2579" t="s">
        <v>2697</v>
      </c>
    </row>
    <row r="2580" spans="1:13" ht="15" customHeight="1">
      <c r="A2580" s="10">
        <v>46195</v>
      </c>
      <c r="B2580" t="s">
        <v>1</v>
      </c>
      <c r="C2580" s="135" t="s">
        <v>184</v>
      </c>
      <c r="D2580">
        <v>0</v>
      </c>
      <c r="E2580">
        <v>83</v>
      </c>
      <c r="I2580">
        <v>0</v>
      </c>
      <c r="J2580">
        <v>83</v>
      </c>
      <c r="M2580" t="s">
        <v>2698</v>
      </c>
    </row>
    <row r="2581" spans="1:13" ht="15" customHeight="1">
      <c r="A2581" s="10">
        <v>46195</v>
      </c>
      <c r="B2581" t="s">
        <v>1</v>
      </c>
      <c r="C2581" s="135" t="s">
        <v>185</v>
      </c>
      <c r="D2581">
        <v>1</v>
      </c>
      <c r="E2581">
        <v>50</v>
      </c>
      <c r="I2581">
        <v>1</v>
      </c>
      <c r="J2581">
        <v>50</v>
      </c>
      <c r="M2581" t="s">
        <v>2699</v>
      </c>
    </row>
    <row r="2582" spans="1:13" ht="15" customHeight="1">
      <c r="A2582" s="10">
        <v>46195</v>
      </c>
      <c r="B2582" t="s">
        <v>1</v>
      </c>
      <c r="C2582" s="135" t="s">
        <v>186</v>
      </c>
      <c r="D2582">
        <v>1</v>
      </c>
      <c r="E2582">
        <v>71</v>
      </c>
      <c r="I2582">
        <v>1</v>
      </c>
      <c r="J2582">
        <v>71</v>
      </c>
      <c r="M2582" t="s">
        <v>2700</v>
      </c>
    </row>
    <row r="2583" spans="1:13" ht="15" customHeight="1">
      <c r="A2583" s="10">
        <v>46195</v>
      </c>
      <c r="B2583" t="s">
        <v>1</v>
      </c>
      <c r="C2583" t="s">
        <v>337</v>
      </c>
      <c r="D2583">
        <v>2</v>
      </c>
      <c r="E2583">
        <v>0</v>
      </c>
      <c r="I2583">
        <v>1</v>
      </c>
      <c r="J2583">
        <v>361</v>
      </c>
      <c r="M2583" t="s">
        <v>2701</v>
      </c>
    </row>
    <row r="2584" spans="1:13" ht="15" customHeight="1">
      <c r="A2584" s="10">
        <v>46195</v>
      </c>
      <c r="B2584" t="s">
        <v>1</v>
      </c>
      <c r="C2584" t="s">
        <v>339</v>
      </c>
      <c r="D2584">
        <v>0</v>
      </c>
      <c r="E2584">
        <v>0</v>
      </c>
      <c r="I2584">
        <v>0</v>
      </c>
      <c r="J2584">
        <v>0</v>
      </c>
      <c r="M2584" t="s">
        <v>2702</v>
      </c>
    </row>
    <row r="2585" spans="1:13" ht="15" customHeight="1">
      <c r="A2585" s="10">
        <v>46195</v>
      </c>
      <c r="B2585" t="s">
        <v>1</v>
      </c>
      <c r="C2585" s="135" t="s">
        <v>191</v>
      </c>
      <c r="D2585">
        <v>1</v>
      </c>
      <c r="E2585">
        <v>220</v>
      </c>
      <c r="I2585">
        <v>1</v>
      </c>
      <c r="J2585">
        <v>195</v>
      </c>
      <c r="M2585" t="s">
        <v>2703</v>
      </c>
    </row>
    <row r="2586" spans="1:13" ht="15" customHeight="1">
      <c r="A2586" s="10">
        <v>46195</v>
      </c>
      <c r="B2586" t="s">
        <v>1</v>
      </c>
      <c r="C2586" s="135" t="s">
        <v>193</v>
      </c>
      <c r="D2586">
        <v>1</v>
      </c>
      <c r="E2586">
        <v>204</v>
      </c>
      <c r="I2586">
        <v>1</v>
      </c>
      <c r="J2586">
        <v>204</v>
      </c>
      <c r="M2586" t="s">
        <v>2704</v>
      </c>
    </row>
    <row r="2587" spans="1:13" ht="15" customHeight="1">
      <c r="A2587" s="10">
        <v>46195</v>
      </c>
      <c r="B2587" t="s">
        <v>1</v>
      </c>
      <c r="C2587" s="135" t="s">
        <v>194</v>
      </c>
      <c r="D2587">
        <v>1</v>
      </c>
      <c r="E2587">
        <v>14</v>
      </c>
      <c r="I2587">
        <v>1</v>
      </c>
      <c r="J2587">
        <v>14</v>
      </c>
      <c r="M2587" t="s">
        <v>2705</v>
      </c>
    </row>
    <row r="2588" spans="1:13" ht="15" customHeight="1">
      <c r="A2588" s="10">
        <v>46195</v>
      </c>
      <c r="B2588" t="s">
        <v>1</v>
      </c>
      <c r="C2588" s="135" t="s">
        <v>196</v>
      </c>
      <c r="D2588">
        <v>0</v>
      </c>
      <c r="E2588">
        <v>434</v>
      </c>
      <c r="I2588">
        <v>0</v>
      </c>
      <c r="J2588">
        <v>434</v>
      </c>
      <c r="M2588" t="s">
        <v>2706</v>
      </c>
    </row>
    <row r="2589" spans="1:13" ht="15" customHeight="1">
      <c r="A2589" s="10">
        <v>46196</v>
      </c>
      <c r="B2589" t="s">
        <v>1</v>
      </c>
      <c r="C2589" t="s">
        <v>23</v>
      </c>
      <c r="D2589">
        <v>4</v>
      </c>
      <c r="E2589">
        <v>0</v>
      </c>
      <c r="I2589">
        <v>2</v>
      </c>
      <c r="J2589">
        <v>514</v>
      </c>
      <c r="M2589" t="s">
        <v>2707</v>
      </c>
    </row>
    <row r="2590" spans="1:13" ht="15" customHeight="1">
      <c r="A2590" s="10">
        <v>46196</v>
      </c>
      <c r="B2590" t="s">
        <v>1</v>
      </c>
      <c r="C2590" t="s">
        <v>26</v>
      </c>
      <c r="D2590">
        <v>1</v>
      </c>
      <c r="E2590">
        <v>610</v>
      </c>
      <c r="I2590">
        <v>1</v>
      </c>
      <c r="J2590">
        <v>600</v>
      </c>
      <c r="M2590" t="s">
        <v>2708</v>
      </c>
    </row>
    <row r="2591" spans="1:13" ht="15" customHeight="1">
      <c r="A2591" s="10">
        <v>46196</v>
      </c>
      <c r="B2591" t="s">
        <v>1</v>
      </c>
      <c r="C2591" t="s">
        <v>27</v>
      </c>
      <c r="D2591">
        <v>1</v>
      </c>
      <c r="E2591">
        <v>765</v>
      </c>
      <c r="I2591">
        <v>1</v>
      </c>
      <c r="J2591">
        <v>761</v>
      </c>
      <c r="M2591" t="s">
        <v>2709</v>
      </c>
    </row>
    <row r="2592" spans="1:13" ht="15" customHeight="1">
      <c r="A2592" s="10">
        <v>46196</v>
      </c>
      <c r="B2592" t="s">
        <v>1</v>
      </c>
      <c r="C2592" t="s">
        <v>28</v>
      </c>
      <c r="D2592">
        <v>0</v>
      </c>
      <c r="E2592">
        <v>0</v>
      </c>
      <c r="I2592">
        <v>0</v>
      </c>
      <c r="J2592">
        <v>0</v>
      </c>
      <c r="M2592" t="s">
        <v>2710</v>
      </c>
    </row>
    <row r="2593" spans="1:13" ht="15" customHeight="1">
      <c r="A2593" s="10">
        <v>46196</v>
      </c>
      <c r="B2593" t="s">
        <v>1</v>
      </c>
      <c r="C2593" t="s">
        <v>29</v>
      </c>
      <c r="D2593">
        <v>1</v>
      </c>
      <c r="E2593">
        <v>418</v>
      </c>
      <c r="I2593">
        <v>1</v>
      </c>
      <c r="J2593">
        <v>413</v>
      </c>
      <c r="M2593" t="s">
        <v>2711</v>
      </c>
    </row>
    <row r="2594" spans="1:13" ht="15" customHeight="1">
      <c r="A2594" s="10">
        <v>46196</v>
      </c>
      <c r="B2594" t="s">
        <v>1</v>
      </c>
      <c r="C2594" t="s">
        <v>30</v>
      </c>
      <c r="D2594">
        <v>2</v>
      </c>
      <c r="E2594">
        <v>140</v>
      </c>
      <c r="I2594">
        <v>2</v>
      </c>
      <c r="J2594">
        <v>137</v>
      </c>
      <c r="M2594" t="s">
        <v>2712</v>
      </c>
    </row>
    <row r="2595" spans="1:13" ht="15" customHeight="1">
      <c r="A2595" s="10">
        <v>46196</v>
      </c>
      <c r="B2595" t="s">
        <v>1</v>
      </c>
      <c r="C2595" t="s">
        <v>31</v>
      </c>
      <c r="D2595">
        <v>2</v>
      </c>
      <c r="E2595">
        <v>550</v>
      </c>
      <c r="I2595">
        <v>3</v>
      </c>
      <c r="J2595">
        <v>340</v>
      </c>
      <c r="M2595" t="s">
        <v>2713</v>
      </c>
    </row>
    <row r="2596" spans="1:13" ht="15" customHeight="1">
      <c r="A2596" s="10">
        <v>46196</v>
      </c>
      <c r="B2596" t="s">
        <v>1</v>
      </c>
      <c r="C2596" t="s">
        <v>32</v>
      </c>
      <c r="D2596">
        <v>2</v>
      </c>
      <c r="E2596">
        <v>92</v>
      </c>
      <c r="I2596">
        <v>1</v>
      </c>
      <c r="J2596">
        <v>683</v>
      </c>
      <c r="M2596" t="s">
        <v>2714</v>
      </c>
    </row>
    <row r="2597" spans="1:13" ht="15" customHeight="1">
      <c r="A2597" s="10">
        <v>46196</v>
      </c>
      <c r="B2597" t="s">
        <v>1</v>
      </c>
      <c r="C2597" t="s">
        <v>223</v>
      </c>
      <c r="D2597">
        <v>6</v>
      </c>
      <c r="E2597">
        <v>391</v>
      </c>
      <c r="I2597">
        <v>5</v>
      </c>
      <c r="J2597">
        <v>389</v>
      </c>
      <c r="M2597" t="s">
        <v>2715</v>
      </c>
    </row>
    <row r="2598" spans="1:13" ht="15" customHeight="1">
      <c r="A2598" s="10">
        <v>46196</v>
      </c>
      <c r="B2598" t="s">
        <v>1</v>
      </c>
      <c r="C2598" t="s">
        <v>35</v>
      </c>
      <c r="D2598">
        <v>8</v>
      </c>
      <c r="E2598">
        <v>0</v>
      </c>
      <c r="I2598">
        <v>8</v>
      </c>
      <c r="M2598" t="s">
        <v>2716</v>
      </c>
    </row>
    <row r="2599" spans="1:13" ht="15" customHeight="1">
      <c r="A2599" s="10">
        <v>46196</v>
      </c>
      <c r="B2599" t="s">
        <v>1</v>
      </c>
      <c r="C2599" t="s">
        <v>37</v>
      </c>
      <c r="D2599">
        <v>3</v>
      </c>
      <c r="E2599">
        <v>0</v>
      </c>
      <c r="I2599">
        <v>3</v>
      </c>
      <c r="M2599" t="s">
        <v>2717</v>
      </c>
    </row>
    <row r="2600" spans="1:13" ht="15" customHeight="1">
      <c r="A2600" s="10">
        <v>46196</v>
      </c>
      <c r="B2600" t="s">
        <v>1</v>
      </c>
      <c r="C2600" t="s">
        <v>39</v>
      </c>
      <c r="D2600">
        <v>13</v>
      </c>
      <c r="E2600">
        <v>0</v>
      </c>
      <c r="I2600">
        <v>13</v>
      </c>
      <c r="J2600">
        <v>0</v>
      </c>
      <c r="M2600" t="s">
        <v>2718</v>
      </c>
    </row>
    <row r="2601" spans="1:13" ht="15" customHeight="1">
      <c r="A2601" s="10">
        <v>46196</v>
      </c>
      <c r="B2601" t="s">
        <v>1</v>
      </c>
      <c r="C2601" t="s">
        <v>41</v>
      </c>
      <c r="D2601">
        <v>19</v>
      </c>
      <c r="E2601">
        <v>0</v>
      </c>
      <c r="H2601">
        <v>2</v>
      </c>
      <c r="I2601">
        <v>17</v>
      </c>
      <c r="J2601">
        <v>0</v>
      </c>
      <c r="M2601" t="s">
        <v>2719</v>
      </c>
    </row>
    <row r="2602" spans="1:13" ht="15" customHeight="1">
      <c r="A2602" s="10">
        <v>46196</v>
      </c>
      <c r="B2602" t="s">
        <v>1</v>
      </c>
      <c r="C2602" t="s">
        <v>232</v>
      </c>
      <c r="D2602">
        <v>0</v>
      </c>
      <c r="E2602">
        <v>0</v>
      </c>
      <c r="H2602">
        <v>0</v>
      </c>
      <c r="I2602">
        <v>0</v>
      </c>
      <c r="J2602">
        <v>0</v>
      </c>
      <c r="M2602" t="s">
        <v>2720</v>
      </c>
    </row>
    <row r="2603" spans="1:13" ht="15" customHeight="1">
      <c r="A2603" s="10">
        <v>46196</v>
      </c>
      <c r="B2603" t="s">
        <v>1</v>
      </c>
      <c r="C2603" t="s">
        <v>234</v>
      </c>
      <c r="D2603">
        <v>79</v>
      </c>
      <c r="E2603">
        <v>0</v>
      </c>
      <c r="H2603">
        <v>10</v>
      </c>
      <c r="I2603">
        <v>69</v>
      </c>
      <c r="J2603">
        <v>0</v>
      </c>
      <c r="M2603" t="s">
        <v>2721</v>
      </c>
    </row>
    <row r="2604" spans="1:13" ht="15" customHeight="1">
      <c r="A2604" s="10">
        <v>46196</v>
      </c>
      <c r="B2604" t="s">
        <v>1</v>
      </c>
      <c r="C2604" t="s">
        <v>54</v>
      </c>
      <c r="D2604">
        <v>0</v>
      </c>
      <c r="E2604">
        <v>0</v>
      </c>
      <c r="I2604">
        <v>0</v>
      </c>
      <c r="J2604">
        <v>0</v>
      </c>
      <c r="M2604" t="s">
        <v>2722</v>
      </c>
    </row>
    <row r="2605" spans="1:13" ht="15" customHeight="1">
      <c r="A2605" s="10">
        <v>46196</v>
      </c>
      <c r="B2605" t="s">
        <v>1</v>
      </c>
      <c r="C2605" t="s">
        <v>237</v>
      </c>
      <c r="D2605">
        <v>9</v>
      </c>
      <c r="E2605">
        <v>0</v>
      </c>
      <c r="I2605">
        <v>9</v>
      </c>
      <c r="J2605">
        <v>0</v>
      </c>
      <c r="M2605" t="s">
        <v>2723</v>
      </c>
    </row>
    <row r="2606" spans="1:13" ht="15" customHeight="1">
      <c r="A2606" s="10">
        <v>46196</v>
      </c>
      <c r="B2606" t="s">
        <v>1</v>
      </c>
      <c r="C2606" s="135" t="s">
        <v>58</v>
      </c>
      <c r="D2606">
        <v>9</v>
      </c>
      <c r="E2606">
        <v>0</v>
      </c>
      <c r="H2606">
        <v>3</v>
      </c>
      <c r="I2606">
        <v>6</v>
      </c>
      <c r="J2606">
        <v>0</v>
      </c>
      <c r="M2606" t="s">
        <v>2724</v>
      </c>
    </row>
    <row r="2607" spans="1:13" ht="15" customHeight="1">
      <c r="A2607" s="10">
        <v>46196</v>
      </c>
      <c r="B2607" t="s">
        <v>1</v>
      </c>
      <c r="C2607" s="135" t="s">
        <v>60</v>
      </c>
      <c r="D2607">
        <v>9</v>
      </c>
      <c r="E2607">
        <v>0</v>
      </c>
      <c r="I2607">
        <v>9</v>
      </c>
      <c r="J2607">
        <v>0</v>
      </c>
      <c r="M2607" t="s">
        <v>2725</v>
      </c>
    </row>
    <row r="2608" spans="1:13" ht="15" customHeight="1">
      <c r="A2608" s="10">
        <v>46196</v>
      </c>
      <c r="B2608" t="s">
        <v>1</v>
      </c>
      <c r="C2608" s="135" t="s">
        <v>61</v>
      </c>
      <c r="D2608">
        <v>12</v>
      </c>
      <c r="E2608">
        <v>0</v>
      </c>
      <c r="I2608">
        <v>12</v>
      </c>
      <c r="J2608">
        <v>0</v>
      </c>
      <c r="M2608" t="s">
        <v>2726</v>
      </c>
    </row>
    <row r="2609" spans="1:13" ht="15" customHeight="1">
      <c r="A2609" s="10">
        <v>46196</v>
      </c>
      <c r="B2609" t="s">
        <v>1</v>
      </c>
      <c r="C2609" s="135" t="s">
        <v>62</v>
      </c>
      <c r="D2609">
        <v>8</v>
      </c>
      <c r="E2609">
        <v>0</v>
      </c>
      <c r="I2609">
        <v>8</v>
      </c>
      <c r="J2609">
        <v>0</v>
      </c>
      <c r="M2609" t="s">
        <v>2727</v>
      </c>
    </row>
    <row r="2610" spans="1:13" ht="15" customHeight="1">
      <c r="A2610" s="10">
        <v>46196</v>
      </c>
      <c r="B2610" t="s">
        <v>1</v>
      </c>
      <c r="C2610" s="135" t="s">
        <v>63</v>
      </c>
      <c r="D2610">
        <v>7</v>
      </c>
      <c r="E2610">
        <v>0</v>
      </c>
      <c r="H2610">
        <v>1</v>
      </c>
      <c r="I2610">
        <v>6</v>
      </c>
      <c r="J2610">
        <v>0</v>
      </c>
      <c r="M2610" t="s">
        <v>2728</v>
      </c>
    </row>
    <row r="2611" spans="1:13" ht="15" customHeight="1">
      <c r="A2611" s="10">
        <v>46196</v>
      </c>
      <c r="B2611" t="s">
        <v>1</v>
      </c>
      <c r="C2611" s="135" t="s">
        <v>64</v>
      </c>
      <c r="D2611">
        <v>4</v>
      </c>
      <c r="E2611">
        <v>0</v>
      </c>
      <c r="I2611">
        <v>4</v>
      </c>
      <c r="J2611">
        <v>0</v>
      </c>
      <c r="M2611" t="s">
        <v>2729</v>
      </c>
    </row>
    <row r="2612" spans="1:13" ht="15" customHeight="1">
      <c r="A2612" s="10">
        <v>46196</v>
      </c>
      <c r="B2612" t="s">
        <v>1</v>
      </c>
      <c r="C2612" t="s">
        <v>66</v>
      </c>
      <c r="D2612">
        <v>3</v>
      </c>
      <c r="E2612">
        <v>0</v>
      </c>
      <c r="I2612">
        <v>3</v>
      </c>
      <c r="J2612">
        <v>0</v>
      </c>
      <c r="M2612" t="s">
        <v>2730</v>
      </c>
    </row>
    <row r="2613" spans="1:13" ht="15" customHeight="1">
      <c r="A2613" s="10">
        <v>46196</v>
      </c>
      <c r="B2613" t="s">
        <v>1</v>
      </c>
      <c r="C2613" t="s">
        <v>67</v>
      </c>
      <c r="D2613">
        <v>5</v>
      </c>
      <c r="E2613">
        <v>0</v>
      </c>
      <c r="I2613">
        <v>5</v>
      </c>
      <c r="J2613">
        <v>0</v>
      </c>
      <c r="M2613" t="s">
        <v>2731</v>
      </c>
    </row>
    <row r="2614" spans="1:13" ht="15" customHeight="1">
      <c r="A2614" s="10">
        <v>46196</v>
      </c>
      <c r="B2614" t="s">
        <v>1</v>
      </c>
      <c r="C2614" t="s">
        <v>68</v>
      </c>
      <c r="D2614">
        <v>0</v>
      </c>
      <c r="E2614">
        <v>0</v>
      </c>
      <c r="I2614">
        <v>0</v>
      </c>
      <c r="J2614">
        <v>0</v>
      </c>
      <c r="M2614" t="s">
        <v>2732</v>
      </c>
    </row>
    <row r="2615" spans="1:13" ht="15" customHeight="1">
      <c r="A2615" s="10">
        <v>46196</v>
      </c>
      <c r="B2615" t="s">
        <v>1</v>
      </c>
      <c r="C2615" t="s">
        <v>71</v>
      </c>
      <c r="D2615">
        <v>1</v>
      </c>
      <c r="E2615">
        <v>465</v>
      </c>
      <c r="I2615">
        <v>1</v>
      </c>
      <c r="J2615">
        <v>360</v>
      </c>
      <c r="M2615" t="s">
        <v>2733</v>
      </c>
    </row>
    <row r="2616" spans="1:13" ht="15" customHeight="1">
      <c r="A2616" s="10">
        <v>46196</v>
      </c>
      <c r="B2616" t="s">
        <v>1</v>
      </c>
      <c r="C2616" t="s">
        <v>73</v>
      </c>
      <c r="D2616">
        <v>2</v>
      </c>
      <c r="E2616">
        <v>482</v>
      </c>
      <c r="I2616">
        <v>2</v>
      </c>
      <c r="J2616">
        <v>452</v>
      </c>
      <c r="M2616" t="s">
        <v>2734</v>
      </c>
    </row>
    <row r="2617" spans="1:13" ht="15" customHeight="1">
      <c r="A2617" s="10">
        <v>46196</v>
      </c>
      <c r="B2617" t="s">
        <v>1</v>
      </c>
      <c r="C2617" t="s">
        <v>75</v>
      </c>
      <c r="D2617">
        <v>0</v>
      </c>
      <c r="E2617">
        <v>237</v>
      </c>
      <c r="I2617">
        <v>0</v>
      </c>
      <c r="J2617">
        <v>240</v>
      </c>
      <c r="M2617" t="s">
        <v>2735</v>
      </c>
    </row>
    <row r="2618" spans="1:13" ht="15" customHeight="1">
      <c r="A2618" s="10">
        <v>46196</v>
      </c>
      <c r="B2618" t="s">
        <v>1</v>
      </c>
      <c r="C2618" t="s">
        <v>77</v>
      </c>
      <c r="D2618">
        <v>0</v>
      </c>
      <c r="E2618">
        <v>865</v>
      </c>
      <c r="I2618">
        <v>0</v>
      </c>
      <c r="J2618">
        <v>865</v>
      </c>
      <c r="M2618" t="s">
        <v>2736</v>
      </c>
    </row>
    <row r="2619" spans="1:13" ht="15" customHeight="1">
      <c r="A2619" s="10">
        <v>46196</v>
      </c>
      <c r="B2619" t="s">
        <v>1</v>
      </c>
      <c r="C2619" t="s">
        <v>79</v>
      </c>
      <c r="D2619">
        <v>1</v>
      </c>
      <c r="E2619">
        <v>774</v>
      </c>
      <c r="I2619">
        <v>1</v>
      </c>
      <c r="J2619">
        <v>584</v>
      </c>
      <c r="M2619" t="s">
        <v>2737</v>
      </c>
    </row>
    <row r="2620" spans="1:13" ht="15" customHeight="1">
      <c r="A2620" s="10">
        <v>46196</v>
      </c>
      <c r="B2620" t="s">
        <v>1</v>
      </c>
      <c r="C2620" t="s">
        <v>81</v>
      </c>
      <c r="D2620">
        <v>0</v>
      </c>
      <c r="E2620">
        <v>230</v>
      </c>
      <c r="I2620">
        <v>0</v>
      </c>
      <c r="J2620">
        <v>192</v>
      </c>
      <c r="M2620" t="s">
        <v>2738</v>
      </c>
    </row>
    <row r="2621" spans="1:13" ht="15" customHeight="1">
      <c r="A2621" s="10">
        <v>46196</v>
      </c>
      <c r="B2621" t="s">
        <v>1</v>
      </c>
      <c r="C2621" t="s">
        <v>83</v>
      </c>
      <c r="D2621">
        <v>1</v>
      </c>
      <c r="E2621">
        <v>160</v>
      </c>
      <c r="I2621">
        <v>1</v>
      </c>
      <c r="J2621">
        <v>104</v>
      </c>
      <c r="M2621" t="s">
        <v>2739</v>
      </c>
    </row>
    <row r="2622" spans="1:13" ht="15" customHeight="1">
      <c r="A2622" s="10">
        <v>46196</v>
      </c>
      <c r="B2622" t="s">
        <v>1</v>
      </c>
      <c r="C2622" t="s">
        <v>84</v>
      </c>
      <c r="D2622">
        <v>1</v>
      </c>
      <c r="E2622">
        <v>145</v>
      </c>
      <c r="I2622">
        <v>1</v>
      </c>
      <c r="J2622">
        <v>107</v>
      </c>
      <c r="M2622" t="s">
        <v>2740</v>
      </c>
    </row>
    <row r="2623" spans="1:13" ht="15" customHeight="1">
      <c r="A2623" s="10">
        <v>46196</v>
      </c>
      <c r="B2623" t="s">
        <v>1</v>
      </c>
      <c r="C2623" t="s">
        <v>85</v>
      </c>
      <c r="D2623">
        <v>0</v>
      </c>
      <c r="E2623">
        <v>150</v>
      </c>
      <c r="I2623">
        <v>0</v>
      </c>
      <c r="J2623">
        <v>150</v>
      </c>
      <c r="M2623" t="s">
        <v>2741</v>
      </c>
    </row>
    <row r="2624" spans="1:13" ht="15" customHeight="1">
      <c r="A2624" s="10">
        <v>46196</v>
      </c>
      <c r="B2624" t="s">
        <v>1</v>
      </c>
      <c r="C2624" t="s">
        <v>87</v>
      </c>
      <c r="D2624">
        <v>2</v>
      </c>
      <c r="E2624">
        <v>24</v>
      </c>
      <c r="I2624">
        <v>2</v>
      </c>
      <c r="J2624">
        <v>6</v>
      </c>
      <c r="M2624" t="s">
        <v>2742</v>
      </c>
    </row>
    <row r="2625" spans="1:13" ht="15" customHeight="1">
      <c r="A2625" s="10">
        <v>46196</v>
      </c>
      <c r="B2625" t="s">
        <v>1</v>
      </c>
      <c r="C2625" t="s">
        <v>88</v>
      </c>
      <c r="D2625">
        <v>1</v>
      </c>
      <c r="E2625">
        <v>235</v>
      </c>
      <c r="I2625">
        <v>1</v>
      </c>
      <c r="J2625">
        <v>229</v>
      </c>
      <c r="M2625" t="s">
        <v>2743</v>
      </c>
    </row>
    <row r="2626" spans="1:13" ht="15" customHeight="1">
      <c r="A2626" s="10">
        <v>46196</v>
      </c>
      <c r="B2626" t="s">
        <v>1</v>
      </c>
      <c r="C2626" t="s">
        <v>89</v>
      </c>
      <c r="D2626">
        <v>1</v>
      </c>
      <c r="E2626">
        <v>142</v>
      </c>
      <c r="I2626">
        <v>1</v>
      </c>
      <c r="J2626">
        <v>123</v>
      </c>
      <c r="M2626" t="s">
        <v>2744</v>
      </c>
    </row>
    <row r="2627" spans="1:13" ht="15" customHeight="1">
      <c r="A2627" s="10">
        <v>46196</v>
      </c>
      <c r="B2627" t="s">
        <v>1</v>
      </c>
      <c r="C2627" t="s">
        <v>90</v>
      </c>
      <c r="D2627">
        <v>1</v>
      </c>
      <c r="E2627">
        <v>830</v>
      </c>
      <c r="I2627">
        <v>1</v>
      </c>
      <c r="J2627">
        <v>726</v>
      </c>
      <c r="M2627" t="s">
        <v>2745</v>
      </c>
    </row>
    <row r="2628" spans="1:13" ht="15" customHeight="1">
      <c r="A2628" s="10">
        <v>46196</v>
      </c>
      <c r="B2628" t="s">
        <v>1</v>
      </c>
      <c r="C2628" t="s">
        <v>92</v>
      </c>
      <c r="D2628">
        <v>1</v>
      </c>
      <c r="E2628">
        <v>761</v>
      </c>
      <c r="I2628">
        <v>1</v>
      </c>
      <c r="J2628">
        <v>703</v>
      </c>
      <c r="M2628" t="s">
        <v>2746</v>
      </c>
    </row>
    <row r="2629" spans="1:13" ht="15" customHeight="1">
      <c r="A2629" s="10">
        <v>46196</v>
      </c>
      <c r="B2629" t="s">
        <v>1</v>
      </c>
      <c r="C2629" t="s">
        <v>94</v>
      </c>
      <c r="D2629">
        <v>4</v>
      </c>
      <c r="E2629">
        <v>54</v>
      </c>
      <c r="I2629">
        <v>1</v>
      </c>
      <c r="J2629">
        <v>245</v>
      </c>
      <c r="K2629">
        <v>123</v>
      </c>
      <c r="M2629" t="s">
        <v>2747</v>
      </c>
    </row>
    <row r="2630" spans="1:13" ht="15" customHeight="1">
      <c r="A2630" s="10">
        <v>46196</v>
      </c>
      <c r="B2630" t="s">
        <v>1</v>
      </c>
      <c r="C2630" t="s">
        <v>96</v>
      </c>
      <c r="D2630">
        <v>0</v>
      </c>
      <c r="E2630">
        <v>0</v>
      </c>
      <c r="I2630">
        <v>0</v>
      </c>
      <c r="J2630">
        <v>0</v>
      </c>
      <c r="M2630" t="s">
        <v>2748</v>
      </c>
    </row>
    <row r="2631" spans="1:13" ht="15" customHeight="1">
      <c r="A2631" s="10">
        <v>46196</v>
      </c>
      <c r="B2631" t="s">
        <v>1</v>
      </c>
      <c r="C2631" t="s">
        <v>98</v>
      </c>
      <c r="D2631">
        <v>5</v>
      </c>
      <c r="E2631">
        <v>0</v>
      </c>
      <c r="I2631">
        <v>2</v>
      </c>
      <c r="J2631">
        <v>90</v>
      </c>
      <c r="K2631">
        <v>163</v>
      </c>
      <c r="M2631" t="s">
        <v>2749</v>
      </c>
    </row>
    <row r="2632" spans="1:13" ht="15" customHeight="1">
      <c r="A2632" s="10">
        <v>46196</v>
      </c>
      <c r="B2632" t="s">
        <v>1</v>
      </c>
      <c r="C2632" t="s">
        <v>203</v>
      </c>
      <c r="D2632">
        <v>0</v>
      </c>
      <c r="E2632">
        <v>164</v>
      </c>
      <c r="I2632">
        <v>0</v>
      </c>
      <c r="J2632">
        <v>0</v>
      </c>
      <c r="M2632" t="s">
        <v>2750</v>
      </c>
    </row>
    <row r="2633" spans="1:13" ht="15" customHeight="1">
      <c r="A2633" s="10">
        <v>46196</v>
      </c>
      <c r="B2633" t="s">
        <v>1</v>
      </c>
      <c r="C2633" t="s">
        <v>100</v>
      </c>
      <c r="D2633">
        <v>0</v>
      </c>
      <c r="E2633">
        <v>0</v>
      </c>
      <c r="I2633">
        <v>0</v>
      </c>
      <c r="J2633">
        <v>0</v>
      </c>
      <c r="M2633" t="s">
        <v>2751</v>
      </c>
    </row>
    <row r="2634" spans="1:13" ht="15" customHeight="1">
      <c r="A2634" s="10">
        <v>46196</v>
      </c>
      <c r="B2634" t="s">
        <v>1</v>
      </c>
      <c r="C2634" t="s">
        <v>101</v>
      </c>
      <c r="D2634">
        <v>0</v>
      </c>
      <c r="E2634">
        <v>0</v>
      </c>
      <c r="I2634">
        <v>0</v>
      </c>
      <c r="J2634">
        <v>0</v>
      </c>
      <c r="M2634" t="s">
        <v>2752</v>
      </c>
    </row>
    <row r="2635" spans="1:13" ht="15" customHeight="1">
      <c r="A2635" s="10">
        <v>46196</v>
      </c>
      <c r="B2635" t="s">
        <v>1</v>
      </c>
      <c r="C2635" t="s">
        <v>103</v>
      </c>
      <c r="D2635">
        <v>0</v>
      </c>
      <c r="E2635">
        <v>13</v>
      </c>
      <c r="I2635">
        <v>0</v>
      </c>
      <c r="J2635">
        <v>11</v>
      </c>
      <c r="M2635" t="s">
        <v>2753</v>
      </c>
    </row>
    <row r="2636" spans="1:13" ht="15" customHeight="1">
      <c r="A2636" s="10">
        <v>46196</v>
      </c>
      <c r="B2636" t="s">
        <v>1</v>
      </c>
      <c r="C2636" t="s">
        <v>106</v>
      </c>
      <c r="D2636">
        <v>1</v>
      </c>
      <c r="E2636">
        <v>451</v>
      </c>
      <c r="I2636">
        <v>1</v>
      </c>
      <c r="J2636">
        <v>361</v>
      </c>
      <c r="M2636" t="s">
        <v>2754</v>
      </c>
    </row>
    <row r="2637" spans="1:13" ht="15" customHeight="1">
      <c r="A2637" s="10">
        <v>46196</v>
      </c>
      <c r="B2637" t="s">
        <v>1</v>
      </c>
      <c r="C2637" t="s">
        <v>108</v>
      </c>
      <c r="D2637">
        <v>1</v>
      </c>
      <c r="E2637">
        <v>439</v>
      </c>
      <c r="I2637">
        <v>1</v>
      </c>
      <c r="J2637">
        <v>439</v>
      </c>
      <c r="M2637" t="s">
        <v>2755</v>
      </c>
    </row>
    <row r="2638" spans="1:13" ht="15" customHeight="1">
      <c r="A2638" s="10">
        <v>46196</v>
      </c>
      <c r="B2638" t="s">
        <v>1</v>
      </c>
      <c r="C2638" t="s">
        <v>109</v>
      </c>
      <c r="D2638">
        <v>1</v>
      </c>
      <c r="E2638">
        <v>759</v>
      </c>
      <c r="I2638">
        <v>1</v>
      </c>
      <c r="J2638">
        <v>576</v>
      </c>
      <c r="M2638" t="s">
        <v>2756</v>
      </c>
    </row>
    <row r="2639" spans="1:13" ht="15" customHeight="1">
      <c r="A2639" s="10">
        <v>46196</v>
      </c>
      <c r="B2639" t="s">
        <v>1</v>
      </c>
      <c r="C2639" t="s">
        <v>112</v>
      </c>
      <c r="D2639">
        <v>1</v>
      </c>
      <c r="E2639">
        <v>38</v>
      </c>
      <c r="I2639">
        <v>1</v>
      </c>
      <c r="J2639">
        <v>37</v>
      </c>
      <c r="M2639" t="s">
        <v>2757</v>
      </c>
    </row>
    <row r="2640" spans="1:13" ht="15" customHeight="1">
      <c r="A2640" s="10">
        <v>46196</v>
      </c>
      <c r="B2640" t="s">
        <v>1</v>
      </c>
      <c r="C2640" t="s">
        <v>114</v>
      </c>
      <c r="D2640">
        <v>2</v>
      </c>
      <c r="E2640">
        <v>14</v>
      </c>
      <c r="I2640">
        <v>2</v>
      </c>
      <c r="J2640">
        <v>8</v>
      </c>
      <c r="M2640" t="s">
        <v>2758</v>
      </c>
    </row>
    <row r="2641" spans="1:13" ht="15" customHeight="1">
      <c r="A2641" s="10">
        <v>46196</v>
      </c>
      <c r="B2641" t="s">
        <v>1</v>
      </c>
      <c r="C2641" t="s">
        <v>115</v>
      </c>
      <c r="D2641">
        <v>0</v>
      </c>
      <c r="E2641">
        <v>45</v>
      </c>
      <c r="I2641">
        <v>0</v>
      </c>
      <c r="J2641">
        <v>40</v>
      </c>
      <c r="M2641" t="s">
        <v>2759</v>
      </c>
    </row>
    <row r="2642" spans="1:13" ht="15" customHeight="1">
      <c r="A2642" s="10">
        <v>46196</v>
      </c>
      <c r="B2642" t="s">
        <v>1</v>
      </c>
      <c r="C2642" t="s">
        <v>116</v>
      </c>
      <c r="D2642">
        <v>1</v>
      </c>
      <c r="E2642">
        <v>40</v>
      </c>
      <c r="I2642">
        <v>1</v>
      </c>
      <c r="J2642">
        <v>27</v>
      </c>
      <c r="M2642" t="s">
        <v>2760</v>
      </c>
    </row>
    <row r="2643" spans="1:13" ht="15" customHeight="1">
      <c r="A2643" s="10">
        <v>46196</v>
      </c>
      <c r="B2643" t="s">
        <v>1</v>
      </c>
      <c r="C2643" t="s">
        <v>119</v>
      </c>
      <c r="D2643">
        <v>2</v>
      </c>
      <c r="E2643">
        <v>0</v>
      </c>
      <c r="I2643">
        <v>1</v>
      </c>
      <c r="M2643" t="s">
        <v>2761</v>
      </c>
    </row>
    <row r="2644" spans="1:13" ht="15" customHeight="1">
      <c r="A2644" s="10">
        <v>46196</v>
      </c>
      <c r="B2644" t="s">
        <v>1</v>
      </c>
      <c r="C2644" t="s">
        <v>120</v>
      </c>
      <c r="D2644">
        <v>2</v>
      </c>
      <c r="E2644">
        <v>0</v>
      </c>
      <c r="I2644">
        <v>2</v>
      </c>
      <c r="M2644" t="s">
        <v>2762</v>
      </c>
    </row>
    <row r="2645" spans="1:13" ht="15" customHeight="1">
      <c r="A2645" s="10">
        <v>46196</v>
      </c>
      <c r="B2645" t="s">
        <v>1</v>
      </c>
      <c r="C2645" t="s">
        <v>121</v>
      </c>
      <c r="D2645">
        <v>3</v>
      </c>
      <c r="E2645">
        <v>0</v>
      </c>
      <c r="I2645">
        <v>3</v>
      </c>
      <c r="M2645" t="s">
        <v>2763</v>
      </c>
    </row>
    <row r="2646" spans="1:13" ht="15" customHeight="1">
      <c r="A2646" s="10">
        <v>46196</v>
      </c>
      <c r="B2646" t="s">
        <v>1</v>
      </c>
      <c r="C2646" t="s">
        <v>123</v>
      </c>
      <c r="D2646">
        <v>1</v>
      </c>
      <c r="E2646">
        <v>0</v>
      </c>
      <c r="I2646">
        <v>1</v>
      </c>
      <c r="M2646" t="s">
        <v>2764</v>
      </c>
    </row>
    <row r="2647" spans="1:13" ht="15" customHeight="1">
      <c r="A2647" s="10">
        <v>46196</v>
      </c>
      <c r="B2647" t="s">
        <v>1</v>
      </c>
      <c r="C2647" t="s">
        <v>124</v>
      </c>
      <c r="D2647">
        <v>2</v>
      </c>
      <c r="E2647">
        <v>0</v>
      </c>
      <c r="I2647">
        <v>1</v>
      </c>
      <c r="M2647" t="s">
        <v>2765</v>
      </c>
    </row>
    <row r="2648" spans="1:13" ht="15" customHeight="1">
      <c r="A2648" s="10">
        <v>46196</v>
      </c>
      <c r="B2648" t="s">
        <v>1</v>
      </c>
      <c r="C2648" t="s">
        <v>125</v>
      </c>
      <c r="D2648">
        <v>2</v>
      </c>
      <c r="E2648">
        <v>0</v>
      </c>
      <c r="I2648">
        <v>1</v>
      </c>
      <c r="M2648" t="s">
        <v>2766</v>
      </c>
    </row>
    <row r="2649" spans="1:13" ht="15" customHeight="1">
      <c r="A2649" s="10">
        <v>46196</v>
      </c>
      <c r="B2649" t="s">
        <v>1</v>
      </c>
      <c r="C2649" t="s">
        <v>126</v>
      </c>
      <c r="D2649">
        <v>2</v>
      </c>
      <c r="E2649">
        <v>0</v>
      </c>
      <c r="I2649">
        <v>2</v>
      </c>
      <c r="M2649" t="s">
        <v>2767</v>
      </c>
    </row>
    <row r="2650" spans="1:13" ht="15" customHeight="1">
      <c r="A2650" s="10">
        <v>46196</v>
      </c>
      <c r="B2650" t="s">
        <v>1</v>
      </c>
      <c r="C2650" t="s">
        <v>128</v>
      </c>
      <c r="D2650">
        <v>3</v>
      </c>
      <c r="E2650">
        <v>0</v>
      </c>
      <c r="I2650">
        <v>3</v>
      </c>
      <c r="M2650" t="s">
        <v>2768</v>
      </c>
    </row>
    <row r="2651" spans="1:13" ht="15" customHeight="1">
      <c r="A2651" s="10">
        <v>46196</v>
      </c>
      <c r="B2651" t="s">
        <v>1</v>
      </c>
      <c r="C2651" t="s">
        <v>130</v>
      </c>
      <c r="D2651">
        <v>4</v>
      </c>
      <c r="E2651">
        <v>0</v>
      </c>
      <c r="I2651">
        <v>4</v>
      </c>
      <c r="M2651" t="s">
        <v>2769</v>
      </c>
    </row>
    <row r="2652" spans="1:13" ht="15" customHeight="1">
      <c r="A2652" s="10">
        <v>46196</v>
      </c>
      <c r="B2652" t="s">
        <v>1</v>
      </c>
      <c r="C2652" t="s">
        <v>285</v>
      </c>
      <c r="D2652">
        <v>2</v>
      </c>
      <c r="E2652">
        <v>0</v>
      </c>
      <c r="I2652">
        <v>2</v>
      </c>
      <c r="M2652" t="s">
        <v>2770</v>
      </c>
    </row>
    <row r="2653" spans="1:13" ht="15" customHeight="1">
      <c r="A2653" s="10">
        <v>46196</v>
      </c>
      <c r="B2653" t="s">
        <v>1</v>
      </c>
      <c r="C2653" t="s">
        <v>287</v>
      </c>
      <c r="D2653">
        <v>2</v>
      </c>
      <c r="E2653">
        <v>0</v>
      </c>
      <c r="I2653">
        <v>2</v>
      </c>
      <c r="M2653" t="s">
        <v>2771</v>
      </c>
    </row>
    <row r="2654" spans="1:13" ht="15" customHeight="1">
      <c r="A2654" s="10">
        <v>46196</v>
      </c>
      <c r="B2654" t="s">
        <v>1</v>
      </c>
      <c r="C2654" t="s">
        <v>289</v>
      </c>
      <c r="D2654">
        <v>2</v>
      </c>
      <c r="E2654">
        <v>0</v>
      </c>
      <c r="I2654">
        <v>2</v>
      </c>
      <c r="M2654" t="s">
        <v>2772</v>
      </c>
    </row>
    <row r="2655" spans="1:13" ht="15" customHeight="1">
      <c r="A2655" s="10">
        <v>46196</v>
      </c>
      <c r="B2655" t="s">
        <v>1</v>
      </c>
      <c r="C2655" t="s">
        <v>291</v>
      </c>
      <c r="D2655">
        <v>2</v>
      </c>
      <c r="E2655">
        <v>0</v>
      </c>
      <c r="I2655">
        <v>2</v>
      </c>
      <c r="M2655" t="s">
        <v>2773</v>
      </c>
    </row>
    <row r="2656" spans="1:13" ht="15" customHeight="1">
      <c r="A2656" s="10">
        <v>46196</v>
      </c>
      <c r="B2656" t="s">
        <v>1</v>
      </c>
      <c r="C2656" t="s">
        <v>293</v>
      </c>
      <c r="D2656">
        <v>4</v>
      </c>
      <c r="E2656">
        <v>0</v>
      </c>
      <c r="I2656">
        <v>4</v>
      </c>
      <c r="M2656" t="s">
        <v>2774</v>
      </c>
    </row>
    <row r="2657" spans="1:13" ht="15" customHeight="1">
      <c r="A2657" s="10">
        <v>46196</v>
      </c>
      <c r="B2657" t="s">
        <v>1</v>
      </c>
      <c r="C2657" s="135" t="s">
        <v>138</v>
      </c>
      <c r="D2657">
        <v>0</v>
      </c>
      <c r="E2657">
        <v>20</v>
      </c>
      <c r="I2657">
        <v>0</v>
      </c>
      <c r="J2657">
        <v>11</v>
      </c>
      <c r="M2657" t="s">
        <v>2775</v>
      </c>
    </row>
    <row r="2658" spans="1:13" ht="15" customHeight="1">
      <c r="A2658" s="10">
        <v>46196</v>
      </c>
      <c r="B2658" t="s">
        <v>1</v>
      </c>
      <c r="C2658" s="135" t="s">
        <v>139</v>
      </c>
      <c r="D2658">
        <v>0</v>
      </c>
      <c r="E2658">
        <v>43</v>
      </c>
      <c r="I2658">
        <v>0</v>
      </c>
      <c r="J2658">
        <v>38</v>
      </c>
      <c r="M2658" t="s">
        <v>2776</v>
      </c>
    </row>
    <row r="2659" spans="1:13" ht="15" customHeight="1">
      <c r="A2659" s="10">
        <v>46196</v>
      </c>
      <c r="B2659" t="s">
        <v>1</v>
      </c>
      <c r="C2659" s="135" t="s">
        <v>140</v>
      </c>
      <c r="D2659">
        <v>0</v>
      </c>
      <c r="E2659">
        <v>23</v>
      </c>
      <c r="I2659">
        <v>0</v>
      </c>
      <c r="J2659">
        <v>21</v>
      </c>
      <c r="M2659" t="s">
        <v>2777</v>
      </c>
    </row>
    <row r="2660" spans="1:13" ht="15" customHeight="1">
      <c r="A2660" s="10">
        <v>46196</v>
      </c>
      <c r="B2660" t="s">
        <v>1</v>
      </c>
      <c r="C2660" s="135" t="s">
        <v>141</v>
      </c>
      <c r="D2660">
        <v>0</v>
      </c>
      <c r="E2660">
        <v>0</v>
      </c>
      <c r="I2660">
        <v>0</v>
      </c>
      <c r="J2660">
        <v>0</v>
      </c>
      <c r="M2660" t="s">
        <v>2778</v>
      </c>
    </row>
    <row r="2661" spans="1:13" ht="15" customHeight="1">
      <c r="A2661" s="10">
        <v>46196</v>
      </c>
      <c r="B2661" t="s">
        <v>1</v>
      </c>
      <c r="C2661" s="135" t="s">
        <v>143</v>
      </c>
      <c r="D2661">
        <v>0</v>
      </c>
      <c r="E2661">
        <v>60</v>
      </c>
      <c r="I2661">
        <v>0</v>
      </c>
      <c r="J2661">
        <v>58</v>
      </c>
      <c r="M2661" t="s">
        <v>2779</v>
      </c>
    </row>
    <row r="2662" spans="1:13" ht="15" customHeight="1">
      <c r="A2662" s="10">
        <v>46196</v>
      </c>
      <c r="B2662" t="s">
        <v>1</v>
      </c>
      <c r="C2662" s="135" t="s">
        <v>145</v>
      </c>
      <c r="D2662">
        <v>0</v>
      </c>
      <c r="E2662">
        <v>45</v>
      </c>
      <c r="I2662">
        <v>0</v>
      </c>
      <c r="J2662">
        <v>45</v>
      </c>
      <c r="M2662" t="s">
        <v>2780</v>
      </c>
    </row>
    <row r="2663" spans="1:13" ht="15" customHeight="1">
      <c r="A2663" s="10">
        <v>46196</v>
      </c>
      <c r="B2663" t="s">
        <v>1</v>
      </c>
      <c r="C2663" s="135" t="s">
        <v>147</v>
      </c>
      <c r="D2663">
        <v>0</v>
      </c>
      <c r="E2663">
        <v>29</v>
      </c>
      <c r="I2663">
        <v>0</v>
      </c>
      <c r="J2663">
        <v>28</v>
      </c>
      <c r="M2663" t="s">
        <v>2781</v>
      </c>
    </row>
    <row r="2664" spans="1:13" ht="15" customHeight="1">
      <c r="A2664" s="10">
        <v>46196</v>
      </c>
      <c r="B2664" t="s">
        <v>1</v>
      </c>
      <c r="C2664" t="s">
        <v>302</v>
      </c>
      <c r="D2664">
        <v>2</v>
      </c>
      <c r="E2664">
        <v>0</v>
      </c>
      <c r="I2664">
        <v>2</v>
      </c>
      <c r="M2664" t="s">
        <v>2782</v>
      </c>
    </row>
    <row r="2665" spans="1:13" ht="15" customHeight="1">
      <c r="A2665" s="10">
        <v>46196</v>
      </c>
      <c r="B2665" t="s">
        <v>1</v>
      </c>
      <c r="C2665" t="s">
        <v>150</v>
      </c>
      <c r="D2665">
        <v>1</v>
      </c>
      <c r="E2665">
        <v>0</v>
      </c>
      <c r="I2665">
        <v>1</v>
      </c>
      <c r="M2665" t="s">
        <v>2783</v>
      </c>
    </row>
    <row r="2666" spans="1:13" ht="15" customHeight="1">
      <c r="A2666" s="10">
        <v>46196</v>
      </c>
      <c r="B2666" t="s">
        <v>1</v>
      </c>
      <c r="C2666" t="s">
        <v>151</v>
      </c>
      <c r="D2666">
        <v>2</v>
      </c>
      <c r="E2666">
        <v>0</v>
      </c>
      <c r="I2666">
        <v>1</v>
      </c>
      <c r="M2666" t="s">
        <v>2784</v>
      </c>
    </row>
    <row r="2667" spans="1:13" ht="15" customHeight="1">
      <c r="A2667" s="10">
        <v>46196</v>
      </c>
      <c r="B2667" t="s">
        <v>1</v>
      </c>
      <c r="C2667" t="s">
        <v>152</v>
      </c>
      <c r="D2667">
        <v>2</v>
      </c>
      <c r="E2667">
        <v>0</v>
      </c>
      <c r="I2667">
        <v>2</v>
      </c>
      <c r="M2667" t="s">
        <v>2785</v>
      </c>
    </row>
    <row r="2668" spans="1:13" ht="15" customHeight="1">
      <c r="A2668" s="10">
        <v>46196</v>
      </c>
      <c r="B2668" t="s">
        <v>1</v>
      </c>
      <c r="C2668" t="s">
        <v>153</v>
      </c>
      <c r="D2668">
        <v>2</v>
      </c>
      <c r="E2668">
        <v>0</v>
      </c>
      <c r="I2668">
        <v>2</v>
      </c>
      <c r="M2668" t="s">
        <v>2786</v>
      </c>
    </row>
    <row r="2669" spans="1:13" ht="15" customHeight="1">
      <c r="A2669" s="10">
        <v>46196</v>
      </c>
      <c r="B2669" t="s">
        <v>1</v>
      </c>
      <c r="C2669" t="s">
        <v>308</v>
      </c>
      <c r="D2669">
        <v>0</v>
      </c>
      <c r="E2669">
        <v>3</v>
      </c>
      <c r="I2669">
        <v>0</v>
      </c>
      <c r="J2669">
        <v>3</v>
      </c>
      <c r="M2669" t="s">
        <v>2787</v>
      </c>
    </row>
    <row r="2670" spans="1:13" ht="15" customHeight="1">
      <c r="A2670" s="10">
        <v>46196</v>
      </c>
      <c r="B2670" t="s">
        <v>1</v>
      </c>
      <c r="C2670" t="s">
        <v>310</v>
      </c>
      <c r="D2670">
        <v>0</v>
      </c>
      <c r="E2670">
        <v>2</v>
      </c>
      <c r="I2670">
        <v>0</v>
      </c>
      <c r="J2670">
        <v>2</v>
      </c>
      <c r="M2670" t="s">
        <v>2788</v>
      </c>
    </row>
    <row r="2671" spans="1:13" ht="15" customHeight="1">
      <c r="A2671" s="10">
        <v>46196</v>
      </c>
      <c r="B2671" t="s">
        <v>1</v>
      </c>
      <c r="C2671" t="s">
        <v>312</v>
      </c>
      <c r="D2671">
        <v>0</v>
      </c>
      <c r="E2671">
        <v>3</v>
      </c>
      <c r="I2671">
        <v>0</v>
      </c>
      <c r="J2671">
        <v>3</v>
      </c>
      <c r="M2671" t="s">
        <v>2789</v>
      </c>
    </row>
    <row r="2672" spans="1:13" ht="15" customHeight="1">
      <c r="A2672" s="10">
        <v>46196</v>
      </c>
      <c r="B2672" t="s">
        <v>1</v>
      </c>
      <c r="C2672" t="s">
        <v>314</v>
      </c>
      <c r="D2672">
        <v>1</v>
      </c>
      <c r="E2672">
        <v>0</v>
      </c>
      <c r="I2672">
        <v>1</v>
      </c>
      <c r="M2672" t="s">
        <v>2790</v>
      </c>
    </row>
    <row r="2673" spans="1:13" ht="15" customHeight="1">
      <c r="A2673" s="10">
        <v>46196</v>
      </c>
      <c r="B2673" t="s">
        <v>1</v>
      </c>
      <c r="C2673" t="s">
        <v>316</v>
      </c>
      <c r="D2673">
        <v>1</v>
      </c>
      <c r="E2673">
        <v>0</v>
      </c>
      <c r="I2673">
        <v>1</v>
      </c>
      <c r="M2673" t="s">
        <v>2791</v>
      </c>
    </row>
    <row r="2674" spans="1:13" ht="15" customHeight="1">
      <c r="A2674" s="10">
        <v>46196</v>
      </c>
      <c r="B2674" t="s">
        <v>1</v>
      </c>
      <c r="C2674" t="s">
        <v>318</v>
      </c>
      <c r="D2674">
        <v>1</v>
      </c>
      <c r="E2674">
        <v>0</v>
      </c>
      <c r="I2674">
        <v>1</v>
      </c>
      <c r="M2674" t="s">
        <v>2792</v>
      </c>
    </row>
    <row r="2675" spans="1:13" ht="15" customHeight="1">
      <c r="A2675" s="10">
        <v>46196</v>
      </c>
      <c r="B2675" t="s">
        <v>1</v>
      </c>
      <c r="C2675" t="s">
        <v>320</v>
      </c>
      <c r="D2675">
        <v>1</v>
      </c>
      <c r="E2675">
        <v>0</v>
      </c>
      <c r="I2675">
        <v>1</v>
      </c>
      <c r="M2675" t="s">
        <v>2793</v>
      </c>
    </row>
    <row r="2676" spans="1:13" ht="15" customHeight="1">
      <c r="A2676" s="10">
        <v>46196</v>
      </c>
      <c r="B2676" t="s">
        <v>1</v>
      </c>
      <c r="C2676" t="s">
        <v>322</v>
      </c>
      <c r="D2676">
        <v>0</v>
      </c>
      <c r="E2676">
        <v>0</v>
      </c>
      <c r="I2676">
        <v>0</v>
      </c>
      <c r="M2676" t="s">
        <v>2794</v>
      </c>
    </row>
    <row r="2677" spans="1:13" ht="15" customHeight="1">
      <c r="A2677" s="10">
        <v>46196</v>
      </c>
      <c r="B2677" t="s">
        <v>1</v>
      </c>
      <c r="C2677" s="135" t="s">
        <v>168</v>
      </c>
      <c r="D2677">
        <v>1</v>
      </c>
      <c r="E2677">
        <v>0</v>
      </c>
      <c r="I2677">
        <v>1</v>
      </c>
      <c r="M2677" t="s">
        <v>2795</v>
      </c>
    </row>
    <row r="2678" spans="1:13" ht="15" customHeight="1">
      <c r="A2678" s="10">
        <v>46196</v>
      </c>
      <c r="B2678" t="s">
        <v>1</v>
      </c>
      <c r="C2678" s="135" t="s">
        <v>170</v>
      </c>
      <c r="D2678">
        <v>1</v>
      </c>
      <c r="E2678">
        <v>0</v>
      </c>
      <c r="I2678">
        <v>1</v>
      </c>
      <c r="M2678" t="s">
        <v>2796</v>
      </c>
    </row>
    <row r="2679" spans="1:13" ht="15" customHeight="1">
      <c r="A2679" s="10">
        <v>46196</v>
      </c>
      <c r="B2679" t="s">
        <v>1</v>
      </c>
      <c r="C2679" s="135" t="s">
        <v>171</v>
      </c>
      <c r="D2679">
        <v>2</v>
      </c>
      <c r="E2679">
        <v>0</v>
      </c>
      <c r="I2679">
        <v>2</v>
      </c>
      <c r="M2679" t="s">
        <v>2797</v>
      </c>
    </row>
    <row r="2680" spans="1:13" ht="15" customHeight="1">
      <c r="A2680" s="10">
        <v>46196</v>
      </c>
      <c r="B2680" t="s">
        <v>1</v>
      </c>
      <c r="C2680" s="135" t="s">
        <v>172</v>
      </c>
      <c r="D2680">
        <v>1</v>
      </c>
      <c r="E2680">
        <v>0</v>
      </c>
      <c r="I2680">
        <v>1</v>
      </c>
      <c r="M2680" t="s">
        <v>2798</v>
      </c>
    </row>
    <row r="2681" spans="1:13" ht="15" customHeight="1">
      <c r="A2681" s="10">
        <v>46196</v>
      </c>
      <c r="B2681" t="s">
        <v>1</v>
      </c>
      <c r="C2681" s="135" t="s">
        <v>173</v>
      </c>
      <c r="D2681">
        <v>0</v>
      </c>
      <c r="E2681">
        <v>0</v>
      </c>
      <c r="I2681">
        <v>0</v>
      </c>
      <c r="M2681" t="s">
        <v>2799</v>
      </c>
    </row>
    <row r="2682" spans="1:13" ht="15" customHeight="1">
      <c r="A2682" s="10">
        <v>46196</v>
      </c>
      <c r="B2682" t="s">
        <v>1</v>
      </c>
      <c r="C2682" t="s">
        <v>176</v>
      </c>
      <c r="D2682">
        <v>0</v>
      </c>
      <c r="E2682">
        <v>15</v>
      </c>
      <c r="I2682">
        <v>0</v>
      </c>
      <c r="J2682">
        <v>15</v>
      </c>
      <c r="M2682" t="s">
        <v>2800</v>
      </c>
    </row>
    <row r="2683" spans="1:13" ht="15" customHeight="1">
      <c r="A2683" s="10">
        <v>46196</v>
      </c>
      <c r="B2683" t="s">
        <v>1</v>
      </c>
      <c r="C2683" t="s">
        <v>178</v>
      </c>
      <c r="D2683">
        <v>0</v>
      </c>
      <c r="E2683">
        <v>18</v>
      </c>
      <c r="H2683">
        <v>3</v>
      </c>
      <c r="I2683">
        <v>0</v>
      </c>
      <c r="J2683">
        <v>15</v>
      </c>
      <c r="M2683" t="s">
        <v>2801</v>
      </c>
    </row>
    <row r="2684" spans="1:13" ht="15" customHeight="1">
      <c r="A2684" s="10">
        <v>46196</v>
      </c>
      <c r="B2684" t="s">
        <v>1</v>
      </c>
      <c r="C2684" t="s">
        <v>179</v>
      </c>
      <c r="D2684">
        <v>0</v>
      </c>
      <c r="E2684">
        <v>11</v>
      </c>
      <c r="I2684">
        <v>0</v>
      </c>
      <c r="J2684">
        <v>11</v>
      </c>
      <c r="M2684" t="s">
        <v>2802</v>
      </c>
    </row>
    <row r="2685" spans="1:13" ht="15" customHeight="1">
      <c r="A2685" s="10">
        <v>46196</v>
      </c>
      <c r="B2685" t="s">
        <v>1</v>
      </c>
      <c r="C2685" t="s">
        <v>180</v>
      </c>
      <c r="D2685">
        <v>0</v>
      </c>
      <c r="E2685">
        <v>15</v>
      </c>
      <c r="I2685">
        <v>0</v>
      </c>
      <c r="J2685">
        <v>15</v>
      </c>
      <c r="M2685" t="s">
        <v>2803</v>
      </c>
    </row>
    <row r="2686" spans="1:13" ht="15" customHeight="1">
      <c r="A2686" s="10">
        <v>46196</v>
      </c>
      <c r="B2686" t="s">
        <v>1</v>
      </c>
      <c r="C2686" s="135" t="s">
        <v>182</v>
      </c>
      <c r="D2686">
        <v>1</v>
      </c>
      <c r="E2686">
        <v>231</v>
      </c>
      <c r="I2686">
        <v>1</v>
      </c>
      <c r="J2686">
        <v>231</v>
      </c>
      <c r="M2686" t="s">
        <v>2804</v>
      </c>
    </row>
    <row r="2687" spans="1:13" ht="15" customHeight="1">
      <c r="A2687" s="10">
        <v>46196</v>
      </c>
      <c r="B2687" t="s">
        <v>1</v>
      </c>
      <c r="C2687" s="135" t="s">
        <v>184</v>
      </c>
      <c r="D2687">
        <v>0</v>
      </c>
      <c r="E2687">
        <v>83</v>
      </c>
      <c r="I2687">
        <v>0</v>
      </c>
      <c r="J2687">
        <v>83</v>
      </c>
      <c r="M2687" t="s">
        <v>2805</v>
      </c>
    </row>
    <row r="2688" spans="1:13" ht="15" customHeight="1">
      <c r="A2688" s="10">
        <v>46196</v>
      </c>
      <c r="B2688" t="s">
        <v>1</v>
      </c>
      <c r="C2688" s="135" t="s">
        <v>185</v>
      </c>
      <c r="D2688">
        <v>1</v>
      </c>
      <c r="E2688">
        <v>50</v>
      </c>
      <c r="I2688">
        <v>1</v>
      </c>
      <c r="J2688">
        <v>50</v>
      </c>
      <c r="M2688" t="s">
        <v>2806</v>
      </c>
    </row>
    <row r="2689" spans="1:13" ht="15" customHeight="1">
      <c r="A2689" s="10">
        <v>46196</v>
      </c>
      <c r="B2689" t="s">
        <v>1</v>
      </c>
      <c r="C2689" s="135" t="s">
        <v>186</v>
      </c>
      <c r="D2689">
        <v>1</v>
      </c>
      <c r="E2689">
        <v>71</v>
      </c>
      <c r="I2689">
        <v>1</v>
      </c>
      <c r="J2689">
        <v>71</v>
      </c>
      <c r="M2689" t="s">
        <v>2807</v>
      </c>
    </row>
    <row r="2690" spans="1:13" ht="15" customHeight="1">
      <c r="A2690" s="10">
        <v>46196</v>
      </c>
      <c r="B2690" t="s">
        <v>1</v>
      </c>
      <c r="C2690" t="s">
        <v>337</v>
      </c>
      <c r="D2690">
        <v>1</v>
      </c>
      <c r="E2690">
        <v>361</v>
      </c>
      <c r="I2690">
        <v>1</v>
      </c>
      <c r="J2690">
        <v>288</v>
      </c>
      <c r="M2690" t="s">
        <v>2808</v>
      </c>
    </row>
    <row r="2691" spans="1:13" ht="15" customHeight="1">
      <c r="A2691" s="10">
        <v>46196</v>
      </c>
      <c r="B2691" t="s">
        <v>1</v>
      </c>
      <c r="C2691" t="s">
        <v>339</v>
      </c>
      <c r="D2691">
        <v>0</v>
      </c>
      <c r="E2691">
        <v>0</v>
      </c>
      <c r="I2691">
        <v>0</v>
      </c>
      <c r="J2691">
        <v>0</v>
      </c>
      <c r="M2691" t="s">
        <v>2809</v>
      </c>
    </row>
    <row r="2692" spans="1:13" ht="15" customHeight="1">
      <c r="A2692" s="10">
        <v>46196</v>
      </c>
      <c r="B2692" t="s">
        <v>1</v>
      </c>
      <c r="C2692" s="135" t="s">
        <v>191</v>
      </c>
      <c r="D2692">
        <v>1</v>
      </c>
      <c r="E2692">
        <v>195</v>
      </c>
      <c r="I2692">
        <v>1</v>
      </c>
      <c r="J2692">
        <v>195</v>
      </c>
      <c r="M2692" t="s">
        <v>2810</v>
      </c>
    </row>
    <row r="2693" spans="1:13" ht="15" customHeight="1">
      <c r="A2693" s="10">
        <v>46196</v>
      </c>
      <c r="B2693" t="s">
        <v>1</v>
      </c>
      <c r="C2693" s="135" t="s">
        <v>193</v>
      </c>
      <c r="D2693">
        <v>1</v>
      </c>
      <c r="E2693">
        <v>204</v>
      </c>
      <c r="I2693">
        <v>1</v>
      </c>
      <c r="J2693">
        <v>367</v>
      </c>
      <c r="M2693" t="s">
        <v>2811</v>
      </c>
    </row>
    <row r="2694" spans="1:13" ht="15" customHeight="1">
      <c r="A2694" s="10">
        <v>46196</v>
      </c>
      <c r="B2694" t="s">
        <v>1</v>
      </c>
      <c r="C2694" s="135" t="s">
        <v>194</v>
      </c>
      <c r="D2694">
        <v>1</v>
      </c>
      <c r="E2694">
        <v>14</v>
      </c>
      <c r="I2694">
        <v>1</v>
      </c>
      <c r="J2694">
        <v>14</v>
      </c>
      <c r="M2694" t="s">
        <v>2812</v>
      </c>
    </row>
    <row r="2695" spans="1:13" ht="15" customHeight="1">
      <c r="A2695" s="10">
        <v>46196</v>
      </c>
      <c r="B2695" t="s">
        <v>1</v>
      </c>
      <c r="C2695" s="135" t="s">
        <v>196</v>
      </c>
      <c r="D2695">
        <v>0</v>
      </c>
      <c r="E2695">
        <v>434</v>
      </c>
      <c r="I2695">
        <v>0</v>
      </c>
      <c r="J2695">
        <v>434</v>
      </c>
      <c r="M2695" t="s">
        <v>2813</v>
      </c>
    </row>
    <row r="2696" spans="1:13" ht="15" customHeight="1">
      <c r="A2696" s="10">
        <v>46197</v>
      </c>
      <c r="B2696" t="s">
        <v>1</v>
      </c>
      <c r="C2696" t="s">
        <v>23</v>
      </c>
      <c r="D2696">
        <v>2</v>
      </c>
      <c r="E2696">
        <v>514</v>
      </c>
      <c r="I2696">
        <v>0</v>
      </c>
      <c r="J2696">
        <v>1759</v>
      </c>
      <c r="M2696" t="s">
        <v>2814</v>
      </c>
    </row>
    <row r="2697" spans="1:13" ht="15" customHeight="1">
      <c r="A2697" s="10">
        <v>46197</v>
      </c>
      <c r="B2697" t="s">
        <v>1</v>
      </c>
      <c r="C2697" t="s">
        <v>26</v>
      </c>
      <c r="D2697">
        <v>1</v>
      </c>
      <c r="E2697">
        <v>600</v>
      </c>
      <c r="I2697">
        <v>1</v>
      </c>
      <c r="J2697">
        <v>316</v>
      </c>
      <c r="M2697" t="s">
        <v>2815</v>
      </c>
    </row>
    <row r="2698" spans="1:13" ht="15" customHeight="1">
      <c r="A2698" s="10">
        <v>46197</v>
      </c>
      <c r="B2698" t="s">
        <v>1</v>
      </c>
      <c r="C2698" t="s">
        <v>27</v>
      </c>
      <c r="D2698">
        <v>1</v>
      </c>
      <c r="E2698">
        <v>761</v>
      </c>
      <c r="I2698">
        <v>1</v>
      </c>
      <c r="J2698">
        <v>760</v>
      </c>
      <c r="M2698" t="s">
        <v>2816</v>
      </c>
    </row>
    <row r="2699" spans="1:13" ht="15" customHeight="1">
      <c r="A2699" s="10">
        <v>46197</v>
      </c>
      <c r="B2699" t="s">
        <v>1</v>
      </c>
      <c r="C2699" t="s">
        <v>28</v>
      </c>
      <c r="D2699">
        <v>0</v>
      </c>
      <c r="E2699">
        <v>0</v>
      </c>
      <c r="I2699">
        <v>0</v>
      </c>
      <c r="J2699">
        <v>0</v>
      </c>
      <c r="M2699" t="s">
        <v>2817</v>
      </c>
    </row>
    <row r="2700" spans="1:13" ht="15" customHeight="1">
      <c r="A2700" s="10">
        <v>46197</v>
      </c>
      <c r="B2700" t="s">
        <v>1</v>
      </c>
      <c r="C2700" t="s">
        <v>29</v>
      </c>
      <c r="D2700">
        <v>1</v>
      </c>
      <c r="E2700">
        <v>413</v>
      </c>
      <c r="I2700">
        <v>1</v>
      </c>
      <c r="J2700">
        <v>351</v>
      </c>
      <c r="M2700" t="s">
        <v>2818</v>
      </c>
    </row>
    <row r="2701" spans="1:13" ht="15" customHeight="1">
      <c r="A2701" s="10">
        <v>46197</v>
      </c>
      <c r="B2701" t="s">
        <v>1</v>
      </c>
      <c r="C2701" t="s">
        <v>30</v>
      </c>
      <c r="D2701">
        <v>2</v>
      </c>
      <c r="E2701">
        <v>137</v>
      </c>
      <c r="I2701">
        <v>2</v>
      </c>
      <c r="J2701">
        <v>143</v>
      </c>
      <c r="M2701" t="s">
        <v>2819</v>
      </c>
    </row>
    <row r="2702" spans="1:13" ht="15" customHeight="1">
      <c r="A2702" s="10">
        <v>46197</v>
      </c>
      <c r="B2702" t="s">
        <v>1</v>
      </c>
      <c r="C2702" t="s">
        <v>31</v>
      </c>
      <c r="D2702">
        <v>3</v>
      </c>
      <c r="E2702">
        <v>340</v>
      </c>
      <c r="I2702">
        <v>2</v>
      </c>
      <c r="J2702">
        <v>943</v>
      </c>
      <c r="M2702" t="s">
        <v>2820</v>
      </c>
    </row>
    <row r="2703" spans="1:13" ht="15" customHeight="1">
      <c r="A2703" s="10">
        <v>46197</v>
      </c>
      <c r="B2703" t="s">
        <v>1</v>
      </c>
      <c r="C2703" t="s">
        <v>32</v>
      </c>
      <c r="D2703">
        <v>1</v>
      </c>
      <c r="E2703">
        <v>683</v>
      </c>
      <c r="I2703">
        <v>1</v>
      </c>
      <c r="J2703">
        <v>325</v>
      </c>
      <c r="M2703" t="s">
        <v>2821</v>
      </c>
    </row>
    <row r="2704" spans="1:13" ht="15" customHeight="1">
      <c r="A2704" s="10">
        <v>46197</v>
      </c>
      <c r="B2704" t="s">
        <v>1</v>
      </c>
      <c r="C2704" t="s">
        <v>223</v>
      </c>
      <c r="D2704">
        <v>5</v>
      </c>
      <c r="E2704">
        <v>389</v>
      </c>
      <c r="I2704">
        <v>4</v>
      </c>
      <c r="J2704">
        <v>721</v>
      </c>
      <c r="M2704" t="s">
        <v>2822</v>
      </c>
    </row>
    <row r="2705" spans="1:13" ht="15" customHeight="1">
      <c r="A2705" s="10">
        <v>46197</v>
      </c>
      <c r="B2705" t="s">
        <v>1</v>
      </c>
      <c r="C2705" t="s">
        <v>35</v>
      </c>
      <c r="D2705">
        <v>8</v>
      </c>
      <c r="E2705">
        <v>0</v>
      </c>
      <c r="H2705">
        <v>1</v>
      </c>
      <c r="I2705">
        <v>7</v>
      </c>
      <c r="M2705" t="s">
        <v>2823</v>
      </c>
    </row>
    <row r="2706" spans="1:13" ht="15" customHeight="1">
      <c r="A2706" s="10">
        <v>46197</v>
      </c>
      <c r="B2706" t="s">
        <v>1</v>
      </c>
      <c r="C2706" t="s">
        <v>37</v>
      </c>
      <c r="D2706">
        <v>3</v>
      </c>
      <c r="E2706">
        <v>0</v>
      </c>
      <c r="I2706">
        <v>3</v>
      </c>
      <c r="M2706" t="s">
        <v>2824</v>
      </c>
    </row>
    <row r="2707" spans="1:13" ht="15" customHeight="1">
      <c r="A2707" s="10">
        <v>46197</v>
      </c>
      <c r="B2707" t="s">
        <v>1</v>
      </c>
      <c r="C2707" t="s">
        <v>39</v>
      </c>
      <c r="D2707">
        <v>13</v>
      </c>
      <c r="E2707">
        <v>0</v>
      </c>
      <c r="H2707">
        <v>1</v>
      </c>
      <c r="I2707">
        <v>12</v>
      </c>
      <c r="J2707">
        <v>0</v>
      </c>
      <c r="M2707" t="s">
        <v>2825</v>
      </c>
    </row>
    <row r="2708" spans="1:13" ht="15" customHeight="1">
      <c r="A2708" s="10">
        <v>46197</v>
      </c>
      <c r="B2708" t="s">
        <v>1</v>
      </c>
      <c r="C2708" t="s">
        <v>41</v>
      </c>
      <c r="D2708">
        <v>17</v>
      </c>
      <c r="E2708">
        <v>0</v>
      </c>
      <c r="H2708">
        <v>1</v>
      </c>
      <c r="I2708">
        <v>16</v>
      </c>
      <c r="J2708">
        <v>0</v>
      </c>
      <c r="M2708" t="s">
        <v>2826</v>
      </c>
    </row>
    <row r="2709" spans="1:13" ht="15" customHeight="1">
      <c r="A2709" s="10">
        <v>46197</v>
      </c>
      <c r="B2709" t="s">
        <v>1</v>
      </c>
      <c r="C2709" t="s">
        <v>232</v>
      </c>
      <c r="D2709">
        <v>0</v>
      </c>
      <c r="E2709">
        <v>0</v>
      </c>
      <c r="I2709">
        <v>0</v>
      </c>
      <c r="J2709">
        <v>0</v>
      </c>
      <c r="M2709" t="s">
        <v>2827</v>
      </c>
    </row>
    <row r="2710" spans="1:13" ht="15" customHeight="1">
      <c r="A2710" s="10">
        <v>46197</v>
      </c>
      <c r="B2710" t="s">
        <v>1</v>
      </c>
      <c r="C2710" t="s">
        <v>234</v>
      </c>
      <c r="D2710">
        <v>69</v>
      </c>
      <c r="E2710">
        <v>0</v>
      </c>
      <c r="H2710">
        <v>6</v>
      </c>
      <c r="I2710">
        <v>63</v>
      </c>
      <c r="J2710">
        <v>0</v>
      </c>
      <c r="M2710" t="s">
        <v>2828</v>
      </c>
    </row>
    <row r="2711" spans="1:13" ht="15" customHeight="1">
      <c r="A2711" s="10">
        <v>46197</v>
      </c>
      <c r="B2711" t="s">
        <v>1</v>
      </c>
      <c r="C2711" t="s">
        <v>54</v>
      </c>
      <c r="D2711">
        <v>0</v>
      </c>
      <c r="E2711">
        <v>0</v>
      </c>
      <c r="I2711">
        <v>0</v>
      </c>
      <c r="J2711">
        <v>0</v>
      </c>
      <c r="M2711" t="s">
        <v>2829</v>
      </c>
    </row>
    <row r="2712" spans="1:13" ht="15" customHeight="1">
      <c r="A2712" s="10">
        <v>46197</v>
      </c>
      <c r="B2712" t="s">
        <v>1</v>
      </c>
      <c r="C2712" t="s">
        <v>237</v>
      </c>
      <c r="D2712">
        <v>9</v>
      </c>
      <c r="E2712">
        <v>0</v>
      </c>
      <c r="I2712">
        <v>9</v>
      </c>
      <c r="J2712">
        <v>0</v>
      </c>
      <c r="M2712" t="s">
        <v>2830</v>
      </c>
    </row>
    <row r="2713" spans="1:13" ht="15" customHeight="1">
      <c r="A2713" s="10">
        <v>46197</v>
      </c>
      <c r="B2713" t="s">
        <v>1</v>
      </c>
      <c r="C2713" s="135" t="s">
        <v>58</v>
      </c>
      <c r="D2713">
        <v>6</v>
      </c>
      <c r="E2713">
        <v>0</v>
      </c>
      <c r="I2713">
        <v>6</v>
      </c>
      <c r="J2713">
        <v>0</v>
      </c>
      <c r="M2713" t="s">
        <v>2831</v>
      </c>
    </row>
    <row r="2714" spans="1:13" ht="15" customHeight="1">
      <c r="A2714" s="10">
        <v>46197</v>
      </c>
      <c r="B2714" t="s">
        <v>1</v>
      </c>
      <c r="C2714" s="135" t="s">
        <v>60</v>
      </c>
      <c r="D2714">
        <v>9</v>
      </c>
      <c r="E2714">
        <v>0</v>
      </c>
      <c r="I2714">
        <v>9</v>
      </c>
      <c r="J2714">
        <v>0</v>
      </c>
      <c r="M2714" t="s">
        <v>2832</v>
      </c>
    </row>
    <row r="2715" spans="1:13" ht="15" customHeight="1">
      <c r="A2715" s="10">
        <v>46197</v>
      </c>
      <c r="B2715" t="s">
        <v>1</v>
      </c>
      <c r="C2715" s="135" t="s">
        <v>61</v>
      </c>
      <c r="D2715">
        <v>12</v>
      </c>
      <c r="E2715">
        <v>0</v>
      </c>
      <c r="H2715">
        <v>1</v>
      </c>
      <c r="I2715">
        <v>11</v>
      </c>
      <c r="J2715">
        <v>0</v>
      </c>
      <c r="M2715" t="s">
        <v>2833</v>
      </c>
    </row>
    <row r="2716" spans="1:13" ht="15" customHeight="1">
      <c r="A2716" s="10">
        <v>46197</v>
      </c>
      <c r="B2716" t="s">
        <v>1</v>
      </c>
      <c r="C2716" s="135" t="s">
        <v>62</v>
      </c>
      <c r="D2716">
        <v>8</v>
      </c>
      <c r="E2716">
        <v>0</v>
      </c>
      <c r="I2716">
        <v>8</v>
      </c>
      <c r="J2716">
        <v>0</v>
      </c>
      <c r="M2716" t="s">
        <v>2834</v>
      </c>
    </row>
    <row r="2717" spans="1:13" ht="15" customHeight="1">
      <c r="A2717" s="10">
        <v>46197</v>
      </c>
      <c r="B2717" t="s">
        <v>1</v>
      </c>
      <c r="C2717" s="135" t="s">
        <v>63</v>
      </c>
      <c r="D2717">
        <v>6</v>
      </c>
      <c r="E2717">
        <v>0</v>
      </c>
      <c r="I2717">
        <v>6</v>
      </c>
      <c r="J2717">
        <v>0</v>
      </c>
      <c r="M2717" t="s">
        <v>2835</v>
      </c>
    </row>
    <row r="2718" spans="1:13" ht="15" customHeight="1">
      <c r="A2718" s="10">
        <v>46197</v>
      </c>
      <c r="B2718" t="s">
        <v>1</v>
      </c>
      <c r="C2718" s="135" t="s">
        <v>64</v>
      </c>
      <c r="D2718">
        <v>4</v>
      </c>
      <c r="E2718">
        <v>0</v>
      </c>
      <c r="I2718">
        <v>4</v>
      </c>
      <c r="J2718">
        <v>0</v>
      </c>
      <c r="M2718" t="s">
        <v>2836</v>
      </c>
    </row>
    <row r="2719" spans="1:13" ht="15" customHeight="1">
      <c r="A2719" s="10">
        <v>46197</v>
      </c>
      <c r="B2719" t="s">
        <v>1</v>
      </c>
      <c r="C2719" t="s">
        <v>66</v>
      </c>
      <c r="D2719">
        <v>3</v>
      </c>
      <c r="E2719">
        <v>0</v>
      </c>
      <c r="H2719">
        <v>1</v>
      </c>
      <c r="I2719">
        <v>2</v>
      </c>
      <c r="J2719">
        <v>0</v>
      </c>
      <c r="M2719" t="s">
        <v>2837</v>
      </c>
    </row>
    <row r="2720" spans="1:13" ht="15" customHeight="1">
      <c r="A2720" s="10">
        <v>46197</v>
      </c>
      <c r="B2720" t="s">
        <v>1</v>
      </c>
      <c r="C2720" t="s">
        <v>67</v>
      </c>
      <c r="D2720">
        <v>5</v>
      </c>
      <c r="E2720">
        <v>0</v>
      </c>
      <c r="I2720">
        <v>5</v>
      </c>
      <c r="J2720">
        <v>0</v>
      </c>
      <c r="M2720" t="s">
        <v>2838</v>
      </c>
    </row>
    <row r="2721" spans="1:13" ht="15" customHeight="1">
      <c r="A2721" s="10">
        <v>46197</v>
      </c>
      <c r="B2721" t="s">
        <v>1</v>
      </c>
      <c r="C2721" t="s">
        <v>68</v>
      </c>
      <c r="D2721">
        <v>0</v>
      </c>
      <c r="E2721">
        <v>0</v>
      </c>
      <c r="I2721">
        <v>0</v>
      </c>
      <c r="J2721">
        <v>0</v>
      </c>
      <c r="M2721" t="s">
        <v>2839</v>
      </c>
    </row>
    <row r="2722" spans="1:13" ht="15" customHeight="1">
      <c r="A2722" s="10">
        <v>46197</v>
      </c>
      <c r="B2722" t="s">
        <v>1</v>
      </c>
      <c r="C2722" t="s">
        <v>71</v>
      </c>
      <c r="D2722">
        <v>1</v>
      </c>
      <c r="E2722">
        <v>360</v>
      </c>
      <c r="I2722">
        <v>1</v>
      </c>
      <c r="J2722">
        <v>284</v>
      </c>
      <c r="M2722" t="s">
        <v>2840</v>
      </c>
    </row>
    <row r="2723" spans="1:13" ht="15" customHeight="1">
      <c r="A2723" s="10">
        <v>46197</v>
      </c>
      <c r="B2723" t="s">
        <v>1</v>
      </c>
      <c r="C2723" t="s">
        <v>73</v>
      </c>
      <c r="D2723">
        <v>2</v>
      </c>
      <c r="E2723">
        <v>452</v>
      </c>
      <c r="I2723">
        <v>2</v>
      </c>
      <c r="J2723">
        <v>423</v>
      </c>
      <c r="M2723" t="s">
        <v>2841</v>
      </c>
    </row>
    <row r="2724" spans="1:13" ht="15" customHeight="1">
      <c r="A2724" s="10">
        <v>46197</v>
      </c>
      <c r="B2724" t="s">
        <v>1</v>
      </c>
      <c r="C2724" t="s">
        <v>75</v>
      </c>
      <c r="D2724">
        <v>0</v>
      </c>
      <c r="E2724">
        <v>240</v>
      </c>
      <c r="I2724">
        <v>0</v>
      </c>
      <c r="J2724">
        <v>230</v>
      </c>
      <c r="M2724" t="s">
        <v>2842</v>
      </c>
    </row>
    <row r="2725" spans="1:13" ht="15" customHeight="1">
      <c r="A2725" s="10">
        <v>46197</v>
      </c>
      <c r="B2725" t="s">
        <v>1</v>
      </c>
      <c r="C2725" t="s">
        <v>77</v>
      </c>
      <c r="D2725">
        <v>0</v>
      </c>
      <c r="E2725">
        <v>865</v>
      </c>
      <c r="I2725">
        <v>0</v>
      </c>
      <c r="J2725">
        <v>815</v>
      </c>
      <c r="M2725" t="s">
        <v>2843</v>
      </c>
    </row>
    <row r="2726" spans="1:13" ht="15" customHeight="1">
      <c r="A2726" s="10">
        <v>46197</v>
      </c>
      <c r="B2726" t="s">
        <v>1</v>
      </c>
      <c r="C2726" t="s">
        <v>79</v>
      </c>
      <c r="D2726">
        <v>1</v>
      </c>
      <c r="E2726">
        <v>584</v>
      </c>
      <c r="I2726">
        <v>1</v>
      </c>
      <c r="J2726">
        <v>404</v>
      </c>
      <c r="M2726" t="s">
        <v>2844</v>
      </c>
    </row>
    <row r="2727" spans="1:13" ht="15" customHeight="1">
      <c r="A2727" s="10">
        <v>46197</v>
      </c>
      <c r="B2727" t="s">
        <v>1</v>
      </c>
      <c r="C2727" t="s">
        <v>81</v>
      </c>
      <c r="D2727">
        <v>0</v>
      </c>
      <c r="E2727">
        <v>192</v>
      </c>
      <c r="I2727">
        <v>0</v>
      </c>
      <c r="J2727">
        <v>173</v>
      </c>
      <c r="M2727" t="s">
        <v>2845</v>
      </c>
    </row>
    <row r="2728" spans="1:13" ht="15" customHeight="1">
      <c r="A2728" s="10">
        <v>46197</v>
      </c>
      <c r="B2728" t="s">
        <v>1</v>
      </c>
      <c r="C2728" t="s">
        <v>83</v>
      </c>
      <c r="D2728">
        <v>1</v>
      </c>
      <c r="E2728">
        <v>104</v>
      </c>
      <c r="I2728">
        <v>1</v>
      </c>
      <c r="J2728">
        <v>90</v>
      </c>
      <c r="M2728" t="s">
        <v>2846</v>
      </c>
    </row>
    <row r="2729" spans="1:13" ht="15" customHeight="1">
      <c r="A2729" s="10">
        <v>46197</v>
      </c>
      <c r="B2729" t="s">
        <v>1</v>
      </c>
      <c r="C2729" t="s">
        <v>84</v>
      </c>
      <c r="D2729">
        <v>1</v>
      </c>
      <c r="E2729">
        <v>107</v>
      </c>
      <c r="I2729">
        <v>1</v>
      </c>
      <c r="J2729">
        <v>90</v>
      </c>
      <c r="M2729" t="s">
        <v>2847</v>
      </c>
    </row>
    <row r="2730" spans="1:13" ht="15" customHeight="1">
      <c r="A2730" s="10">
        <v>46197</v>
      </c>
      <c r="B2730" t="s">
        <v>1</v>
      </c>
      <c r="C2730" t="s">
        <v>85</v>
      </c>
      <c r="D2730">
        <v>0</v>
      </c>
      <c r="E2730">
        <v>150</v>
      </c>
      <c r="I2730">
        <v>0</v>
      </c>
      <c r="J2730">
        <v>150</v>
      </c>
      <c r="M2730" t="s">
        <v>2848</v>
      </c>
    </row>
    <row r="2731" spans="1:13" ht="15" customHeight="1">
      <c r="A2731" s="10">
        <v>46197</v>
      </c>
      <c r="B2731" t="s">
        <v>1</v>
      </c>
      <c r="C2731" t="s">
        <v>87</v>
      </c>
      <c r="D2731">
        <v>2</v>
      </c>
      <c r="E2731">
        <v>6</v>
      </c>
      <c r="I2731">
        <v>1</v>
      </c>
      <c r="J2731">
        <v>408</v>
      </c>
      <c r="M2731" t="s">
        <v>2849</v>
      </c>
    </row>
    <row r="2732" spans="1:13" ht="15" customHeight="1">
      <c r="A2732" s="10">
        <v>46197</v>
      </c>
      <c r="B2732" t="s">
        <v>1</v>
      </c>
      <c r="C2732" t="s">
        <v>88</v>
      </c>
      <c r="D2732">
        <v>1</v>
      </c>
      <c r="E2732">
        <v>229</v>
      </c>
      <c r="I2732">
        <v>1</v>
      </c>
      <c r="J2732">
        <v>227</v>
      </c>
      <c r="M2732" t="s">
        <v>2850</v>
      </c>
    </row>
    <row r="2733" spans="1:13" ht="15" customHeight="1">
      <c r="A2733" s="10">
        <v>46197</v>
      </c>
      <c r="B2733" t="s">
        <v>1</v>
      </c>
      <c r="C2733" t="s">
        <v>89</v>
      </c>
      <c r="D2733">
        <v>1</v>
      </c>
      <c r="E2733">
        <v>123</v>
      </c>
      <c r="I2733">
        <v>1</v>
      </c>
      <c r="J2733">
        <v>111</v>
      </c>
      <c r="M2733" t="s">
        <v>2851</v>
      </c>
    </row>
    <row r="2734" spans="1:13" ht="15" customHeight="1">
      <c r="A2734" s="10">
        <v>46197</v>
      </c>
      <c r="B2734" t="s">
        <v>1</v>
      </c>
      <c r="C2734" t="s">
        <v>90</v>
      </c>
      <c r="D2734">
        <v>1</v>
      </c>
      <c r="E2734">
        <v>726</v>
      </c>
      <c r="I2734">
        <v>1</v>
      </c>
      <c r="J2734">
        <v>671</v>
      </c>
      <c r="M2734" t="s">
        <v>2852</v>
      </c>
    </row>
    <row r="2735" spans="1:13" ht="15" customHeight="1">
      <c r="A2735" s="10">
        <v>46197</v>
      </c>
      <c r="B2735" t="s">
        <v>1</v>
      </c>
      <c r="C2735" t="s">
        <v>92</v>
      </c>
      <c r="D2735">
        <v>1</v>
      </c>
      <c r="E2735">
        <v>703</v>
      </c>
      <c r="I2735">
        <v>1</v>
      </c>
      <c r="J2735">
        <v>700</v>
      </c>
      <c r="M2735" t="s">
        <v>2853</v>
      </c>
    </row>
    <row r="2736" spans="1:13" ht="15" customHeight="1">
      <c r="A2736" s="10">
        <v>46197</v>
      </c>
      <c r="B2736" t="s">
        <v>1</v>
      </c>
      <c r="C2736" t="s">
        <v>94</v>
      </c>
      <c r="D2736">
        <v>1</v>
      </c>
      <c r="E2736">
        <v>245</v>
      </c>
      <c r="I2736">
        <v>1</v>
      </c>
      <c r="J2736">
        <v>96</v>
      </c>
      <c r="M2736" t="s">
        <v>2854</v>
      </c>
    </row>
    <row r="2737" spans="1:13" ht="15" customHeight="1">
      <c r="A2737" s="10">
        <v>46197</v>
      </c>
      <c r="B2737" t="s">
        <v>1</v>
      </c>
      <c r="C2737" t="s">
        <v>96</v>
      </c>
      <c r="D2737">
        <v>0</v>
      </c>
      <c r="E2737">
        <v>0</v>
      </c>
      <c r="I2737">
        <v>0</v>
      </c>
      <c r="J2737">
        <v>0</v>
      </c>
      <c r="M2737" t="s">
        <v>2855</v>
      </c>
    </row>
    <row r="2738" spans="1:13" ht="15" customHeight="1">
      <c r="A2738" s="10">
        <v>46197</v>
      </c>
      <c r="B2738" t="s">
        <v>1</v>
      </c>
      <c r="C2738" t="s">
        <v>98</v>
      </c>
      <c r="D2738">
        <v>2</v>
      </c>
      <c r="E2738">
        <v>90</v>
      </c>
      <c r="I2738">
        <v>0</v>
      </c>
      <c r="J2738">
        <v>251</v>
      </c>
      <c r="M2738" t="s">
        <v>2856</v>
      </c>
    </row>
    <row r="2739" spans="1:13" ht="15" customHeight="1">
      <c r="A2739" s="10">
        <v>46197</v>
      </c>
      <c r="B2739" t="s">
        <v>1</v>
      </c>
      <c r="C2739" t="s">
        <v>203</v>
      </c>
      <c r="D2739">
        <v>0</v>
      </c>
      <c r="E2739">
        <v>0</v>
      </c>
      <c r="I2739">
        <v>0</v>
      </c>
      <c r="J2739">
        <v>0</v>
      </c>
      <c r="M2739" t="s">
        <v>2857</v>
      </c>
    </row>
    <row r="2740" spans="1:13" ht="15" customHeight="1">
      <c r="A2740" s="10">
        <v>46197</v>
      </c>
      <c r="B2740" t="s">
        <v>1</v>
      </c>
      <c r="C2740" t="s">
        <v>100</v>
      </c>
      <c r="D2740">
        <v>0</v>
      </c>
      <c r="E2740">
        <v>0</v>
      </c>
      <c r="I2740">
        <v>0</v>
      </c>
      <c r="J2740">
        <v>0</v>
      </c>
      <c r="M2740" t="s">
        <v>2858</v>
      </c>
    </row>
    <row r="2741" spans="1:13" ht="15" customHeight="1">
      <c r="A2741" s="10">
        <v>46197</v>
      </c>
      <c r="B2741" t="s">
        <v>1</v>
      </c>
      <c r="C2741" t="s">
        <v>101</v>
      </c>
      <c r="D2741">
        <v>0</v>
      </c>
      <c r="E2741">
        <v>0</v>
      </c>
      <c r="I2741">
        <v>0</v>
      </c>
      <c r="J2741">
        <v>0</v>
      </c>
      <c r="M2741" t="s">
        <v>2859</v>
      </c>
    </row>
    <row r="2742" spans="1:13" ht="15" customHeight="1">
      <c r="A2742" s="10">
        <v>46197</v>
      </c>
      <c r="B2742" t="s">
        <v>1</v>
      </c>
      <c r="C2742" t="s">
        <v>103</v>
      </c>
      <c r="D2742">
        <v>0</v>
      </c>
      <c r="E2742">
        <v>11</v>
      </c>
      <c r="I2742">
        <v>0</v>
      </c>
      <c r="J2742">
        <v>4</v>
      </c>
      <c r="M2742" t="s">
        <v>2860</v>
      </c>
    </row>
    <row r="2743" spans="1:13" ht="15" customHeight="1">
      <c r="A2743" s="10">
        <v>46197</v>
      </c>
      <c r="B2743" t="s">
        <v>1</v>
      </c>
      <c r="C2743" t="s">
        <v>106</v>
      </c>
      <c r="D2743">
        <v>1</v>
      </c>
      <c r="E2743">
        <v>361</v>
      </c>
      <c r="I2743">
        <v>1</v>
      </c>
      <c r="J2743">
        <v>281</v>
      </c>
      <c r="M2743" t="s">
        <v>2861</v>
      </c>
    </row>
    <row r="2744" spans="1:13" ht="15" customHeight="1">
      <c r="A2744" s="10">
        <v>46197</v>
      </c>
      <c r="B2744" t="s">
        <v>1</v>
      </c>
      <c r="C2744" t="s">
        <v>108</v>
      </c>
      <c r="D2744">
        <v>1</v>
      </c>
      <c r="E2744">
        <v>439</v>
      </c>
      <c r="I2744">
        <v>1</v>
      </c>
      <c r="J2744">
        <v>502</v>
      </c>
      <c r="M2744" t="s">
        <v>2862</v>
      </c>
    </row>
    <row r="2745" spans="1:13" ht="15" customHeight="1">
      <c r="A2745" s="10">
        <v>46197</v>
      </c>
      <c r="B2745" t="s">
        <v>1</v>
      </c>
      <c r="C2745" t="s">
        <v>109</v>
      </c>
      <c r="D2745">
        <v>1</v>
      </c>
      <c r="E2745">
        <v>576</v>
      </c>
      <c r="I2745">
        <v>1</v>
      </c>
      <c r="J2745">
        <v>511</v>
      </c>
      <c r="M2745" t="s">
        <v>2863</v>
      </c>
    </row>
    <row r="2746" spans="1:13" ht="15" customHeight="1">
      <c r="A2746" s="10">
        <v>46197</v>
      </c>
      <c r="B2746" t="s">
        <v>1</v>
      </c>
      <c r="C2746" t="s">
        <v>112</v>
      </c>
      <c r="D2746">
        <v>1</v>
      </c>
      <c r="E2746">
        <v>37</v>
      </c>
      <c r="I2746">
        <v>1</v>
      </c>
      <c r="J2746">
        <v>36</v>
      </c>
      <c r="M2746" t="s">
        <v>2864</v>
      </c>
    </row>
    <row r="2747" spans="1:13" ht="15" customHeight="1">
      <c r="A2747" s="10">
        <v>46197</v>
      </c>
      <c r="B2747" t="s">
        <v>1</v>
      </c>
      <c r="C2747" t="s">
        <v>114</v>
      </c>
      <c r="D2747">
        <v>2</v>
      </c>
      <c r="E2747">
        <v>8</v>
      </c>
      <c r="I2747">
        <v>2</v>
      </c>
      <c r="J2747">
        <v>0</v>
      </c>
      <c r="M2747" t="s">
        <v>2865</v>
      </c>
    </row>
    <row r="2748" spans="1:13" ht="15" customHeight="1">
      <c r="A2748" s="10">
        <v>46197</v>
      </c>
      <c r="B2748" t="s">
        <v>1</v>
      </c>
      <c r="C2748" t="s">
        <v>115</v>
      </c>
      <c r="D2748">
        <v>0</v>
      </c>
      <c r="E2748">
        <v>40</v>
      </c>
      <c r="I2748">
        <v>0</v>
      </c>
      <c r="J2748">
        <v>35</v>
      </c>
      <c r="M2748" t="s">
        <v>2866</v>
      </c>
    </row>
    <row r="2749" spans="1:13" ht="15" customHeight="1">
      <c r="A2749" s="10">
        <v>46197</v>
      </c>
      <c r="B2749" t="s">
        <v>1</v>
      </c>
      <c r="C2749" t="s">
        <v>116</v>
      </c>
      <c r="D2749">
        <v>1</v>
      </c>
      <c r="E2749">
        <v>27</v>
      </c>
      <c r="I2749">
        <v>1</v>
      </c>
      <c r="J2749">
        <v>19</v>
      </c>
      <c r="M2749" t="s">
        <v>2867</v>
      </c>
    </row>
    <row r="2750" spans="1:13" ht="15" customHeight="1">
      <c r="A2750" s="10">
        <v>46197</v>
      </c>
      <c r="B2750" t="s">
        <v>1</v>
      </c>
      <c r="C2750" t="s">
        <v>119</v>
      </c>
      <c r="D2750">
        <v>1</v>
      </c>
      <c r="E2750">
        <v>0</v>
      </c>
      <c r="I2750">
        <v>1</v>
      </c>
      <c r="M2750" t="s">
        <v>2868</v>
      </c>
    </row>
    <row r="2751" spans="1:13" ht="15" customHeight="1">
      <c r="A2751" s="10">
        <v>46197</v>
      </c>
      <c r="B2751" t="s">
        <v>1</v>
      </c>
      <c r="C2751" t="s">
        <v>120</v>
      </c>
      <c r="D2751">
        <v>2</v>
      </c>
      <c r="E2751">
        <v>0</v>
      </c>
      <c r="I2751">
        <v>2</v>
      </c>
      <c r="M2751" t="s">
        <v>2869</v>
      </c>
    </row>
    <row r="2752" spans="1:13" ht="15" customHeight="1">
      <c r="A2752" s="10">
        <v>46197</v>
      </c>
      <c r="B2752" t="s">
        <v>1</v>
      </c>
      <c r="C2752" t="s">
        <v>121</v>
      </c>
      <c r="D2752">
        <v>3</v>
      </c>
      <c r="E2752">
        <v>0</v>
      </c>
      <c r="I2752">
        <v>3</v>
      </c>
      <c r="M2752" t="s">
        <v>2870</v>
      </c>
    </row>
    <row r="2753" spans="1:13" ht="15" customHeight="1">
      <c r="A2753" s="10">
        <v>46197</v>
      </c>
      <c r="B2753" t="s">
        <v>1</v>
      </c>
      <c r="C2753" t="s">
        <v>123</v>
      </c>
      <c r="D2753">
        <v>1</v>
      </c>
      <c r="E2753">
        <v>0</v>
      </c>
      <c r="I2753">
        <v>1</v>
      </c>
      <c r="M2753" t="s">
        <v>2871</v>
      </c>
    </row>
    <row r="2754" spans="1:13" ht="15" customHeight="1">
      <c r="A2754" s="10">
        <v>46197</v>
      </c>
      <c r="B2754" t="s">
        <v>1</v>
      </c>
      <c r="C2754" t="s">
        <v>124</v>
      </c>
      <c r="D2754">
        <v>1</v>
      </c>
      <c r="E2754">
        <v>0</v>
      </c>
      <c r="I2754">
        <v>1</v>
      </c>
      <c r="M2754" t="s">
        <v>2872</v>
      </c>
    </row>
    <row r="2755" spans="1:13" ht="15" customHeight="1">
      <c r="A2755" s="10">
        <v>46197</v>
      </c>
      <c r="B2755" t="s">
        <v>1</v>
      </c>
      <c r="C2755" t="s">
        <v>125</v>
      </c>
      <c r="D2755">
        <v>1</v>
      </c>
      <c r="E2755">
        <v>0</v>
      </c>
      <c r="I2755">
        <v>1</v>
      </c>
      <c r="M2755" t="s">
        <v>2873</v>
      </c>
    </row>
    <row r="2756" spans="1:13" ht="15" customHeight="1">
      <c r="A2756" s="10">
        <v>46197</v>
      </c>
      <c r="B2756" t="s">
        <v>1</v>
      </c>
      <c r="C2756" t="s">
        <v>126</v>
      </c>
      <c r="D2756">
        <v>2</v>
      </c>
      <c r="E2756">
        <v>0</v>
      </c>
      <c r="I2756">
        <v>2</v>
      </c>
      <c r="M2756" t="s">
        <v>2874</v>
      </c>
    </row>
    <row r="2757" spans="1:13" ht="15" customHeight="1">
      <c r="A2757" s="10">
        <v>46197</v>
      </c>
      <c r="B2757" t="s">
        <v>1</v>
      </c>
      <c r="C2757" t="s">
        <v>128</v>
      </c>
      <c r="D2757">
        <v>3</v>
      </c>
      <c r="E2757">
        <v>0</v>
      </c>
      <c r="I2757">
        <v>3</v>
      </c>
      <c r="M2757" t="s">
        <v>2875</v>
      </c>
    </row>
    <row r="2758" spans="1:13" ht="15" customHeight="1">
      <c r="A2758" s="10">
        <v>46197</v>
      </c>
      <c r="B2758" t="s">
        <v>1</v>
      </c>
      <c r="C2758" t="s">
        <v>130</v>
      </c>
      <c r="D2758">
        <v>4</v>
      </c>
      <c r="E2758">
        <v>0</v>
      </c>
      <c r="I2758">
        <v>4</v>
      </c>
      <c r="M2758" t="s">
        <v>2876</v>
      </c>
    </row>
    <row r="2759" spans="1:13" ht="15" customHeight="1">
      <c r="A2759" s="10">
        <v>46197</v>
      </c>
      <c r="B2759" t="s">
        <v>1</v>
      </c>
      <c r="C2759" t="s">
        <v>285</v>
      </c>
      <c r="D2759">
        <v>2</v>
      </c>
      <c r="E2759">
        <v>0</v>
      </c>
      <c r="I2759">
        <v>2</v>
      </c>
      <c r="M2759" t="s">
        <v>2877</v>
      </c>
    </row>
    <row r="2760" spans="1:13" ht="15" customHeight="1">
      <c r="A2760" s="10">
        <v>46197</v>
      </c>
      <c r="B2760" t="s">
        <v>1</v>
      </c>
      <c r="C2760" t="s">
        <v>287</v>
      </c>
      <c r="D2760">
        <v>2</v>
      </c>
      <c r="E2760">
        <v>0</v>
      </c>
      <c r="I2760">
        <v>2</v>
      </c>
      <c r="M2760" t="s">
        <v>2878</v>
      </c>
    </row>
    <row r="2761" spans="1:13" ht="15" customHeight="1">
      <c r="A2761" s="10">
        <v>46197</v>
      </c>
      <c r="B2761" t="s">
        <v>1</v>
      </c>
      <c r="C2761" t="s">
        <v>289</v>
      </c>
      <c r="D2761">
        <v>2</v>
      </c>
      <c r="E2761">
        <v>0</v>
      </c>
      <c r="I2761">
        <v>2</v>
      </c>
      <c r="M2761" t="s">
        <v>2879</v>
      </c>
    </row>
    <row r="2762" spans="1:13" ht="15" customHeight="1">
      <c r="A2762" s="10">
        <v>46197</v>
      </c>
      <c r="B2762" t="s">
        <v>1</v>
      </c>
      <c r="C2762" t="s">
        <v>291</v>
      </c>
      <c r="D2762">
        <v>2</v>
      </c>
      <c r="E2762">
        <v>0</v>
      </c>
      <c r="I2762">
        <v>2</v>
      </c>
      <c r="M2762" t="s">
        <v>2880</v>
      </c>
    </row>
    <row r="2763" spans="1:13" ht="15" customHeight="1">
      <c r="A2763" s="10">
        <v>46197</v>
      </c>
      <c r="B2763" t="s">
        <v>1</v>
      </c>
      <c r="C2763" t="s">
        <v>293</v>
      </c>
      <c r="D2763">
        <v>4</v>
      </c>
      <c r="E2763">
        <v>0</v>
      </c>
      <c r="I2763">
        <v>4</v>
      </c>
      <c r="M2763" t="s">
        <v>2881</v>
      </c>
    </row>
    <row r="2764" spans="1:13" ht="15" customHeight="1">
      <c r="A2764" s="10">
        <v>46197</v>
      </c>
      <c r="B2764" t="s">
        <v>1</v>
      </c>
      <c r="C2764" s="135" t="s">
        <v>138</v>
      </c>
      <c r="D2764">
        <v>0</v>
      </c>
      <c r="E2764">
        <v>11</v>
      </c>
      <c r="I2764">
        <v>0</v>
      </c>
      <c r="J2764">
        <v>6</v>
      </c>
      <c r="M2764" t="s">
        <v>2882</v>
      </c>
    </row>
    <row r="2765" spans="1:13" ht="15" customHeight="1">
      <c r="A2765" s="10">
        <v>46197</v>
      </c>
      <c r="B2765" t="s">
        <v>1</v>
      </c>
      <c r="C2765" s="135" t="s">
        <v>139</v>
      </c>
      <c r="D2765">
        <v>0</v>
      </c>
      <c r="E2765">
        <v>38</v>
      </c>
      <c r="I2765">
        <v>0</v>
      </c>
      <c r="J2765">
        <v>37</v>
      </c>
      <c r="M2765" t="s">
        <v>2883</v>
      </c>
    </row>
    <row r="2766" spans="1:13" ht="15" customHeight="1">
      <c r="A2766" s="10">
        <v>46197</v>
      </c>
      <c r="B2766" t="s">
        <v>1</v>
      </c>
      <c r="C2766" s="135" t="s">
        <v>140</v>
      </c>
      <c r="D2766">
        <v>0</v>
      </c>
      <c r="E2766">
        <v>21</v>
      </c>
      <c r="I2766">
        <v>0</v>
      </c>
      <c r="J2766">
        <v>19</v>
      </c>
      <c r="M2766" t="s">
        <v>2884</v>
      </c>
    </row>
    <row r="2767" spans="1:13" ht="15" customHeight="1">
      <c r="A2767" s="10">
        <v>46197</v>
      </c>
      <c r="B2767" t="s">
        <v>1</v>
      </c>
      <c r="C2767" s="135" t="s">
        <v>141</v>
      </c>
      <c r="D2767">
        <v>0</v>
      </c>
      <c r="E2767">
        <v>0</v>
      </c>
      <c r="I2767">
        <v>0</v>
      </c>
      <c r="J2767">
        <v>0</v>
      </c>
      <c r="M2767" t="s">
        <v>2885</v>
      </c>
    </row>
    <row r="2768" spans="1:13" ht="15" customHeight="1">
      <c r="A2768" s="10">
        <v>46197</v>
      </c>
      <c r="B2768" t="s">
        <v>1</v>
      </c>
      <c r="C2768" s="135" t="s">
        <v>143</v>
      </c>
      <c r="D2768">
        <v>0</v>
      </c>
      <c r="E2768">
        <v>58</v>
      </c>
      <c r="I2768">
        <v>0</v>
      </c>
      <c r="J2768">
        <v>57</v>
      </c>
      <c r="M2768" t="s">
        <v>2886</v>
      </c>
    </row>
    <row r="2769" spans="1:13" ht="15" customHeight="1">
      <c r="A2769" s="10">
        <v>46197</v>
      </c>
      <c r="B2769" t="s">
        <v>1</v>
      </c>
      <c r="C2769" s="135" t="s">
        <v>145</v>
      </c>
      <c r="D2769">
        <v>0</v>
      </c>
      <c r="E2769">
        <v>45</v>
      </c>
      <c r="I2769">
        <v>0</v>
      </c>
      <c r="J2769">
        <v>44</v>
      </c>
      <c r="M2769" t="s">
        <v>2887</v>
      </c>
    </row>
    <row r="2770" spans="1:13" ht="15" customHeight="1">
      <c r="A2770" s="10">
        <v>46197</v>
      </c>
      <c r="B2770" t="s">
        <v>1</v>
      </c>
      <c r="C2770" s="135" t="s">
        <v>147</v>
      </c>
      <c r="D2770">
        <v>0</v>
      </c>
      <c r="E2770">
        <v>28</v>
      </c>
      <c r="I2770">
        <v>0</v>
      </c>
      <c r="J2770">
        <v>28</v>
      </c>
      <c r="M2770" t="s">
        <v>2888</v>
      </c>
    </row>
    <row r="2771" spans="1:13" ht="15" customHeight="1">
      <c r="A2771" s="10">
        <v>46197</v>
      </c>
      <c r="B2771" t="s">
        <v>1</v>
      </c>
      <c r="C2771" t="s">
        <v>302</v>
      </c>
      <c r="D2771">
        <v>2</v>
      </c>
      <c r="E2771">
        <v>0</v>
      </c>
      <c r="I2771">
        <v>2</v>
      </c>
      <c r="M2771" t="s">
        <v>2889</v>
      </c>
    </row>
    <row r="2772" spans="1:13" ht="15" customHeight="1">
      <c r="A2772" s="10">
        <v>46197</v>
      </c>
      <c r="B2772" t="s">
        <v>1</v>
      </c>
      <c r="C2772" t="s">
        <v>150</v>
      </c>
      <c r="D2772">
        <v>1</v>
      </c>
      <c r="E2772">
        <v>0</v>
      </c>
      <c r="I2772">
        <v>1</v>
      </c>
      <c r="M2772" t="s">
        <v>2890</v>
      </c>
    </row>
    <row r="2773" spans="1:13" ht="15" customHeight="1">
      <c r="A2773" s="10">
        <v>46197</v>
      </c>
      <c r="B2773" t="s">
        <v>1</v>
      </c>
      <c r="C2773" t="s">
        <v>151</v>
      </c>
      <c r="D2773">
        <v>1</v>
      </c>
      <c r="E2773">
        <v>0</v>
      </c>
      <c r="I2773">
        <v>1</v>
      </c>
      <c r="M2773" t="s">
        <v>2891</v>
      </c>
    </row>
    <row r="2774" spans="1:13" ht="15" customHeight="1">
      <c r="A2774" s="10">
        <v>46197</v>
      </c>
      <c r="B2774" t="s">
        <v>1</v>
      </c>
      <c r="C2774" t="s">
        <v>152</v>
      </c>
      <c r="D2774">
        <v>2</v>
      </c>
      <c r="E2774">
        <v>0</v>
      </c>
      <c r="I2774">
        <v>2</v>
      </c>
      <c r="M2774" t="s">
        <v>2892</v>
      </c>
    </row>
    <row r="2775" spans="1:13" ht="15" customHeight="1">
      <c r="A2775" s="10">
        <v>46197</v>
      </c>
      <c r="B2775" t="s">
        <v>1</v>
      </c>
      <c r="C2775" t="s">
        <v>153</v>
      </c>
      <c r="D2775">
        <v>2</v>
      </c>
      <c r="E2775">
        <v>0</v>
      </c>
      <c r="I2775">
        <v>2</v>
      </c>
      <c r="M2775" t="s">
        <v>2893</v>
      </c>
    </row>
    <row r="2776" spans="1:13" ht="15" customHeight="1">
      <c r="A2776" s="10">
        <v>46197</v>
      </c>
      <c r="B2776" t="s">
        <v>1</v>
      </c>
      <c r="C2776" t="s">
        <v>308</v>
      </c>
      <c r="D2776">
        <v>0</v>
      </c>
      <c r="E2776">
        <v>3</v>
      </c>
      <c r="I2776">
        <v>0</v>
      </c>
      <c r="J2776">
        <v>2</v>
      </c>
      <c r="M2776" t="s">
        <v>2894</v>
      </c>
    </row>
    <row r="2777" spans="1:13" ht="15" customHeight="1">
      <c r="A2777" s="10">
        <v>46197</v>
      </c>
      <c r="B2777" t="s">
        <v>1</v>
      </c>
      <c r="C2777" t="s">
        <v>310</v>
      </c>
      <c r="D2777">
        <v>0</v>
      </c>
      <c r="E2777">
        <v>2</v>
      </c>
      <c r="I2777">
        <v>0</v>
      </c>
      <c r="J2777">
        <v>2</v>
      </c>
      <c r="M2777" t="s">
        <v>2895</v>
      </c>
    </row>
    <row r="2778" spans="1:13" ht="15" customHeight="1">
      <c r="A2778" s="10">
        <v>46197</v>
      </c>
      <c r="B2778" t="s">
        <v>1</v>
      </c>
      <c r="C2778" t="s">
        <v>312</v>
      </c>
      <c r="D2778">
        <v>0</v>
      </c>
      <c r="E2778">
        <v>3</v>
      </c>
      <c r="I2778">
        <v>0</v>
      </c>
      <c r="J2778">
        <v>3</v>
      </c>
      <c r="M2778" t="s">
        <v>2896</v>
      </c>
    </row>
    <row r="2779" spans="1:13" ht="15" customHeight="1">
      <c r="A2779" s="10">
        <v>46197</v>
      </c>
      <c r="B2779" t="s">
        <v>1</v>
      </c>
      <c r="C2779" t="s">
        <v>314</v>
      </c>
      <c r="D2779">
        <v>1</v>
      </c>
      <c r="E2779">
        <v>0</v>
      </c>
      <c r="I2779">
        <v>1</v>
      </c>
      <c r="M2779" t="s">
        <v>2897</v>
      </c>
    </row>
    <row r="2780" spans="1:13" ht="15" customHeight="1">
      <c r="A2780" s="10">
        <v>46197</v>
      </c>
      <c r="B2780" t="s">
        <v>1</v>
      </c>
      <c r="C2780" t="s">
        <v>316</v>
      </c>
      <c r="D2780">
        <v>1</v>
      </c>
      <c r="E2780">
        <v>0</v>
      </c>
      <c r="I2780">
        <v>1</v>
      </c>
      <c r="M2780" t="s">
        <v>2898</v>
      </c>
    </row>
    <row r="2781" spans="1:13" ht="15" customHeight="1">
      <c r="A2781" s="10">
        <v>46197</v>
      </c>
      <c r="B2781" t="s">
        <v>1</v>
      </c>
      <c r="C2781" t="s">
        <v>318</v>
      </c>
      <c r="D2781">
        <v>1</v>
      </c>
      <c r="E2781">
        <v>0</v>
      </c>
      <c r="I2781">
        <v>1</v>
      </c>
      <c r="M2781" t="s">
        <v>2899</v>
      </c>
    </row>
    <row r="2782" spans="1:13" ht="15" customHeight="1">
      <c r="A2782" s="10">
        <v>46197</v>
      </c>
      <c r="B2782" t="s">
        <v>1</v>
      </c>
      <c r="C2782" t="s">
        <v>320</v>
      </c>
      <c r="D2782">
        <v>1</v>
      </c>
      <c r="E2782">
        <v>0</v>
      </c>
      <c r="I2782">
        <v>1</v>
      </c>
      <c r="M2782" t="s">
        <v>2900</v>
      </c>
    </row>
    <row r="2783" spans="1:13" ht="15" customHeight="1">
      <c r="A2783" s="10">
        <v>46197</v>
      </c>
      <c r="B2783" t="s">
        <v>1</v>
      </c>
      <c r="C2783" t="s">
        <v>322</v>
      </c>
      <c r="D2783">
        <v>0</v>
      </c>
      <c r="E2783">
        <v>0</v>
      </c>
      <c r="I2783">
        <v>0</v>
      </c>
      <c r="M2783" t="s">
        <v>2901</v>
      </c>
    </row>
    <row r="2784" spans="1:13" ht="15" customHeight="1">
      <c r="A2784" s="10">
        <v>46197</v>
      </c>
      <c r="B2784" t="s">
        <v>1</v>
      </c>
      <c r="C2784" s="135" t="s">
        <v>168</v>
      </c>
      <c r="D2784">
        <v>1</v>
      </c>
      <c r="E2784">
        <v>0</v>
      </c>
      <c r="I2784">
        <v>1</v>
      </c>
      <c r="M2784" t="s">
        <v>2902</v>
      </c>
    </row>
    <row r="2785" spans="1:13" ht="15" customHeight="1">
      <c r="A2785" s="10">
        <v>46197</v>
      </c>
      <c r="B2785" t="s">
        <v>1</v>
      </c>
      <c r="C2785" s="135" t="s">
        <v>170</v>
      </c>
      <c r="D2785">
        <v>1</v>
      </c>
      <c r="E2785">
        <v>0</v>
      </c>
      <c r="I2785">
        <v>1</v>
      </c>
      <c r="M2785" t="s">
        <v>2903</v>
      </c>
    </row>
    <row r="2786" spans="1:13" ht="15" customHeight="1">
      <c r="A2786" s="10">
        <v>46197</v>
      </c>
      <c r="B2786" t="s">
        <v>1</v>
      </c>
      <c r="C2786" s="135" t="s">
        <v>171</v>
      </c>
      <c r="D2786">
        <v>2</v>
      </c>
      <c r="E2786">
        <v>0</v>
      </c>
      <c r="I2786">
        <v>2</v>
      </c>
      <c r="M2786" t="s">
        <v>2904</v>
      </c>
    </row>
    <row r="2787" spans="1:13" ht="15" customHeight="1">
      <c r="A2787" s="10">
        <v>46197</v>
      </c>
      <c r="B2787" t="s">
        <v>1</v>
      </c>
      <c r="C2787" s="135" t="s">
        <v>172</v>
      </c>
      <c r="D2787">
        <v>1</v>
      </c>
      <c r="E2787">
        <v>0</v>
      </c>
      <c r="I2787">
        <v>1</v>
      </c>
      <c r="M2787" t="s">
        <v>2905</v>
      </c>
    </row>
    <row r="2788" spans="1:13" ht="15" customHeight="1">
      <c r="A2788" s="10">
        <v>46197</v>
      </c>
      <c r="B2788" t="s">
        <v>1</v>
      </c>
      <c r="C2788" s="135" t="s">
        <v>173</v>
      </c>
      <c r="D2788">
        <v>0</v>
      </c>
      <c r="E2788">
        <v>0</v>
      </c>
      <c r="I2788">
        <v>0</v>
      </c>
      <c r="M2788" t="s">
        <v>2906</v>
      </c>
    </row>
    <row r="2789" spans="1:13" ht="15" customHeight="1">
      <c r="A2789" s="10">
        <v>46197</v>
      </c>
      <c r="B2789" t="s">
        <v>1</v>
      </c>
      <c r="C2789" t="s">
        <v>176</v>
      </c>
      <c r="D2789">
        <v>0</v>
      </c>
      <c r="E2789">
        <v>15</v>
      </c>
      <c r="I2789">
        <v>0</v>
      </c>
      <c r="J2789">
        <v>15</v>
      </c>
      <c r="M2789" t="s">
        <v>2907</v>
      </c>
    </row>
    <row r="2790" spans="1:13" ht="15" customHeight="1">
      <c r="A2790" s="10">
        <v>46197</v>
      </c>
      <c r="B2790" t="s">
        <v>1</v>
      </c>
      <c r="C2790" t="s">
        <v>178</v>
      </c>
      <c r="D2790">
        <v>0</v>
      </c>
      <c r="E2790">
        <v>15</v>
      </c>
      <c r="I2790">
        <v>0</v>
      </c>
      <c r="J2790">
        <v>15</v>
      </c>
      <c r="M2790" t="s">
        <v>2908</v>
      </c>
    </row>
    <row r="2791" spans="1:13" ht="15" customHeight="1">
      <c r="A2791" s="10">
        <v>46197</v>
      </c>
      <c r="B2791" t="s">
        <v>1</v>
      </c>
      <c r="C2791" t="s">
        <v>179</v>
      </c>
      <c r="D2791">
        <v>0</v>
      </c>
      <c r="E2791">
        <v>11</v>
      </c>
      <c r="H2791">
        <v>1</v>
      </c>
      <c r="I2791">
        <v>0</v>
      </c>
      <c r="J2791">
        <v>10</v>
      </c>
      <c r="M2791" t="s">
        <v>2909</v>
      </c>
    </row>
    <row r="2792" spans="1:13" ht="15" customHeight="1">
      <c r="A2792" s="10">
        <v>46197</v>
      </c>
      <c r="B2792" t="s">
        <v>1</v>
      </c>
      <c r="C2792" t="s">
        <v>180</v>
      </c>
      <c r="D2792">
        <v>0</v>
      </c>
      <c r="E2792">
        <v>15</v>
      </c>
      <c r="H2792">
        <v>1</v>
      </c>
      <c r="I2792">
        <v>0</v>
      </c>
      <c r="J2792">
        <v>14</v>
      </c>
      <c r="M2792" t="s">
        <v>2910</v>
      </c>
    </row>
    <row r="2793" spans="1:13" ht="15" customHeight="1">
      <c r="A2793" s="10">
        <v>46197</v>
      </c>
      <c r="B2793" t="s">
        <v>1</v>
      </c>
      <c r="C2793" s="135" t="s">
        <v>182</v>
      </c>
      <c r="D2793">
        <v>1</v>
      </c>
      <c r="E2793">
        <v>231</v>
      </c>
      <c r="I2793">
        <v>1</v>
      </c>
      <c r="J2793">
        <v>231</v>
      </c>
      <c r="M2793" t="s">
        <v>2911</v>
      </c>
    </row>
    <row r="2794" spans="1:13" ht="15" customHeight="1">
      <c r="A2794" s="10">
        <v>46197</v>
      </c>
      <c r="B2794" t="s">
        <v>1</v>
      </c>
      <c r="C2794" s="135" t="s">
        <v>184</v>
      </c>
      <c r="D2794">
        <v>0</v>
      </c>
      <c r="E2794">
        <v>83</v>
      </c>
      <c r="I2794">
        <v>0</v>
      </c>
      <c r="J2794">
        <v>78</v>
      </c>
      <c r="M2794" t="s">
        <v>2912</v>
      </c>
    </row>
    <row r="2795" spans="1:13" ht="15" customHeight="1">
      <c r="A2795" s="10">
        <v>46197</v>
      </c>
      <c r="B2795" t="s">
        <v>1</v>
      </c>
      <c r="C2795" s="135" t="s">
        <v>185</v>
      </c>
      <c r="D2795">
        <v>1</v>
      </c>
      <c r="E2795">
        <v>50</v>
      </c>
      <c r="I2795">
        <v>1</v>
      </c>
      <c r="J2795">
        <v>44</v>
      </c>
      <c r="M2795" t="s">
        <v>2913</v>
      </c>
    </row>
    <row r="2796" spans="1:13" ht="15" customHeight="1">
      <c r="A2796" s="10">
        <v>46197</v>
      </c>
      <c r="B2796" t="s">
        <v>1</v>
      </c>
      <c r="C2796" s="135" t="s">
        <v>186</v>
      </c>
      <c r="D2796">
        <v>1</v>
      </c>
      <c r="E2796">
        <v>71</v>
      </c>
      <c r="I2796">
        <v>1</v>
      </c>
      <c r="J2796">
        <v>50</v>
      </c>
      <c r="M2796" t="s">
        <v>2914</v>
      </c>
    </row>
    <row r="2797" spans="1:13" ht="15" customHeight="1">
      <c r="A2797" s="10">
        <v>46197</v>
      </c>
      <c r="B2797" t="s">
        <v>1</v>
      </c>
      <c r="C2797" t="s">
        <v>337</v>
      </c>
      <c r="D2797">
        <v>1</v>
      </c>
      <c r="E2797">
        <v>288</v>
      </c>
      <c r="I2797">
        <v>1</v>
      </c>
      <c r="J2797">
        <v>259</v>
      </c>
      <c r="M2797" t="s">
        <v>2915</v>
      </c>
    </row>
    <row r="2798" spans="1:13" ht="15" customHeight="1">
      <c r="A2798" s="10">
        <v>46197</v>
      </c>
      <c r="B2798" t="s">
        <v>1</v>
      </c>
      <c r="C2798" t="s">
        <v>339</v>
      </c>
      <c r="D2798">
        <v>0</v>
      </c>
      <c r="E2798">
        <v>0</v>
      </c>
      <c r="I2798">
        <v>0</v>
      </c>
      <c r="J2798">
        <v>0</v>
      </c>
      <c r="M2798" t="s">
        <v>2916</v>
      </c>
    </row>
    <row r="2799" spans="1:13" ht="15" customHeight="1">
      <c r="A2799" s="10">
        <v>46197</v>
      </c>
      <c r="B2799" t="s">
        <v>1</v>
      </c>
      <c r="C2799" s="135" t="s">
        <v>191</v>
      </c>
      <c r="D2799">
        <v>1</v>
      </c>
      <c r="E2799">
        <v>195</v>
      </c>
      <c r="I2799">
        <v>1</v>
      </c>
      <c r="J2799">
        <v>195</v>
      </c>
      <c r="M2799" t="s">
        <v>2917</v>
      </c>
    </row>
    <row r="2800" spans="1:13" ht="15" customHeight="1">
      <c r="A2800" s="10">
        <v>46197</v>
      </c>
      <c r="B2800" t="s">
        <v>1</v>
      </c>
      <c r="C2800" s="135" t="s">
        <v>193</v>
      </c>
      <c r="D2800">
        <v>1</v>
      </c>
      <c r="E2800">
        <v>367</v>
      </c>
      <c r="I2800">
        <v>1</v>
      </c>
      <c r="J2800">
        <v>356</v>
      </c>
      <c r="M2800" t="s">
        <v>2918</v>
      </c>
    </row>
    <row r="2801" spans="1:13" ht="15" customHeight="1">
      <c r="A2801" s="10">
        <v>46197</v>
      </c>
      <c r="B2801" t="s">
        <v>1</v>
      </c>
      <c r="C2801" s="135" t="s">
        <v>194</v>
      </c>
      <c r="D2801">
        <v>1</v>
      </c>
      <c r="E2801">
        <v>14</v>
      </c>
      <c r="I2801">
        <v>1</v>
      </c>
      <c r="J2801">
        <v>14</v>
      </c>
      <c r="M2801" t="s">
        <v>2919</v>
      </c>
    </row>
    <row r="2802" spans="1:13" ht="15" customHeight="1">
      <c r="A2802" s="10">
        <v>46197</v>
      </c>
      <c r="B2802" t="s">
        <v>1</v>
      </c>
      <c r="C2802" s="135" t="s">
        <v>196</v>
      </c>
      <c r="D2802">
        <v>0</v>
      </c>
      <c r="E2802">
        <v>434</v>
      </c>
      <c r="I2802">
        <v>0</v>
      </c>
      <c r="J2802">
        <v>434</v>
      </c>
      <c r="M2802" t="s">
        <v>2920</v>
      </c>
    </row>
    <row r="2803" spans="1:13" ht="15" customHeight="1">
      <c r="A2803" s="10">
        <v>46198</v>
      </c>
      <c r="B2803" t="s">
        <v>1</v>
      </c>
      <c r="C2803" t="s">
        <v>23</v>
      </c>
      <c r="D2803">
        <v>0</v>
      </c>
      <c r="E2803">
        <v>1759</v>
      </c>
      <c r="I2803">
        <v>4</v>
      </c>
      <c r="J2803">
        <v>686</v>
      </c>
      <c r="M2803" t="s">
        <v>2921</v>
      </c>
    </row>
    <row r="2804" spans="1:13" ht="15" customHeight="1">
      <c r="A2804" s="10">
        <v>46198</v>
      </c>
      <c r="B2804" t="s">
        <v>1</v>
      </c>
      <c r="C2804" t="s">
        <v>26</v>
      </c>
      <c r="D2804">
        <v>1</v>
      </c>
      <c r="E2804">
        <v>316</v>
      </c>
      <c r="I2804">
        <v>2</v>
      </c>
      <c r="J2804">
        <v>311</v>
      </c>
      <c r="M2804" t="s">
        <v>2922</v>
      </c>
    </row>
    <row r="2805" spans="1:13" ht="15" customHeight="1">
      <c r="A2805" s="10">
        <v>46198</v>
      </c>
      <c r="B2805" t="s">
        <v>1</v>
      </c>
      <c r="C2805" t="s">
        <v>27</v>
      </c>
      <c r="D2805">
        <v>1</v>
      </c>
      <c r="E2805">
        <v>760</v>
      </c>
      <c r="I2805">
        <v>1</v>
      </c>
      <c r="J2805">
        <v>754</v>
      </c>
      <c r="M2805" t="s">
        <v>2923</v>
      </c>
    </row>
    <row r="2806" spans="1:13" ht="15" customHeight="1">
      <c r="A2806" s="10">
        <v>46198</v>
      </c>
      <c r="B2806" t="s">
        <v>1</v>
      </c>
      <c r="C2806" t="s">
        <v>28</v>
      </c>
      <c r="D2806">
        <v>0</v>
      </c>
      <c r="E2806">
        <v>0</v>
      </c>
      <c r="I2806">
        <v>0</v>
      </c>
      <c r="J2806">
        <v>0</v>
      </c>
      <c r="M2806" t="s">
        <v>2924</v>
      </c>
    </row>
    <row r="2807" spans="1:13" ht="15" customHeight="1">
      <c r="A2807" s="10">
        <v>46198</v>
      </c>
      <c r="B2807" t="s">
        <v>1</v>
      </c>
      <c r="C2807" t="s">
        <v>29</v>
      </c>
      <c r="D2807">
        <v>1</v>
      </c>
      <c r="E2807">
        <v>351</v>
      </c>
      <c r="I2807">
        <v>1</v>
      </c>
      <c r="J2807">
        <v>156</v>
      </c>
      <c r="M2807" t="s">
        <v>2925</v>
      </c>
    </row>
    <row r="2808" spans="1:13" ht="15" customHeight="1">
      <c r="A2808" s="10">
        <v>46198</v>
      </c>
      <c r="B2808" t="s">
        <v>1</v>
      </c>
      <c r="C2808" t="s">
        <v>30</v>
      </c>
      <c r="D2808">
        <v>2</v>
      </c>
      <c r="E2808">
        <v>143</v>
      </c>
      <c r="I2808">
        <v>1</v>
      </c>
      <c r="J2808">
        <v>140</v>
      </c>
      <c r="M2808" t="s">
        <v>2926</v>
      </c>
    </row>
    <row r="2809" spans="1:13" ht="15" customHeight="1">
      <c r="A2809" s="10">
        <v>46198</v>
      </c>
      <c r="B2809" t="s">
        <v>1</v>
      </c>
      <c r="C2809" t="s">
        <v>31</v>
      </c>
      <c r="D2809">
        <v>2</v>
      </c>
      <c r="E2809">
        <v>943</v>
      </c>
      <c r="I2809">
        <v>2</v>
      </c>
      <c r="J2809">
        <v>937</v>
      </c>
      <c r="M2809" t="s">
        <v>2927</v>
      </c>
    </row>
    <row r="2810" spans="1:13" ht="15" customHeight="1">
      <c r="A2810" s="10">
        <v>46198</v>
      </c>
      <c r="B2810" t="s">
        <v>1</v>
      </c>
      <c r="C2810" t="s">
        <v>32</v>
      </c>
      <c r="D2810">
        <v>1</v>
      </c>
      <c r="E2810">
        <v>325</v>
      </c>
      <c r="I2810">
        <v>1</v>
      </c>
      <c r="J2810">
        <v>320</v>
      </c>
      <c r="M2810" t="s">
        <v>2928</v>
      </c>
    </row>
    <row r="2811" spans="1:13" ht="15" customHeight="1">
      <c r="A2811" s="10">
        <v>46198</v>
      </c>
      <c r="B2811" t="s">
        <v>1</v>
      </c>
      <c r="C2811" t="s">
        <v>223</v>
      </c>
      <c r="D2811">
        <v>4</v>
      </c>
      <c r="E2811">
        <v>721</v>
      </c>
      <c r="I2811">
        <v>5</v>
      </c>
      <c r="J2811">
        <v>37</v>
      </c>
      <c r="M2811" t="s">
        <v>2929</v>
      </c>
    </row>
    <row r="2812" spans="1:13" ht="15" customHeight="1">
      <c r="A2812" s="10">
        <v>46198</v>
      </c>
      <c r="B2812" t="s">
        <v>1</v>
      </c>
      <c r="C2812" t="s">
        <v>35</v>
      </c>
      <c r="D2812">
        <v>7</v>
      </c>
      <c r="E2812">
        <v>0</v>
      </c>
      <c r="F2812">
        <v>2</v>
      </c>
      <c r="H2812">
        <v>1</v>
      </c>
      <c r="I2812">
        <v>8</v>
      </c>
      <c r="M2812" t="s">
        <v>2930</v>
      </c>
    </row>
    <row r="2813" spans="1:13" ht="15" customHeight="1">
      <c r="A2813" s="10">
        <v>46198</v>
      </c>
      <c r="B2813" t="s">
        <v>1</v>
      </c>
      <c r="C2813" t="s">
        <v>37</v>
      </c>
      <c r="D2813">
        <v>3</v>
      </c>
      <c r="E2813">
        <v>0</v>
      </c>
      <c r="I2813">
        <v>3</v>
      </c>
      <c r="M2813" t="s">
        <v>2931</v>
      </c>
    </row>
    <row r="2814" spans="1:13" ht="15" customHeight="1">
      <c r="A2814" s="10">
        <v>46198</v>
      </c>
      <c r="B2814" t="s">
        <v>1</v>
      </c>
      <c r="C2814" t="s">
        <v>39</v>
      </c>
      <c r="D2814">
        <v>12</v>
      </c>
      <c r="E2814">
        <v>0</v>
      </c>
      <c r="I2814">
        <v>12</v>
      </c>
      <c r="J2814">
        <v>0</v>
      </c>
      <c r="M2814" t="s">
        <v>2932</v>
      </c>
    </row>
    <row r="2815" spans="1:13" ht="15" customHeight="1">
      <c r="A2815" s="10">
        <v>46198</v>
      </c>
      <c r="B2815" t="s">
        <v>1</v>
      </c>
      <c r="C2815" t="s">
        <v>41</v>
      </c>
      <c r="D2815">
        <v>16</v>
      </c>
      <c r="E2815">
        <v>0</v>
      </c>
      <c r="I2815">
        <v>16</v>
      </c>
      <c r="J2815">
        <v>0</v>
      </c>
      <c r="M2815" t="s">
        <v>2933</v>
      </c>
    </row>
    <row r="2816" spans="1:13" ht="15" customHeight="1">
      <c r="A2816" s="10">
        <v>46198</v>
      </c>
      <c r="B2816" t="s">
        <v>1</v>
      </c>
      <c r="C2816" t="s">
        <v>232</v>
      </c>
      <c r="D2816">
        <v>0</v>
      </c>
      <c r="E2816">
        <v>0</v>
      </c>
      <c r="I2816">
        <v>0</v>
      </c>
      <c r="J2816">
        <v>0</v>
      </c>
      <c r="M2816" t="s">
        <v>2934</v>
      </c>
    </row>
    <row r="2817" spans="1:13" ht="15" customHeight="1">
      <c r="A2817" s="10">
        <v>46198</v>
      </c>
      <c r="B2817" t="s">
        <v>1</v>
      </c>
      <c r="C2817" t="s">
        <v>234</v>
      </c>
      <c r="D2817">
        <v>63</v>
      </c>
      <c r="E2817">
        <v>0</v>
      </c>
      <c r="H2817">
        <v>17</v>
      </c>
      <c r="I2817">
        <v>26</v>
      </c>
      <c r="J2817">
        <v>0</v>
      </c>
      <c r="M2817" t="s">
        <v>2935</v>
      </c>
    </row>
    <row r="2818" spans="1:13" ht="15" customHeight="1">
      <c r="A2818" s="10">
        <v>46198</v>
      </c>
      <c r="B2818" t="s">
        <v>1</v>
      </c>
      <c r="C2818" t="s">
        <v>54</v>
      </c>
      <c r="D2818">
        <v>0</v>
      </c>
      <c r="E2818">
        <v>0</v>
      </c>
      <c r="I2818">
        <v>0</v>
      </c>
      <c r="J2818">
        <v>0</v>
      </c>
      <c r="M2818" t="s">
        <v>2936</v>
      </c>
    </row>
    <row r="2819" spans="1:13" ht="15" customHeight="1">
      <c r="A2819" s="10">
        <v>46198</v>
      </c>
      <c r="B2819" t="s">
        <v>1</v>
      </c>
      <c r="C2819" t="s">
        <v>237</v>
      </c>
      <c r="D2819">
        <v>9</v>
      </c>
      <c r="E2819">
        <v>0</v>
      </c>
      <c r="H2819">
        <v>1</v>
      </c>
      <c r="I2819">
        <v>8</v>
      </c>
      <c r="J2819">
        <v>0</v>
      </c>
      <c r="M2819" t="s">
        <v>2937</v>
      </c>
    </row>
    <row r="2820" spans="1:13" ht="15" customHeight="1">
      <c r="A2820" s="10">
        <v>46198</v>
      </c>
      <c r="B2820" t="s">
        <v>1</v>
      </c>
      <c r="C2820" s="135" t="s">
        <v>58</v>
      </c>
      <c r="D2820">
        <v>6</v>
      </c>
      <c r="E2820">
        <v>0</v>
      </c>
      <c r="F2820">
        <v>5</v>
      </c>
      <c r="I2820">
        <v>11</v>
      </c>
      <c r="J2820">
        <v>0</v>
      </c>
      <c r="M2820" t="s">
        <v>2938</v>
      </c>
    </row>
    <row r="2821" spans="1:13" ht="15" customHeight="1">
      <c r="A2821" s="10">
        <v>46198</v>
      </c>
      <c r="B2821" t="s">
        <v>1</v>
      </c>
      <c r="C2821" s="135" t="s">
        <v>60</v>
      </c>
      <c r="D2821">
        <v>9</v>
      </c>
      <c r="E2821">
        <v>0</v>
      </c>
      <c r="F2821">
        <v>5</v>
      </c>
      <c r="I2821">
        <v>14</v>
      </c>
      <c r="J2821">
        <v>0</v>
      </c>
      <c r="M2821" t="s">
        <v>2939</v>
      </c>
    </row>
    <row r="2822" spans="1:13" ht="15" customHeight="1">
      <c r="A2822" s="10">
        <v>46198</v>
      </c>
      <c r="B2822" t="s">
        <v>1</v>
      </c>
      <c r="C2822" s="135" t="s">
        <v>61</v>
      </c>
      <c r="D2822">
        <v>11</v>
      </c>
      <c r="E2822">
        <v>0</v>
      </c>
      <c r="H2822">
        <v>1</v>
      </c>
      <c r="I2822">
        <v>10</v>
      </c>
      <c r="J2822">
        <v>0</v>
      </c>
      <c r="M2822" t="s">
        <v>2940</v>
      </c>
    </row>
    <row r="2823" spans="1:13" ht="15" customHeight="1">
      <c r="A2823" s="10">
        <v>46198</v>
      </c>
      <c r="B2823" t="s">
        <v>1</v>
      </c>
      <c r="C2823" s="135" t="s">
        <v>62</v>
      </c>
      <c r="D2823">
        <v>8</v>
      </c>
      <c r="E2823">
        <v>0</v>
      </c>
      <c r="F2823">
        <v>3</v>
      </c>
      <c r="I2823">
        <v>8</v>
      </c>
      <c r="J2823">
        <v>0</v>
      </c>
      <c r="K2823">
        <v>3</v>
      </c>
      <c r="M2823" t="s">
        <v>2941</v>
      </c>
    </row>
    <row r="2824" spans="1:13" ht="15" customHeight="1">
      <c r="A2824" s="10">
        <v>46198</v>
      </c>
      <c r="B2824" t="s">
        <v>1</v>
      </c>
      <c r="C2824" s="135" t="s">
        <v>63</v>
      </c>
      <c r="D2824">
        <v>6</v>
      </c>
      <c r="E2824">
        <v>0</v>
      </c>
      <c r="F2824">
        <v>3</v>
      </c>
      <c r="H2824">
        <v>1</v>
      </c>
      <c r="I2824">
        <v>7</v>
      </c>
      <c r="J2824">
        <v>0</v>
      </c>
      <c r="K2824">
        <v>1</v>
      </c>
      <c r="M2824" t="s">
        <v>2942</v>
      </c>
    </row>
    <row r="2825" spans="1:13" ht="15" customHeight="1">
      <c r="A2825" s="10">
        <v>46198</v>
      </c>
      <c r="B2825" t="s">
        <v>1</v>
      </c>
      <c r="C2825" s="135" t="s">
        <v>64</v>
      </c>
      <c r="D2825">
        <v>4</v>
      </c>
      <c r="E2825">
        <v>0</v>
      </c>
      <c r="F2825">
        <v>3</v>
      </c>
      <c r="H2825">
        <v>1</v>
      </c>
      <c r="I2825">
        <v>6</v>
      </c>
      <c r="J2825">
        <v>0</v>
      </c>
      <c r="M2825" t="s">
        <v>2943</v>
      </c>
    </row>
    <row r="2826" spans="1:13" ht="15" customHeight="1">
      <c r="A2826" s="10">
        <v>46198</v>
      </c>
      <c r="B2826" t="s">
        <v>1</v>
      </c>
      <c r="C2826" t="s">
        <v>66</v>
      </c>
      <c r="D2826">
        <v>2</v>
      </c>
      <c r="E2826">
        <v>0</v>
      </c>
      <c r="F2826">
        <v>2</v>
      </c>
      <c r="I2826">
        <v>4</v>
      </c>
      <c r="J2826">
        <v>0</v>
      </c>
      <c r="M2826" t="s">
        <v>2944</v>
      </c>
    </row>
    <row r="2827" spans="1:13" ht="15" customHeight="1">
      <c r="A2827" s="10">
        <v>46198</v>
      </c>
      <c r="B2827" t="s">
        <v>1</v>
      </c>
      <c r="C2827" t="s">
        <v>67</v>
      </c>
      <c r="D2827">
        <v>5</v>
      </c>
      <c r="E2827">
        <v>0</v>
      </c>
      <c r="I2827">
        <v>5</v>
      </c>
      <c r="J2827">
        <v>0</v>
      </c>
      <c r="M2827" t="s">
        <v>2945</v>
      </c>
    </row>
    <row r="2828" spans="1:13" ht="15" customHeight="1">
      <c r="A2828" s="10">
        <v>46198</v>
      </c>
      <c r="B2828" t="s">
        <v>1</v>
      </c>
      <c r="C2828" t="s">
        <v>68</v>
      </c>
      <c r="D2828">
        <v>0</v>
      </c>
      <c r="E2828">
        <v>0</v>
      </c>
      <c r="I2828">
        <v>0</v>
      </c>
      <c r="J2828">
        <v>0</v>
      </c>
      <c r="M2828" t="s">
        <v>2946</v>
      </c>
    </row>
    <row r="2829" spans="1:13" ht="15" customHeight="1">
      <c r="A2829" s="10">
        <v>46198</v>
      </c>
      <c r="B2829" t="s">
        <v>1</v>
      </c>
      <c r="C2829" t="s">
        <v>71</v>
      </c>
      <c r="D2829">
        <v>1</v>
      </c>
      <c r="E2829">
        <v>284</v>
      </c>
      <c r="I2829">
        <v>1</v>
      </c>
      <c r="J2829">
        <v>239</v>
      </c>
      <c r="M2829" t="s">
        <v>2947</v>
      </c>
    </row>
    <row r="2830" spans="1:13" ht="15" customHeight="1">
      <c r="A2830" s="10">
        <v>46198</v>
      </c>
      <c r="B2830" t="s">
        <v>1</v>
      </c>
      <c r="C2830" t="s">
        <v>73</v>
      </c>
      <c r="D2830">
        <v>2</v>
      </c>
      <c r="E2830">
        <v>423</v>
      </c>
      <c r="I2830">
        <v>2</v>
      </c>
      <c r="J2830">
        <v>349</v>
      </c>
      <c r="M2830" t="s">
        <v>2948</v>
      </c>
    </row>
    <row r="2831" spans="1:13" ht="15" customHeight="1">
      <c r="A2831" s="10">
        <v>46198</v>
      </c>
      <c r="B2831" t="s">
        <v>1</v>
      </c>
      <c r="C2831" t="s">
        <v>75</v>
      </c>
      <c r="D2831">
        <v>0</v>
      </c>
      <c r="E2831">
        <v>230</v>
      </c>
      <c r="F2831">
        <v>1</v>
      </c>
      <c r="I2831">
        <v>1</v>
      </c>
      <c r="J2831">
        <v>224</v>
      </c>
      <c r="M2831" t="s">
        <v>2949</v>
      </c>
    </row>
    <row r="2832" spans="1:13" ht="15" customHeight="1">
      <c r="A2832" s="10">
        <v>46198</v>
      </c>
      <c r="B2832" t="s">
        <v>1</v>
      </c>
      <c r="C2832" t="s">
        <v>77</v>
      </c>
      <c r="D2832">
        <v>0</v>
      </c>
      <c r="E2832">
        <v>815</v>
      </c>
      <c r="I2832">
        <v>0</v>
      </c>
      <c r="J2832">
        <v>815</v>
      </c>
      <c r="M2832" t="s">
        <v>2950</v>
      </c>
    </row>
    <row r="2833" spans="1:13" ht="15" customHeight="1">
      <c r="A2833" s="10">
        <v>46198</v>
      </c>
      <c r="B2833" t="s">
        <v>1</v>
      </c>
      <c r="C2833" t="s">
        <v>79</v>
      </c>
      <c r="D2833">
        <v>1</v>
      </c>
      <c r="E2833">
        <v>404</v>
      </c>
      <c r="I2833">
        <v>1</v>
      </c>
      <c r="J2833">
        <v>206</v>
      </c>
      <c r="M2833" t="s">
        <v>2951</v>
      </c>
    </row>
    <row r="2834" spans="1:13" ht="15" customHeight="1">
      <c r="A2834" s="10">
        <v>46198</v>
      </c>
      <c r="B2834" t="s">
        <v>1</v>
      </c>
      <c r="C2834" t="s">
        <v>81</v>
      </c>
      <c r="D2834">
        <v>0</v>
      </c>
      <c r="E2834">
        <v>173</v>
      </c>
      <c r="F2834">
        <v>1</v>
      </c>
      <c r="I2834">
        <v>1</v>
      </c>
      <c r="J2834">
        <v>173</v>
      </c>
      <c r="M2834" t="s">
        <v>2952</v>
      </c>
    </row>
    <row r="2835" spans="1:13" ht="15" customHeight="1">
      <c r="A2835" s="10">
        <v>46198</v>
      </c>
      <c r="B2835" t="s">
        <v>1</v>
      </c>
      <c r="C2835" t="s">
        <v>83</v>
      </c>
      <c r="D2835">
        <v>1</v>
      </c>
      <c r="E2835">
        <v>90</v>
      </c>
      <c r="I2835">
        <v>1</v>
      </c>
      <c r="J2835">
        <v>90</v>
      </c>
      <c r="M2835" t="s">
        <v>2953</v>
      </c>
    </row>
    <row r="2836" spans="1:13" ht="15" customHeight="1">
      <c r="A2836" s="10">
        <v>46198</v>
      </c>
      <c r="B2836" t="s">
        <v>1</v>
      </c>
      <c r="C2836" t="s">
        <v>84</v>
      </c>
      <c r="D2836">
        <v>1</v>
      </c>
      <c r="E2836">
        <v>90</v>
      </c>
      <c r="I2836">
        <v>1</v>
      </c>
      <c r="J2836">
        <v>90</v>
      </c>
      <c r="M2836" t="s">
        <v>2954</v>
      </c>
    </row>
    <row r="2837" spans="1:13" ht="15" customHeight="1">
      <c r="A2837" s="10">
        <v>46198</v>
      </c>
      <c r="B2837" t="s">
        <v>1</v>
      </c>
      <c r="C2837" t="s">
        <v>85</v>
      </c>
      <c r="D2837">
        <v>0</v>
      </c>
      <c r="E2837">
        <v>150</v>
      </c>
      <c r="I2837">
        <v>0</v>
      </c>
      <c r="J2837">
        <v>150</v>
      </c>
      <c r="M2837" t="s">
        <v>2955</v>
      </c>
    </row>
    <row r="2838" spans="1:13" ht="15" customHeight="1">
      <c r="A2838" s="10">
        <v>46198</v>
      </c>
      <c r="B2838" t="s">
        <v>1</v>
      </c>
      <c r="C2838" t="s">
        <v>87</v>
      </c>
      <c r="D2838">
        <v>1</v>
      </c>
      <c r="E2838">
        <v>408</v>
      </c>
      <c r="I2838">
        <v>1</v>
      </c>
      <c r="J2838">
        <v>366</v>
      </c>
      <c r="M2838" t="s">
        <v>2956</v>
      </c>
    </row>
    <row r="2839" spans="1:13" ht="15" customHeight="1">
      <c r="A2839" s="10">
        <v>46198</v>
      </c>
      <c r="B2839" t="s">
        <v>1</v>
      </c>
      <c r="C2839" t="s">
        <v>88</v>
      </c>
      <c r="D2839">
        <v>1</v>
      </c>
      <c r="E2839">
        <v>227</v>
      </c>
      <c r="I2839">
        <v>1</v>
      </c>
      <c r="J2839">
        <v>225</v>
      </c>
      <c r="M2839" t="s">
        <v>2957</v>
      </c>
    </row>
    <row r="2840" spans="1:13" ht="15" customHeight="1">
      <c r="A2840" s="10">
        <v>46198</v>
      </c>
      <c r="B2840" t="s">
        <v>1</v>
      </c>
      <c r="C2840" t="s">
        <v>89</v>
      </c>
      <c r="D2840">
        <v>1</v>
      </c>
      <c r="E2840">
        <v>111</v>
      </c>
      <c r="I2840">
        <v>1</v>
      </c>
      <c r="J2840">
        <v>109</v>
      </c>
      <c r="M2840" t="s">
        <v>2958</v>
      </c>
    </row>
    <row r="2841" spans="1:13" ht="15" customHeight="1">
      <c r="A2841" s="10">
        <v>46198</v>
      </c>
      <c r="B2841" t="s">
        <v>1</v>
      </c>
      <c r="C2841" t="s">
        <v>90</v>
      </c>
      <c r="D2841">
        <v>1</v>
      </c>
      <c r="E2841">
        <v>671</v>
      </c>
      <c r="I2841">
        <v>1</v>
      </c>
      <c r="J2841">
        <v>671</v>
      </c>
      <c r="M2841" t="s">
        <v>2959</v>
      </c>
    </row>
    <row r="2842" spans="1:13" ht="15" customHeight="1">
      <c r="A2842" s="10">
        <v>46198</v>
      </c>
      <c r="B2842" t="s">
        <v>1</v>
      </c>
      <c r="C2842" t="s">
        <v>92</v>
      </c>
      <c r="D2842">
        <v>1</v>
      </c>
      <c r="E2842">
        <v>700</v>
      </c>
      <c r="I2842">
        <v>1</v>
      </c>
      <c r="J2842">
        <v>700</v>
      </c>
      <c r="M2842" t="s">
        <v>2960</v>
      </c>
    </row>
    <row r="2843" spans="1:13" ht="15" customHeight="1">
      <c r="A2843" s="10">
        <v>46198</v>
      </c>
      <c r="B2843" t="s">
        <v>1</v>
      </c>
      <c r="C2843" t="s">
        <v>94</v>
      </c>
      <c r="D2843">
        <v>1</v>
      </c>
      <c r="E2843">
        <v>96</v>
      </c>
      <c r="F2843">
        <v>2</v>
      </c>
      <c r="I2843">
        <v>2</v>
      </c>
      <c r="J2843">
        <v>232</v>
      </c>
      <c r="M2843" t="s">
        <v>2961</v>
      </c>
    </row>
    <row r="2844" spans="1:13" ht="15" customHeight="1">
      <c r="A2844" s="10">
        <v>46198</v>
      </c>
      <c r="B2844" t="s">
        <v>1</v>
      </c>
      <c r="C2844" t="s">
        <v>96</v>
      </c>
      <c r="D2844">
        <v>0</v>
      </c>
      <c r="E2844">
        <v>0</v>
      </c>
      <c r="I2844">
        <v>0</v>
      </c>
      <c r="J2844">
        <v>0</v>
      </c>
      <c r="M2844" t="s">
        <v>2962</v>
      </c>
    </row>
    <row r="2845" spans="1:13" ht="15" customHeight="1">
      <c r="A2845" s="10">
        <v>46198</v>
      </c>
      <c r="B2845" t="s">
        <v>1</v>
      </c>
      <c r="C2845" t="s">
        <v>98</v>
      </c>
      <c r="D2845">
        <v>0</v>
      </c>
      <c r="E2845">
        <v>251</v>
      </c>
      <c r="I2845">
        <v>0</v>
      </c>
      <c r="J2845">
        <v>251</v>
      </c>
      <c r="M2845" t="s">
        <v>2963</v>
      </c>
    </row>
    <row r="2846" spans="1:13" ht="15" customHeight="1">
      <c r="A2846" s="10">
        <v>46198</v>
      </c>
      <c r="B2846" t="s">
        <v>1</v>
      </c>
      <c r="C2846" t="s">
        <v>203</v>
      </c>
      <c r="D2846">
        <v>0</v>
      </c>
      <c r="E2846">
        <v>0</v>
      </c>
      <c r="F2846">
        <v>1</v>
      </c>
      <c r="I2846">
        <v>1</v>
      </c>
      <c r="J2846">
        <v>0</v>
      </c>
      <c r="M2846" t="s">
        <v>2964</v>
      </c>
    </row>
    <row r="2847" spans="1:13" ht="15" customHeight="1">
      <c r="A2847" s="10">
        <v>46198</v>
      </c>
      <c r="B2847" t="s">
        <v>1</v>
      </c>
      <c r="C2847" t="s">
        <v>100</v>
      </c>
      <c r="D2847">
        <v>0</v>
      </c>
      <c r="E2847">
        <v>0</v>
      </c>
      <c r="I2847">
        <v>0</v>
      </c>
      <c r="J2847">
        <v>0</v>
      </c>
      <c r="M2847" t="s">
        <v>2965</v>
      </c>
    </row>
    <row r="2848" spans="1:13" ht="15" customHeight="1">
      <c r="A2848" s="10">
        <v>46198</v>
      </c>
      <c r="B2848" t="s">
        <v>1</v>
      </c>
      <c r="C2848" t="s">
        <v>101</v>
      </c>
      <c r="D2848">
        <v>0</v>
      </c>
      <c r="E2848">
        <v>0</v>
      </c>
      <c r="I2848">
        <v>0</v>
      </c>
      <c r="J2848">
        <v>0</v>
      </c>
      <c r="M2848" t="s">
        <v>2966</v>
      </c>
    </row>
    <row r="2849" spans="1:13" ht="15" customHeight="1">
      <c r="A2849" s="10">
        <v>46198</v>
      </c>
      <c r="B2849" t="s">
        <v>1</v>
      </c>
      <c r="C2849" t="s">
        <v>103</v>
      </c>
      <c r="D2849">
        <v>0</v>
      </c>
      <c r="E2849">
        <v>4</v>
      </c>
      <c r="G2849">
        <v>5</v>
      </c>
      <c r="I2849">
        <v>0</v>
      </c>
      <c r="J2849">
        <v>7</v>
      </c>
      <c r="M2849" t="s">
        <v>2967</v>
      </c>
    </row>
    <row r="2850" spans="1:13" ht="15" customHeight="1">
      <c r="A2850" s="10">
        <v>46198</v>
      </c>
      <c r="B2850" t="s">
        <v>1</v>
      </c>
      <c r="C2850" t="s">
        <v>106</v>
      </c>
      <c r="D2850">
        <v>1</v>
      </c>
      <c r="E2850">
        <v>281</v>
      </c>
      <c r="I2850">
        <v>1</v>
      </c>
      <c r="J2850">
        <v>230</v>
      </c>
      <c r="M2850" t="s">
        <v>2968</v>
      </c>
    </row>
    <row r="2851" spans="1:13" ht="15" customHeight="1">
      <c r="A2851" s="10">
        <v>46198</v>
      </c>
      <c r="B2851" t="s">
        <v>1</v>
      </c>
      <c r="C2851" t="s">
        <v>108</v>
      </c>
      <c r="D2851">
        <v>1</v>
      </c>
      <c r="E2851">
        <v>502</v>
      </c>
      <c r="I2851">
        <v>1</v>
      </c>
      <c r="J2851">
        <v>460</v>
      </c>
      <c r="M2851" t="s">
        <v>2969</v>
      </c>
    </row>
    <row r="2852" spans="1:13" ht="15" customHeight="1">
      <c r="A2852" s="10">
        <v>46198</v>
      </c>
      <c r="B2852" t="s">
        <v>1</v>
      </c>
      <c r="C2852" t="s">
        <v>109</v>
      </c>
      <c r="D2852">
        <v>1</v>
      </c>
      <c r="E2852">
        <v>511</v>
      </c>
      <c r="I2852">
        <v>1</v>
      </c>
      <c r="J2852">
        <v>334</v>
      </c>
      <c r="M2852" t="s">
        <v>2970</v>
      </c>
    </row>
    <row r="2853" spans="1:13" ht="15" customHeight="1">
      <c r="A2853" s="10">
        <v>46198</v>
      </c>
      <c r="B2853" t="s">
        <v>1</v>
      </c>
      <c r="C2853" t="s">
        <v>112</v>
      </c>
      <c r="D2853">
        <v>1</v>
      </c>
      <c r="E2853">
        <v>36</v>
      </c>
      <c r="I2853">
        <v>1</v>
      </c>
      <c r="J2853">
        <v>33</v>
      </c>
      <c r="M2853" t="s">
        <v>2971</v>
      </c>
    </row>
    <row r="2854" spans="1:13" ht="15" customHeight="1">
      <c r="A2854" s="10">
        <v>46198</v>
      </c>
      <c r="B2854" t="s">
        <v>1</v>
      </c>
      <c r="C2854" t="s">
        <v>114</v>
      </c>
      <c r="D2854">
        <v>2</v>
      </c>
      <c r="E2854">
        <v>0</v>
      </c>
      <c r="I2854">
        <v>1</v>
      </c>
      <c r="J2854">
        <v>49</v>
      </c>
      <c r="M2854" t="s">
        <v>2972</v>
      </c>
    </row>
    <row r="2855" spans="1:13" ht="15" customHeight="1">
      <c r="A2855" s="10">
        <v>46198</v>
      </c>
      <c r="B2855" t="s">
        <v>1</v>
      </c>
      <c r="C2855" t="s">
        <v>115</v>
      </c>
      <c r="D2855">
        <v>0</v>
      </c>
      <c r="E2855">
        <v>35</v>
      </c>
      <c r="F2855">
        <v>1</v>
      </c>
      <c r="I2855">
        <v>1</v>
      </c>
      <c r="J2855">
        <v>30</v>
      </c>
      <c r="M2855" t="s">
        <v>2973</v>
      </c>
    </row>
    <row r="2856" spans="1:13" ht="15" customHeight="1">
      <c r="A2856" s="10">
        <v>46198</v>
      </c>
      <c r="B2856" t="s">
        <v>1</v>
      </c>
      <c r="C2856" t="s">
        <v>116</v>
      </c>
      <c r="D2856">
        <v>1</v>
      </c>
      <c r="E2856">
        <v>19</v>
      </c>
      <c r="F2856">
        <v>1</v>
      </c>
      <c r="I2856">
        <v>1</v>
      </c>
      <c r="J2856">
        <v>49</v>
      </c>
      <c r="M2856" t="s">
        <v>2974</v>
      </c>
    </row>
    <row r="2857" spans="1:13" ht="15" customHeight="1">
      <c r="A2857" s="10">
        <v>46198</v>
      </c>
      <c r="B2857" t="s">
        <v>1</v>
      </c>
      <c r="C2857" t="s">
        <v>119</v>
      </c>
      <c r="D2857">
        <v>1</v>
      </c>
      <c r="E2857">
        <v>0</v>
      </c>
      <c r="I2857">
        <v>1</v>
      </c>
      <c r="M2857" t="s">
        <v>2975</v>
      </c>
    </row>
    <row r="2858" spans="1:13" ht="15" customHeight="1">
      <c r="A2858" s="10">
        <v>46198</v>
      </c>
      <c r="B2858" t="s">
        <v>1</v>
      </c>
      <c r="C2858" t="s">
        <v>120</v>
      </c>
      <c r="D2858">
        <v>2</v>
      </c>
      <c r="E2858">
        <v>0</v>
      </c>
      <c r="I2858">
        <v>2</v>
      </c>
      <c r="M2858" t="s">
        <v>2976</v>
      </c>
    </row>
    <row r="2859" spans="1:13" ht="15" customHeight="1">
      <c r="A2859" s="10">
        <v>46198</v>
      </c>
      <c r="B2859" t="s">
        <v>1</v>
      </c>
      <c r="C2859" t="s">
        <v>121</v>
      </c>
      <c r="D2859">
        <v>3</v>
      </c>
      <c r="E2859">
        <v>0</v>
      </c>
      <c r="I2859">
        <v>3</v>
      </c>
      <c r="M2859" t="s">
        <v>2977</v>
      </c>
    </row>
    <row r="2860" spans="1:13" ht="15" customHeight="1">
      <c r="A2860" s="10">
        <v>46198</v>
      </c>
      <c r="B2860" t="s">
        <v>1</v>
      </c>
      <c r="C2860" t="s">
        <v>123</v>
      </c>
      <c r="D2860">
        <v>1</v>
      </c>
      <c r="E2860">
        <v>0</v>
      </c>
      <c r="F2860">
        <v>1</v>
      </c>
      <c r="I2860">
        <v>2</v>
      </c>
      <c r="M2860" t="s">
        <v>2978</v>
      </c>
    </row>
    <row r="2861" spans="1:13" ht="15" customHeight="1">
      <c r="A2861" s="10">
        <v>46198</v>
      </c>
      <c r="B2861" t="s">
        <v>1</v>
      </c>
      <c r="C2861" t="s">
        <v>124</v>
      </c>
      <c r="D2861">
        <v>1</v>
      </c>
      <c r="E2861">
        <v>0</v>
      </c>
      <c r="I2861">
        <v>1</v>
      </c>
      <c r="M2861" t="s">
        <v>2979</v>
      </c>
    </row>
    <row r="2862" spans="1:13" ht="15" customHeight="1">
      <c r="A2862" s="10">
        <v>46198</v>
      </c>
      <c r="B2862" t="s">
        <v>1</v>
      </c>
      <c r="C2862" t="s">
        <v>125</v>
      </c>
      <c r="D2862">
        <v>1</v>
      </c>
      <c r="E2862">
        <v>0</v>
      </c>
      <c r="I2862">
        <v>1</v>
      </c>
      <c r="M2862" t="s">
        <v>2980</v>
      </c>
    </row>
    <row r="2863" spans="1:13" ht="15" customHeight="1">
      <c r="A2863" s="10">
        <v>46198</v>
      </c>
      <c r="B2863" t="s">
        <v>1</v>
      </c>
      <c r="C2863" t="s">
        <v>126</v>
      </c>
      <c r="D2863">
        <v>2</v>
      </c>
      <c r="E2863">
        <v>0</v>
      </c>
      <c r="I2863">
        <v>1</v>
      </c>
      <c r="M2863" t="s">
        <v>2981</v>
      </c>
    </row>
    <row r="2864" spans="1:13" ht="15" customHeight="1">
      <c r="A2864" s="10">
        <v>46198</v>
      </c>
      <c r="B2864" t="s">
        <v>1</v>
      </c>
      <c r="C2864" t="s">
        <v>128</v>
      </c>
      <c r="D2864">
        <v>3</v>
      </c>
      <c r="E2864">
        <v>0</v>
      </c>
      <c r="I2864">
        <v>3</v>
      </c>
      <c r="M2864" t="s">
        <v>2982</v>
      </c>
    </row>
    <row r="2865" spans="1:13" ht="15" customHeight="1">
      <c r="A2865" s="10">
        <v>46198</v>
      </c>
      <c r="B2865" t="s">
        <v>1</v>
      </c>
      <c r="C2865" t="s">
        <v>130</v>
      </c>
      <c r="D2865">
        <v>4</v>
      </c>
      <c r="E2865">
        <v>0</v>
      </c>
      <c r="I2865">
        <v>4</v>
      </c>
      <c r="M2865" t="s">
        <v>2983</v>
      </c>
    </row>
    <row r="2866" spans="1:13" ht="15" customHeight="1">
      <c r="A2866" s="10">
        <v>46198</v>
      </c>
      <c r="B2866" t="s">
        <v>1</v>
      </c>
      <c r="C2866" t="s">
        <v>285</v>
      </c>
      <c r="D2866">
        <v>2</v>
      </c>
      <c r="E2866">
        <v>0</v>
      </c>
      <c r="I2866">
        <v>2</v>
      </c>
      <c r="M2866" t="s">
        <v>2984</v>
      </c>
    </row>
    <row r="2867" spans="1:13" ht="15" customHeight="1">
      <c r="A2867" s="10">
        <v>46198</v>
      </c>
      <c r="B2867" t="s">
        <v>1</v>
      </c>
      <c r="C2867" t="s">
        <v>287</v>
      </c>
      <c r="D2867">
        <v>2</v>
      </c>
      <c r="E2867">
        <v>0</v>
      </c>
      <c r="I2867">
        <v>2</v>
      </c>
      <c r="M2867" t="s">
        <v>2985</v>
      </c>
    </row>
    <row r="2868" spans="1:13" ht="15" customHeight="1">
      <c r="A2868" s="10">
        <v>46198</v>
      </c>
      <c r="B2868" t="s">
        <v>1</v>
      </c>
      <c r="C2868" t="s">
        <v>289</v>
      </c>
      <c r="D2868">
        <v>2</v>
      </c>
      <c r="E2868">
        <v>0</v>
      </c>
      <c r="I2868">
        <v>2</v>
      </c>
      <c r="M2868" t="s">
        <v>2986</v>
      </c>
    </row>
    <row r="2869" spans="1:13" ht="15" customHeight="1">
      <c r="A2869" s="10">
        <v>46198</v>
      </c>
      <c r="B2869" t="s">
        <v>1</v>
      </c>
      <c r="C2869" t="s">
        <v>291</v>
      </c>
      <c r="D2869">
        <v>2</v>
      </c>
      <c r="E2869">
        <v>0</v>
      </c>
      <c r="I2869">
        <v>2</v>
      </c>
      <c r="M2869" t="s">
        <v>2987</v>
      </c>
    </row>
    <row r="2870" spans="1:13" ht="15" customHeight="1">
      <c r="A2870" s="10">
        <v>46198</v>
      </c>
      <c r="B2870" t="s">
        <v>1</v>
      </c>
      <c r="C2870" t="s">
        <v>293</v>
      </c>
      <c r="D2870">
        <v>4</v>
      </c>
      <c r="E2870">
        <v>0</v>
      </c>
      <c r="I2870">
        <v>4</v>
      </c>
      <c r="M2870" t="s">
        <v>2988</v>
      </c>
    </row>
    <row r="2871" spans="1:13" ht="15" customHeight="1">
      <c r="A2871" s="10">
        <v>46198</v>
      </c>
      <c r="B2871" t="s">
        <v>1</v>
      </c>
      <c r="C2871" s="135" t="s">
        <v>138</v>
      </c>
      <c r="D2871">
        <v>0</v>
      </c>
      <c r="E2871">
        <v>6</v>
      </c>
      <c r="G2871">
        <v>25</v>
      </c>
      <c r="I2871">
        <v>0</v>
      </c>
      <c r="J2871">
        <v>29</v>
      </c>
      <c r="M2871" t="s">
        <v>2989</v>
      </c>
    </row>
    <row r="2872" spans="1:13" ht="15" customHeight="1">
      <c r="A2872" s="10">
        <v>46198</v>
      </c>
      <c r="B2872" t="s">
        <v>1</v>
      </c>
      <c r="C2872" s="135" t="s">
        <v>139</v>
      </c>
      <c r="D2872">
        <v>0</v>
      </c>
      <c r="E2872">
        <v>37</v>
      </c>
      <c r="I2872">
        <v>0</v>
      </c>
      <c r="J2872">
        <v>35</v>
      </c>
      <c r="M2872" t="s">
        <v>2990</v>
      </c>
    </row>
    <row r="2873" spans="1:13" ht="15" customHeight="1">
      <c r="A2873" s="10">
        <v>46198</v>
      </c>
      <c r="B2873" t="s">
        <v>1</v>
      </c>
      <c r="C2873" s="135" t="s">
        <v>140</v>
      </c>
      <c r="D2873">
        <v>0</v>
      </c>
      <c r="E2873">
        <v>19</v>
      </c>
      <c r="I2873">
        <v>0</v>
      </c>
      <c r="J2873">
        <v>19</v>
      </c>
      <c r="M2873" t="s">
        <v>2991</v>
      </c>
    </row>
    <row r="2874" spans="1:13" ht="15" customHeight="1">
      <c r="A2874" s="10">
        <v>46198</v>
      </c>
      <c r="B2874" t="s">
        <v>1</v>
      </c>
      <c r="C2874" s="135" t="s">
        <v>141</v>
      </c>
      <c r="D2874">
        <v>0</v>
      </c>
      <c r="E2874">
        <v>0</v>
      </c>
      <c r="G2874">
        <v>2</v>
      </c>
      <c r="I2874">
        <v>0</v>
      </c>
      <c r="J2874">
        <v>1</v>
      </c>
      <c r="M2874" t="s">
        <v>2992</v>
      </c>
    </row>
    <row r="2875" spans="1:13" ht="15" customHeight="1">
      <c r="A2875" s="10">
        <v>46198</v>
      </c>
      <c r="B2875" t="s">
        <v>1</v>
      </c>
      <c r="C2875" s="135" t="s">
        <v>143</v>
      </c>
      <c r="D2875">
        <v>0</v>
      </c>
      <c r="E2875">
        <v>57</v>
      </c>
      <c r="I2875">
        <v>0</v>
      </c>
      <c r="J2875">
        <v>57</v>
      </c>
      <c r="M2875" t="s">
        <v>2993</v>
      </c>
    </row>
    <row r="2876" spans="1:13" ht="15" customHeight="1">
      <c r="A2876" s="10">
        <v>46198</v>
      </c>
      <c r="B2876" t="s">
        <v>1</v>
      </c>
      <c r="C2876" s="135" t="s">
        <v>145</v>
      </c>
      <c r="D2876">
        <v>0</v>
      </c>
      <c r="E2876">
        <v>44</v>
      </c>
      <c r="I2876">
        <v>0</v>
      </c>
      <c r="J2876">
        <v>44</v>
      </c>
      <c r="M2876" t="s">
        <v>2994</v>
      </c>
    </row>
    <row r="2877" spans="1:13" ht="15" customHeight="1">
      <c r="A2877" s="10">
        <v>46198</v>
      </c>
      <c r="B2877" t="s">
        <v>1</v>
      </c>
      <c r="C2877" s="135" t="s">
        <v>147</v>
      </c>
      <c r="D2877">
        <v>0</v>
      </c>
      <c r="E2877">
        <v>28</v>
      </c>
      <c r="I2877">
        <v>0</v>
      </c>
      <c r="J2877">
        <v>28</v>
      </c>
      <c r="M2877" t="s">
        <v>2995</v>
      </c>
    </row>
    <row r="2878" spans="1:13" ht="15" customHeight="1">
      <c r="A2878" s="10">
        <v>46198</v>
      </c>
      <c r="B2878" t="s">
        <v>1</v>
      </c>
      <c r="C2878" t="s">
        <v>302</v>
      </c>
      <c r="D2878">
        <v>2</v>
      </c>
      <c r="E2878">
        <v>0</v>
      </c>
      <c r="I2878">
        <v>2</v>
      </c>
      <c r="M2878" t="s">
        <v>2996</v>
      </c>
    </row>
    <row r="2879" spans="1:13" ht="15" customHeight="1">
      <c r="A2879" s="10">
        <v>46198</v>
      </c>
      <c r="B2879" t="s">
        <v>1</v>
      </c>
      <c r="C2879" t="s">
        <v>150</v>
      </c>
      <c r="D2879">
        <v>1</v>
      </c>
      <c r="E2879">
        <v>0</v>
      </c>
      <c r="F2879">
        <v>1</v>
      </c>
      <c r="I2879">
        <v>2</v>
      </c>
      <c r="M2879" t="s">
        <v>2997</v>
      </c>
    </row>
    <row r="2880" spans="1:13" ht="15" customHeight="1">
      <c r="A2880" s="10">
        <v>46198</v>
      </c>
      <c r="B2880" t="s">
        <v>1</v>
      </c>
      <c r="C2880" t="s">
        <v>151</v>
      </c>
      <c r="D2880">
        <v>1</v>
      </c>
      <c r="E2880">
        <v>0</v>
      </c>
      <c r="I2880">
        <v>1</v>
      </c>
      <c r="M2880" t="s">
        <v>2998</v>
      </c>
    </row>
    <row r="2881" spans="1:13" ht="15" customHeight="1">
      <c r="A2881" s="10">
        <v>46198</v>
      </c>
      <c r="B2881" t="s">
        <v>1</v>
      </c>
      <c r="C2881" t="s">
        <v>152</v>
      </c>
      <c r="D2881">
        <v>2</v>
      </c>
      <c r="E2881">
        <v>0</v>
      </c>
      <c r="I2881">
        <v>2</v>
      </c>
      <c r="M2881" t="s">
        <v>2999</v>
      </c>
    </row>
    <row r="2882" spans="1:13" ht="15" customHeight="1">
      <c r="A2882" s="10">
        <v>46198</v>
      </c>
      <c r="B2882" t="s">
        <v>1</v>
      </c>
      <c r="C2882" t="s">
        <v>153</v>
      </c>
      <c r="D2882">
        <v>2</v>
      </c>
      <c r="E2882">
        <v>0</v>
      </c>
      <c r="I2882">
        <v>2</v>
      </c>
      <c r="M2882" t="s">
        <v>3000</v>
      </c>
    </row>
    <row r="2883" spans="1:13" ht="15" customHeight="1">
      <c r="A2883" s="10">
        <v>46198</v>
      </c>
      <c r="B2883" t="s">
        <v>1</v>
      </c>
      <c r="C2883" t="s">
        <v>308</v>
      </c>
      <c r="D2883">
        <v>0</v>
      </c>
      <c r="E2883">
        <v>2</v>
      </c>
      <c r="G2883">
        <v>2</v>
      </c>
      <c r="I2883">
        <v>0</v>
      </c>
      <c r="J2883">
        <v>4</v>
      </c>
      <c r="M2883" t="s">
        <v>3001</v>
      </c>
    </row>
    <row r="2884" spans="1:13" ht="15" customHeight="1">
      <c r="A2884" s="10">
        <v>46198</v>
      </c>
      <c r="B2884" t="s">
        <v>1</v>
      </c>
      <c r="C2884" t="s">
        <v>310</v>
      </c>
      <c r="D2884">
        <v>0</v>
      </c>
      <c r="E2884">
        <v>2</v>
      </c>
      <c r="I2884">
        <v>0</v>
      </c>
      <c r="J2884">
        <v>2</v>
      </c>
      <c r="M2884" t="s">
        <v>3002</v>
      </c>
    </row>
    <row r="2885" spans="1:13" ht="15" customHeight="1">
      <c r="A2885" s="10">
        <v>46198</v>
      </c>
      <c r="B2885" t="s">
        <v>1</v>
      </c>
      <c r="C2885" t="s">
        <v>312</v>
      </c>
      <c r="D2885">
        <v>0</v>
      </c>
      <c r="E2885">
        <v>3</v>
      </c>
      <c r="I2885">
        <v>0</v>
      </c>
      <c r="J2885">
        <v>3</v>
      </c>
      <c r="M2885" t="s">
        <v>3003</v>
      </c>
    </row>
    <row r="2886" spans="1:13" ht="15" customHeight="1">
      <c r="A2886" s="10">
        <v>46198</v>
      </c>
      <c r="B2886" t="s">
        <v>1</v>
      </c>
      <c r="C2886" t="s">
        <v>314</v>
      </c>
      <c r="D2886">
        <v>1</v>
      </c>
      <c r="E2886">
        <v>0</v>
      </c>
      <c r="I2886">
        <v>1</v>
      </c>
      <c r="M2886" t="s">
        <v>3004</v>
      </c>
    </row>
    <row r="2887" spans="1:13" ht="15" customHeight="1">
      <c r="A2887" s="10">
        <v>46198</v>
      </c>
      <c r="B2887" t="s">
        <v>1</v>
      </c>
      <c r="C2887" t="s">
        <v>316</v>
      </c>
      <c r="D2887">
        <v>1</v>
      </c>
      <c r="E2887">
        <v>0</v>
      </c>
      <c r="I2887">
        <v>1</v>
      </c>
      <c r="M2887" t="s">
        <v>3005</v>
      </c>
    </row>
    <row r="2888" spans="1:13" ht="15" customHeight="1">
      <c r="A2888" s="10">
        <v>46198</v>
      </c>
      <c r="B2888" t="s">
        <v>1</v>
      </c>
      <c r="C2888" t="s">
        <v>318</v>
      </c>
      <c r="D2888">
        <v>1</v>
      </c>
      <c r="E2888">
        <v>0</v>
      </c>
      <c r="F2888">
        <v>2</v>
      </c>
      <c r="I2888">
        <v>3</v>
      </c>
      <c r="M2888" t="s">
        <v>3006</v>
      </c>
    </row>
    <row r="2889" spans="1:13" ht="15" customHeight="1">
      <c r="A2889" s="10">
        <v>46198</v>
      </c>
      <c r="B2889" t="s">
        <v>1</v>
      </c>
      <c r="C2889" t="s">
        <v>320</v>
      </c>
      <c r="D2889">
        <v>1</v>
      </c>
      <c r="E2889">
        <v>0</v>
      </c>
      <c r="I2889">
        <v>1</v>
      </c>
      <c r="M2889" t="s">
        <v>3007</v>
      </c>
    </row>
    <row r="2890" spans="1:13" ht="15" customHeight="1">
      <c r="A2890" s="10">
        <v>46198</v>
      </c>
      <c r="B2890" t="s">
        <v>1</v>
      </c>
      <c r="C2890" t="s">
        <v>322</v>
      </c>
      <c r="D2890">
        <v>0</v>
      </c>
      <c r="E2890">
        <v>0</v>
      </c>
      <c r="I2890">
        <v>0</v>
      </c>
      <c r="M2890" t="s">
        <v>3008</v>
      </c>
    </row>
    <row r="2891" spans="1:13" ht="15" customHeight="1">
      <c r="A2891" s="10">
        <v>46198</v>
      </c>
      <c r="B2891" t="s">
        <v>1</v>
      </c>
      <c r="C2891" s="135" t="s">
        <v>168</v>
      </c>
      <c r="D2891">
        <v>1</v>
      </c>
      <c r="E2891">
        <v>0</v>
      </c>
      <c r="I2891">
        <v>1</v>
      </c>
      <c r="M2891" t="s">
        <v>3009</v>
      </c>
    </row>
    <row r="2892" spans="1:13" ht="15" customHeight="1">
      <c r="A2892" s="10">
        <v>46198</v>
      </c>
      <c r="B2892" t="s">
        <v>1</v>
      </c>
      <c r="C2892" s="135" t="s">
        <v>170</v>
      </c>
      <c r="D2892">
        <v>1</v>
      </c>
      <c r="E2892">
        <v>0</v>
      </c>
      <c r="I2892">
        <v>1</v>
      </c>
      <c r="M2892" t="s">
        <v>3010</v>
      </c>
    </row>
    <row r="2893" spans="1:13" ht="15" customHeight="1">
      <c r="A2893" s="10">
        <v>46198</v>
      </c>
      <c r="B2893" t="s">
        <v>1</v>
      </c>
      <c r="C2893" s="135" t="s">
        <v>171</v>
      </c>
      <c r="D2893">
        <v>2</v>
      </c>
      <c r="E2893">
        <v>0</v>
      </c>
      <c r="I2893">
        <v>2</v>
      </c>
      <c r="M2893" t="s">
        <v>3011</v>
      </c>
    </row>
    <row r="2894" spans="1:13" ht="15" customHeight="1">
      <c r="A2894" s="10">
        <v>46198</v>
      </c>
      <c r="B2894" t="s">
        <v>1</v>
      </c>
      <c r="C2894" s="135" t="s">
        <v>172</v>
      </c>
      <c r="D2894">
        <v>1</v>
      </c>
      <c r="E2894">
        <v>0</v>
      </c>
      <c r="I2894">
        <v>1</v>
      </c>
      <c r="M2894" t="s">
        <v>3012</v>
      </c>
    </row>
    <row r="2895" spans="1:13" ht="15" customHeight="1">
      <c r="A2895" s="10">
        <v>46198</v>
      </c>
      <c r="B2895" t="s">
        <v>1</v>
      </c>
      <c r="C2895" s="135" t="s">
        <v>173</v>
      </c>
      <c r="D2895">
        <v>0</v>
      </c>
      <c r="E2895">
        <v>0</v>
      </c>
      <c r="I2895">
        <v>0</v>
      </c>
      <c r="M2895" t="s">
        <v>3013</v>
      </c>
    </row>
    <row r="2896" spans="1:13" ht="15" customHeight="1">
      <c r="A2896" s="10">
        <v>46198</v>
      </c>
      <c r="B2896" t="s">
        <v>1</v>
      </c>
      <c r="C2896" t="s">
        <v>176</v>
      </c>
      <c r="D2896">
        <v>0</v>
      </c>
      <c r="E2896">
        <v>15</v>
      </c>
      <c r="H2896">
        <v>1</v>
      </c>
      <c r="I2896">
        <v>0</v>
      </c>
      <c r="J2896">
        <v>14</v>
      </c>
      <c r="M2896" t="s">
        <v>3014</v>
      </c>
    </row>
    <row r="2897" spans="1:13" ht="15" customHeight="1">
      <c r="A2897" s="10">
        <v>46198</v>
      </c>
      <c r="B2897" t="s">
        <v>1</v>
      </c>
      <c r="C2897" t="s">
        <v>178</v>
      </c>
      <c r="D2897">
        <v>0</v>
      </c>
      <c r="E2897">
        <v>15</v>
      </c>
      <c r="H2897">
        <v>1</v>
      </c>
      <c r="I2897">
        <v>0</v>
      </c>
      <c r="J2897">
        <v>14</v>
      </c>
      <c r="M2897" t="s">
        <v>3015</v>
      </c>
    </row>
    <row r="2898" spans="1:13" ht="15" customHeight="1">
      <c r="A2898" s="10">
        <v>46198</v>
      </c>
      <c r="B2898" t="s">
        <v>1</v>
      </c>
      <c r="C2898" t="s">
        <v>179</v>
      </c>
      <c r="D2898">
        <v>0</v>
      </c>
      <c r="E2898">
        <v>10</v>
      </c>
      <c r="I2898">
        <v>0</v>
      </c>
      <c r="J2898">
        <v>10</v>
      </c>
      <c r="M2898" t="s">
        <v>3016</v>
      </c>
    </row>
    <row r="2899" spans="1:13" ht="15" customHeight="1">
      <c r="A2899" s="10">
        <v>46198</v>
      </c>
      <c r="B2899" t="s">
        <v>1</v>
      </c>
      <c r="C2899" t="s">
        <v>180</v>
      </c>
      <c r="D2899">
        <v>0</v>
      </c>
      <c r="E2899">
        <v>14</v>
      </c>
      <c r="H2899">
        <v>1</v>
      </c>
      <c r="I2899">
        <v>0</v>
      </c>
      <c r="J2899">
        <v>13</v>
      </c>
      <c r="M2899" t="s">
        <v>3017</v>
      </c>
    </row>
    <row r="2900" spans="1:13" ht="15" customHeight="1">
      <c r="A2900" s="10">
        <v>46198</v>
      </c>
      <c r="B2900" t="s">
        <v>1</v>
      </c>
      <c r="C2900" s="135" t="s">
        <v>182</v>
      </c>
      <c r="D2900">
        <v>1</v>
      </c>
      <c r="E2900">
        <v>231</v>
      </c>
      <c r="I2900">
        <v>1</v>
      </c>
      <c r="J2900">
        <v>231</v>
      </c>
      <c r="M2900" t="s">
        <v>3018</v>
      </c>
    </row>
    <row r="2901" spans="1:13" ht="15" customHeight="1">
      <c r="A2901" s="10">
        <v>46198</v>
      </c>
      <c r="B2901" t="s">
        <v>1</v>
      </c>
      <c r="C2901" s="135" t="s">
        <v>184</v>
      </c>
      <c r="D2901">
        <v>0</v>
      </c>
      <c r="E2901">
        <v>78</v>
      </c>
      <c r="I2901">
        <v>0</v>
      </c>
      <c r="J2901">
        <v>71</v>
      </c>
      <c r="M2901" t="s">
        <v>3019</v>
      </c>
    </row>
    <row r="2902" spans="1:13" ht="15" customHeight="1">
      <c r="A2902" s="10">
        <v>46198</v>
      </c>
      <c r="B2902" t="s">
        <v>1</v>
      </c>
      <c r="C2902" s="135" t="s">
        <v>185</v>
      </c>
      <c r="D2902">
        <v>1</v>
      </c>
      <c r="E2902">
        <v>44</v>
      </c>
      <c r="I2902">
        <v>1</v>
      </c>
      <c r="J2902">
        <v>44</v>
      </c>
      <c r="M2902" t="s">
        <v>3020</v>
      </c>
    </row>
    <row r="2903" spans="1:13" ht="15" customHeight="1">
      <c r="A2903" s="10">
        <v>46198</v>
      </c>
      <c r="B2903" t="s">
        <v>1</v>
      </c>
      <c r="C2903" s="135" t="s">
        <v>186</v>
      </c>
      <c r="D2903">
        <v>1</v>
      </c>
      <c r="E2903">
        <v>50</v>
      </c>
      <c r="I2903">
        <v>1</v>
      </c>
      <c r="J2903">
        <v>50</v>
      </c>
      <c r="M2903" t="s">
        <v>3021</v>
      </c>
    </row>
    <row r="2904" spans="1:13" ht="15" customHeight="1">
      <c r="A2904" s="10">
        <v>46198</v>
      </c>
      <c r="B2904" t="s">
        <v>1</v>
      </c>
      <c r="C2904" t="s">
        <v>337</v>
      </c>
      <c r="D2904">
        <v>1</v>
      </c>
      <c r="E2904">
        <v>259</v>
      </c>
      <c r="F2904">
        <v>1</v>
      </c>
      <c r="I2904">
        <v>2</v>
      </c>
      <c r="J2904">
        <v>213</v>
      </c>
      <c r="M2904" t="s">
        <v>3022</v>
      </c>
    </row>
    <row r="2905" spans="1:13" ht="15" customHeight="1">
      <c r="A2905" s="10">
        <v>46198</v>
      </c>
      <c r="B2905" t="s">
        <v>1</v>
      </c>
      <c r="C2905" t="s">
        <v>339</v>
      </c>
      <c r="D2905">
        <v>0</v>
      </c>
      <c r="E2905">
        <v>0</v>
      </c>
      <c r="I2905">
        <v>0</v>
      </c>
      <c r="J2905">
        <v>0</v>
      </c>
      <c r="M2905" t="s">
        <v>3023</v>
      </c>
    </row>
    <row r="2906" spans="1:13" ht="15" customHeight="1">
      <c r="A2906" s="10">
        <v>46198</v>
      </c>
      <c r="B2906" t="s">
        <v>1</v>
      </c>
      <c r="C2906" s="135" t="s">
        <v>191</v>
      </c>
      <c r="D2906">
        <v>1</v>
      </c>
      <c r="E2906">
        <v>195</v>
      </c>
      <c r="I2906">
        <v>1</v>
      </c>
      <c r="J2906">
        <v>195</v>
      </c>
      <c r="M2906" t="s">
        <v>3024</v>
      </c>
    </row>
    <row r="2907" spans="1:13" ht="15" customHeight="1">
      <c r="A2907" s="10">
        <v>46198</v>
      </c>
      <c r="B2907" t="s">
        <v>1</v>
      </c>
      <c r="C2907" s="135" t="s">
        <v>193</v>
      </c>
      <c r="D2907">
        <v>1</v>
      </c>
      <c r="E2907">
        <v>356</v>
      </c>
      <c r="I2907">
        <v>1</v>
      </c>
      <c r="J2907">
        <v>224</v>
      </c>
      <c r="M2907" t="s">
        <v>3025</v>
      </c>
    </row>
    <row r="2908" spans="1:13" ht="15" customHeight="1">
      <c r="A2908" s="10">
        <v>46198</v>
      </c>
      <c r="B2908" t="s">
        <v>1</v>
      </c>
      <c r="C2908" s="135" t="s">
        <v>194</v>
      </c>
      <c r="D2908">
        <v>1</v>
      </c>
      <c r="E2908">
        <v>14</v>
      </c>
      <c r="I2908">
        <v>1</v>
      </c>
      <c r="J2908">
        <v>14</v>
      </c>
      <c r="M2908" t="s">
        <v>3026</v>
      </c>
    </row>
    <row r="2909" spans="1:13" ht="15" customHeight="1">
      <c r="A2909" s="10">
        <v>46198</v>
      </c>
      <c r="B2909" t="s">
        <v>1</v>
      </c>
      <c r="C2909" s="135" t="s">
        <v>196</v>
      </c>
      <c r="D2909">
        <v>0</v>
      </c>
      <c r="E2909">
        <v>434</v>
      </c>
      <c r="I2909">
        <v>0</v>
      </c>
      <c r="J2909">
        <v>434</v>
      </c>
      <c r="M2909" t="s">
        <v>3027</v>
      </c>
    </row>
    <row r="2910" spans="1:13" ht="15" customHeight="1">
      <c r="A2910" s="10">
        <v>46199</v>
      </c>
      <c r="B2910" t="s">
        <v>1</v>
      </c>
      <c r="C2910" t="s">
        <v>23</v>
      </c>
      <c r="D2910">
        <v>4</v>
      </c>
      <c r="E2910">
        <v>686</v>
      </c>
      <c r="I2910">
        <v>2</v>
      </c>
      <c r="J2910">
        <v>1149</v>
      </c>
      <c r="M2910" t="s">
        <v>3028</v>
      </c>
    </row>
    <row r="2911" spans="1:13" ht="15" customHeight="1">
      <c r="A2911" s="10">
        <v>46199</v>
      </c>
      <c r="B2911" t="s">
        <v>1</v>
      </c>
      <c r="C2911" t="s">
        <v>26</v>
      </c>
      <c r="D2911">
        <v>2</v>
      </c>
      <c r="E2911">
        <v>311</v>
      </c>
      <c r="I2911">
        <v>2</v>
      </c>
      <c r="J2911">
        <v>300</v>
      </c>
      <c r="M2911" t="s">
        <v>3029</v>
      </c>
    </row>
    <row r="2912" spans="1:13" ht="15" customHeight="1">
      <c r="A2912" s="10">
        <v>46199</v>
      </c>
      <c r="B2912" t="s">
        <v>1</v>
      </c>
      <c r="C2912" t="s">
        <v>27</v>
      </c>
      <c r="D2912">
        <v>1</v>
      </c>
      <c r="E2912">
        <v>754</v>
      </c>
      <c r="I2912">
        <v>1</v>
      </c>
      <c r="J2912">
        <v>674</v>
      </c>
      <c r="M2912" t="s">
        <v>3030</v>
      </c>
    </row>
    <row r="2913" spans="1:13" ht="15" customHeight="1">
      <c r="A2913" s="10">
        <v>46199</v>
      </c>
      <c r="B2913" t="s">
        <v>1</v>
      </c>
      <c r="C2913" t="s">
        <v>28</v>
      </c>
      <c r="D2913">
        <v>0</v>
      </c>
      <c r="E2913">
        <v>0</v>
      </c>
      <c r="I2913">
        <v>0</v>
      </c>
      <c r="J2913">
        <v>0</v>
      </c>
      <c r="M2913" t="s">
        <v>3031</v>
      </c>
    </row>
    <row r="2914" spans="1:13" ht="15" customHeight="1">
      <c r="A2914" s="10">
        <v>46199</v>
      </c>
      <c r="B2914" t="s">
        <v>1</v>
      </c>
      <c r="C2914" t="s">
        <v>29</v>
      </c>
      <c r="D2914">
        <v>1</v>
      </c>
      <c r="E2914">
        <v>156</v>
      </c>
      <c r="I2914">
        <v>1</v>
      </c>
      <c r="J2914">
        <v>140</v>
      </c>
      <c r="M2914" t="s">
        <v>3032</v>
      </c>
    </row>
    <row r="2915" spans="1:13" ht="15" customHeight="1">
      <c r="A2915" s="10">
        <v>46199</v>
      </c>
      <c r="B2915" t="s">
        <v>1</v>
      </c>
      <c r="C2915" t="s">
        <v>30</v>
      </c>
      <c r="D2915">
        <v>1</v>
      </c>
      <c r="E2915">
        <v>140</v>
      </c>
      <c r="I2915">
        <v>1</v>
      </c>
      <c r="J2915">
        <v>140</v>
      </c>
      <c r="M2915" t="s">
        <v>3033</v>
      </c>
    </row>
    <row r="2916" spans="1:13" ht="15" customHeight="1">
      <c r="A2916" s="10">
        <v>46199</v>
      </c>
      <c r="B2916" t="s">
        <v>1</v>
      </c>
      <c r="C2916" t="s">
        <v>31</v>
      </c>
      <c r="D2916">
        <v>2</v>
      </c>
      <c r="E2916">
        <v>937</v>
      </c>
      <c r="I2916">
        <v>2</v>
      </c>
      <c r="J2916">
        <v>467</v>
      </c>
      <c r="M2916" t="s">
        <v>3034</v>
      </c>
    </row>
    <row r="2917" spans="1:13" ht="15" customHeight="1">
      <c r="A2917" s="10">
        <v>46199</v>
      </c>
      <c r="B2917" t="s">
        <v>1</v>
      </c>
      <c r="C2917" t="s">
        <v>32</v>
      </c>
      <c r="D2917">
        <v>1</v>
      </c>
      <c r="E2917">
        <v>320</v>
      </c>
      <c r="I2917">
        <v>1</v>
      </c>
      <c r="J2917">
        <v>139</v>
      </c>
      <c r="M2917" t="s">
        <v>3035</v>
      </c>
    </row>
    <row r="2918" spans="1:13" ht="15" customHeight="1">
      <c r="A2918" s="10">
        <v>46199</v>
      </c>
      <c r="B2918" t="s">
        <v>1</v>
      </c>
      <c r="C2918" t="s">
        <v>223</v>
      </c>
      <c r="D2918">
        <v>5</v>
      </c>
      <c r="E2918">
        <v>37</v>
      </c>
      <c r="I2918">
        <v>3</v>
      </c>
      <c r="J2918">
        <v>836</v>
      </c>
      <c r="M2918" t="s">
        <v>3036</v>
      </c>
    </row>
    <row r="2919" spans="1:13" ht="15" customHeight="1">
      <c r="A2919" s="10">
        <v>46199</v>
      </c>
      <c r="B2919" t="s">
        <v>1</v>
      </c>
      <c r="C2919" t="s">
        <v>35</v>
      </c>
      <c r="D2919">
        <v>8</v>
      </c>
      <c r="E2919">
        <v>0</v>
      </c>
      <c r="I2919">
        <v>8</v>
      </c>
      <c r="M2919" t="s">
        <v>3037</v>
      </c>
    </row>
    <row r="2920" spans="1:13" ht="15" customHeight="1">
      <c r="A2920" s="10">
        <v>46199</v>
      </c>
      <c r="B2920" t="s">
        <v>1</v>
      </c>
      <c r="C2920" t="s">
        <v>37</v>
      </c>
      <c r="D2920">
        <v>3</v>
      </c>
      <c r="E2920">
        <v>0</v>
      </c>
      <c r="I2920">
        <v>3</v>
      </c>
      <c r="M2920" t="s">
        <v>3038</v>
      </c>
    </row>
    <row r="2921" spans="1:13" ht="15" customHeight="1">
      <c r="A2921" s="10">
        <v>46199</v>
      </c>
      <c r="B2921" t="s">
        <v>1</v>
      </c>
      <c r="C2921" t="s">
        <v>39</v>
      </c>
      <c r="D2921">
        <v>12</v>
      </c>
      <c r="E2921">
        <v>0</v>
      </c>
      <c r="H2921">
        <v>3</v>
      </c>
      <c r="I2921">
        <v>9</v>
      </c>
      <c r="J2921">
        <v>0</v>
      </c>
      <c r="M2921" t="s">
        <v>3039</v>
      </c>
    </row>
    <row r="2922" spans="1:13" ht="15" customHeight="1">
      <c r="A2922" s="10">
        <v>46199</v>
      </c>
      <c r="B2922" t="s">
        <v>1</v>
      </c>
      <c r="C2922" t="s">
        <v>41</v>
      </c>
      <c r="D2922">
        <v>16</v>
      </c>
      <c r="E2922">
        <v>0</v>
      </c>
      <c r="I2922">
        <v>16</v>
      </c>
      <c r="J2922">
        <v>0</v>
      </c>
      <c r="M2922" t="s">
        <v>3040</v>
      </c>
    </row>
    <row r="2923" spans="1:13" ht="15" customHeight="1">
      <c r="A2923" s="10">
        <v>46199</v>
      </c>
      <c r="B2923" t="s">
        <v>1</v>
      </c>
      <c r="C2923" t="s">
        <v>232</v>
      </c>
      <c r="D2923">
        <v>0</v>
      </c>
      <c r="E2923">
        <v>0</v>
      </c>
      <c r="H2923">
        <v>0</v>
      </c>
      <c r="I2923">
        <v>0</v>
      </c>
      <c r="J2923">
        <v>0</v>
      </c>
      <c r="M2923" t="s">
        <v>3041</v>
      </c>
    </row>
    <row r="2924" spans="1:13" ht="15" customHeight="1">
      <c r="A2924" s="10">
        <v>46199</v>
      </c>
      <c r="B2924" t="s">
        <v>1</v>
      </c>
      <c r="C2924" t="s">
        <v>234</v>
      </c>
      <c r="D2924">
        <v>26</v>
      </c>
      <c r="E2924">
        <v>0</v>
      </c>
      <c r="H2924">
        <v>11</v>
      </c>
      <c r="I2924">
        <v>35</v>
      </c>
      <c r="J2924">
        <v>0</v>
      </c>
      <c r="M2924" t="s">
        <v>3042</v>
      </c>
    </row>
    <row r="2925" spans="1:13" ht="15" customHeight="1">
      <c r="A2925" s="10">
        <v>46199</v>
      </c>
      <c r="B2925" t="s">
        <v>1</v>
      </c>
      <c r="C2925" t="s">
        <v>54</v>
      </c>
      <c r="D2925">
        <v>0</v>
      </c>
      <c r="E2925">
        <v>0</v>
      </c>
      <c r="I2925">
        <v>0</v>
      </c>
      <c r="J2925">
        <v>0</v>
      </c>
      <c r="M2925" t="s">
        <v>3043</v>
      </c>
    </row>
    <row r="2926" spans="1:13" ht="15" customHeight="1">
      <c r="A2926" s="10">
        <v>46199</v>
      </c>
      <c r="B2926" t="s">
        <v>1</v>
      </c>
      <c r="C2926" t="s">
        <v>237</v>
      </c>
      <c r="D2926">
        <v>8</v>
      </c>
      <c r="E2926">
        <v>0</v>
      </c>
      <c r="I2926">
        <v>8</v>
      </c>
      <c r="J2926">
        <v>0</v>
      </c>
      <c r="M2926" t="s">
        <v>3044</v>
      </c>
    </row>
    <row r="2927" spans="1:13" ht="15" customHeight="1">
      <c r="A2927" s="10">
        <v>46199</v>
      </c>
      <c r="B2927" t="s">
        <v>1</v>
      </c>
      <c r="C2927" s="135" t="s">
        <v>58</v>
      </c>
      <c r="D2927">
        <v>11</v>
      </c>
      <c r="E2927">
        <v>0</v>
      </c>
      <c r="H2927">
        <v>1</v>
      </c>
      <c r="I2927">
        <v>10</v>
      </c>
      <c r="J2927">
        <v>0</v>
      </c>
      <c r="M2927" t="s">
        <v>3045</v>
      </c>
    </row>
    <row r="2928" spans="1:13" ht="15" customHeight="1">
      <c r="A2928" s="10">
        <v>46199</v>
      </c>
      <c r="B2928" t="s">
        <v>1</v>
      </c>
      <c r="C2928" s="135" t="s">
        <v>60</v>
      </c>
      <c r="D2928">
        <v>14</v>
      </c>
      <c r="E2928">
        <v>0</v>
      </c>
      <c r="H2928">
        <v>2</v>
      </c>
      <c r="I2928">
        <v>12</v>
      </c>
      <c r="J2928">
        <v>0</v>
      </c>
      <c r="M2928" t="s">
        <v>3046</v>
      </c>
    </row>
    <row r="2929" spans="1:13" ht="15" customHeight="1">
      <c r="A2929" s="10">
        <v>46199</v>
      </c>
      <c r="B2929" t="s">
        <v>1</v>
      </c>
      <c r="C2929" s="135" t="s">
        <v>61</v>
      </c>
      <c r="D2929">
        <v>10</v>
      </c>
      <c r="E2929">
        <v>0</v>
      </c>
      <c r="H2929">
        <v>1</v>
      </c>
      <c r="I2929">
        <v>9</v>
      </c>
      <c r="J2929">
        <v>0</v>
      </c>
      <c r="M2929" t="s">
        <v>3047</v>
      </c>
    </row>
    <row r="2930" spans="1:13" ht="15" customHeight="1">
      <c r="A2930" s="10">
        <v>46199</v>
      </c>
      <c r="B2930" t="s">
        <v>1</v>
      </c>
      <c r="C2930" s="135" t="s">
        <v>62</v>
      </c>
      <c r="D2930">
        <v>8</v>
      </c>
      <c r="E2930">
        <v>0</v>
      </c>
      <c r="I2930">
        <v>8</v>
      </c>
      <c r="J2930">
        <v>0</v>
      </c>
      <c r="M2930" t="s">
        <v>3048</v>
      </c>
    </row>
    <row r="2931" spans="1:13" ht="15" customHeight="1">
      <c r="A2931" s="10">
        <v>46199</v>
      </c>
      <c r="B2931" t="s">
        <v>1</v>
      </c>
      <c r="C2931" s="135" t="s">
        <v>63</v>
      </c>
      <c r="D2931">
        <v>7</v>
      </c>
      <c r="E2931">
        <v>0</v>
      </c>
      <c r="I2931">
        <v>7</v>
      </c>
      <c r="J2931">
        <v>0</v>
      </c>
      <c r="M2931" t="s">
        <v>3049</v>
      </c>
    </row>
    <row r="2932" spans="1:13" ht="15" customHeight="1">
      <c r="A2932" s="10">
        <v>46199</v>
      </c>
      <c r="B2932" t="s">
        <v>1</v>
      </c>
      <c r="C2932" s="135" t="s">
        <v>64</v>
      </c>
      <c r="D2932">
        <v>6</v>
      </c>
      <c r="E2932">
        <v>0</v>
      </c>
      <c r="H2932">
        <v>1</v>
      </c>
      <c r="I2932">
        <v>5</v>
      </c>
      <c r="J2932">
        <v>0</v>
      </c>
      <c r="M2932" t="s">
        <v>3050</v>
      </c>
    </row>
    <row r="2933" spans="1:13" ht="15" customHeight="1">
      <c r="A2933" s="10">
        <v>46199</v>
      </c>
      <c r="B2933" t="s">
        <v>1</v>
      </c>
      <c r="C2933" t="s">
        <v>66</v>
      </c>
      <c r="D2933">
        <v>4</v>
      </c>
      <c r="E2933">
        <v>0</v>
      </c>
      <c r="I2933">
        <v>4</v>
      </c>
      <c r="J2933">
        <v>0</v>
      </c>
      <c r="M2933" t="s">
        <v>3051</v>
      </c>
    </row>
    <row r="2934" spans="1:13" ht="15" customHeight="1">
      <c r="A2934" s="10">
        <v>46199</v>
      </c>
      <c r="B2934" t="s">
        <v>1</v>
      </c>
      <c r="C2934" t="s">
        <v>67</v>
      </c>
      <c r="D2934">
        <v>5</v>
      </c>
      <c r="E2934">
        <v>0</v>
      </c>
      <c r="I2934">
        <v>5</v>
      </c>
      <c r="J2934">
        <v>0</v>
      </c>
      <c r="M2934" t="s">
        <v>3052</v>
      </c>
    </row>
    <row r="2935" spans="1:13" ht="15" customHeight="1">
      <c r="A2935" s="10">
        <v>46199</v>
      </c>
      <c r="B2935" t="s">
        <v>1</v>
      </c>
      <c r="C2935" t="s">
        <v>68</v>
      </c>
      <c r="D2935">
        <v>0</v>
      </c>
      <c r="E2935">
        <v>0</v>
      </c>
      <c r="I2935">
        <v>0</v>
      </c>
      <c r="J2935">
        <v>0</v>
      </c>
      <c r="M2935" t="s">
        <v>3053</v>
      </c>
    </row>
    <row r="2936" spans="1:13" ht="15" customHeight="1">
      <c r="A2936" s="10">
        <v>46199</v>
      </c>
      <c r="B2936" t="s">
        <v>1</v>
      </c>
      <c r="C2936" t="s">
        <v>71</v>
      </c>
      <c r="D2936">
        <v>1</v>
      </c>
      <c r="E2936">
        <v>239</v>
      </c>
      <c r="I2936">
        <v>1</v>
      </c>
      <c r="J2936">
        <v>86</v>
      </c>
      <c r="M2936" t="s">
        <v>3054</v>
      </c>
    </row>
    <row r="2937" spans="1:13" ht="15" customHeight="1">
      <c r="A2937" s="10">
        <v>46199</v>
      </c>
      <c r="B2937" t="s">
        <v>1</v>
      </c>
      <c r="C2937" t="s">
        <v>73</v>
      </c>
      <c r="D2937">
        <v>2</v>
      </c>
      <c r="E2937">
        <v>349</v>
      </c>
      <c r="I2937">
        <v>2</v>
      </c>
      <c r="J2937">
        <v>300</v>
      </c>
      <c r="M2937" t="s">
        <v>3055</v>
      </c>
    </row>
    <row r="2938" spans="1:13" ht="15" customHeight="1">
      <c r="A2938" s="10">
        <v>46199</v>
      </c>
      <c r="B2938" t="s">
        <v>1</v>
      </c>
      <c r="C2938" t="s">
        <v>75</v>
      </c>
      <c r="D2938">
        <v>1</v>
      </c>
      <c r="E2938">
        <v>224</v>
      </c>
      <c r="I2938">
        <v>1</v>
      </c>
      <c r="J2938">
        <v>194</v>
      </c>
      <c r="M2938" t="s">
        <v>3056</v>
      </c>
    </row>
    <row r="2939" spans="1:13" ht="15" customHeight="1">
      <c r="A2939" s="10">
        <v>46199</v>
      </c>
      <c r="B2939" t="s">
        <v>1</v>
      </c>
      <c r="C2939" t="s">
        <v>77</v>
      </c>
      <c r="D2939">
        <v>0</v>
      </c>
      <c r="E2939">
        <v>815</v>
      </c>
      <c r="I2939">
        <v>0</v>
      </c>
      <c r="J2939">
        <v>775</v>
      </c>
      <c r="M2939" t="s">
        <v>3057</v>
      </c>
    </row>
    <row r="2940" spans="1:13" ht="15" customHeight="1">
      <c r="A2940" s="10">
        <v>46199</v>
      </c>
      <c r="B2940" t="s">
        <v>1</v>
      </c>
      <c r="C2940" t="s">
        <v>79</v>
      </c>
      <c r="D2940">
        <v>1</v>
      </c>
      <c r="E2940">
        <v>206</v>
      </c>
      <c r="I2940">
        <v>0</v>
      </c>
      <c r="J2940">
        <v>1977</v>
      </c>
      <c r="M2940" t="s">
        <v>3058</v>
      </c>
    </row>
    <row r="2941" spans="1:13" ht="15" customHeight="1">
      <c r="A2941" s="10">
        <v>46199</v>
      </c>
      <c r="B2941" t="s">
        <v>1</v>
      </c>
      <c r="C2941" t="s">
        <v>81</v>
      </c>
      <c r="D2941">
        <v>1</v>
      </c>
      <c r="E2941">
        <v>173</v>
      </c>
      <c r="I2941">
        <v>1</v>
      </c>
      <c r="J2941">
        <v>168</v>
      </c>
      <c r="M2941" t="s">
        <v>3059</v>
      </c>
    </row>
    <row r="2942" spans="1:13" ht="15" customHeight="1">
      <c r="A2942" s="10">
        <v>46199</v>
      </c>
      <c r="B2942" t="s">
        <v>1</v>
      </c>
      <c r="C2942" t="s">
        <v>83</v>
      </c>
      <c r="D2942">
        <v>1</v>
      </c>
      <c r="E2942">
        <v>90</v>
      </c>
      <c r="I2942">
        <v>1</v>
      </c>
      <c r="J2942">
        <v>85</v>
      </c>
      <c r="M2942" t="s">
        <v>3060</v>
      </c>
    </row>
    <row r="2943" spans="1:13" ht="15" customHeight="1">
      <c r="A2943" s="10">
        <v>46199</v>
      </c>
      <c r="B2943" t="s">
        <v>1</v>
      </c>
      <c r="C2943" t="s">
        <v>84</v>
      </c>
      <c r="D2943">
        <v>1</v>
      </c>
      <c r="E2943">
        <v>90</v>
      </c>
      <c r="I2943">
        <v>1</v>
      </c>
      <c r="J2943">
        <v>80</v>
      </c>
      <c r="M2943" t="s">
        <v>3061</v>
      </c>
    </row>
    <row r="2944" spans="1:13" ht="15" customHeight="1">
      <c r="A2944" s="10">
        <v>46199</v>
      </c>
      <c r="B2944" t="s">
        <v>1</v>
      </c>
      <c r="C2944" t="s">
        <v>85</v>
      </c>
      <c r="D2944">
        <v>0</v>
      </c>
      <c r="E2944">
        <v>150</v>
      </c>
      <c r="I2944">
        <v>0</v>
      </c>
      <c r="J2944">
        <v>140</v>
      </c>
      <c r="M2944" t="s">
        <v>3062</v>
      </c>
    </row>
    <row r="2945" spans="1:13" ht="15" customHeight="1">
      <c r="A2945" s="10">
        <v>46199</v>
      </c>
      <c r="B2945" t="s">
        <v>1</v>
      </c>
      <c r="C2945" t="s">
        <v>87</v>
      </c>
      <c r="D2945">
        <v>1</v>
      </c>
      <c r="E2945">
        <v>366</v>
      </c>
      <c r="I2945">
        <v>1</v>
      </c>
      <c r="J2945">
        <v>360</v>
      </c>
      <c r="M2945" t="s">
        <v>3063</v>
      </c>
    </row>
    <row r="2946" spans="1:13" ht="15" customHeight="1">
      <c r="A2946" s="10">
        <v>46199</v>
      </c>
      <c r="B2946" t="s">
        <v>1</v>
      </c>
      <c r="C2946" t="s">
        <v>88</v>
      </c>
      <c r="D2946">
        <v>1</v>
      </c>
      <c r="E2946">
        <v>225</v>
      </c>
      <c r="I2946">
        <v>1</v>
      </c>
      <c r="J2946">
        <v>223</v>
      </c>
      <c r="M2946" t="s">
        <v>3064</v>
      </c>
    </row>
    <row r="2947" spans="1:13" ht="15" customHeight="1">
      <c r="A2947" s="10">
        <v>46199</v>
      </c>
      <c r="B2947" t="s">
        <v>1</v>
      </c>
      <c r="C2947" t="s">
        <v>89</v>
      </c>
      <c r="D2947">
        <v>1</v>
      </c>
      <c r="E2947">
        <v>109</v>
      </c>
      <c r="I2947">
        <v>1</v>
      </c>
      <c r="J2947">
        <v>105</v>
      </c>
      <c r="M2947" t="s">
        <v>3065</v>
      </c>
    </row>
    <row r="2948" spans="1:13" ht="15" customHeight="1">
      <c r="A2948" s="10">
        <v>46199</v>
      </c>
      <c r="B2948" t="s">
        <v>1</v>
      </c>
      <c r="C2948" t="s">
        <v>90</v>
      </c>
      <c r="D2948">
        <v>1</v>
      </c>
      <c r="E2948">
        <v>671</v>
      </c>
      <c r="I2948">
        <v>1</v>
      </c>
      <c r="J2948">
        <v>671</v>
      </c>
      <c r="M2948" t="s">
        <v>3066</v>
      </c>
    </row>
    <row r="2949" spans="1:13" ht="15" customHeight="1">
      <c r="A2949" s="10">
        <v>46199</v>
      </c>
      <c r="B2949" t="s">
        <v>1</v>
      </c>
      <c r="C2949" t="s">
        <v>92</v>
      </c>
      <c r="D2949">
        <v>1</v>
      </c>
      <c r="E2949">
        <v>700</v>
      </c>
      <c r="I2949">
        <v>1</v>
      </c>
      <c r="J2949">
        <v>700</v>
      </c>
      <c r="M2949" t="s">
        <v>3067</v>
      </c>
    </row>
    <row r="2950" spans="1:13" ht="15" customHeight="1">
      <c r="A2950" s="10">
        <v>46199</v>
      </c>
      <c r="B2950" t="s">
        <v>1</v>
      </c>
      <c r="C2950" t="s">
        <v>94</v>
      </c>
      <c r="D2950">
        <v>2</v>
      </c>
      <c r="E2950">
        <v>232</v>
      </c>
      <c r="I2950">
        <v>2</v>
      </c>
      <c r="J2950">
        <v>45</v>
      </c>
      <c r="M2950" t="s">
        <v>3068</v>
      </c>
    </row>
    <row r="2951" spans="1:13" ht="15" customHeight="1">
      <c r="A2951" s="10">
        <v>46199</v>
      </c>
      <c r="B2951" t="s">
        <v>1</v>
      </c>
      <c r="C2951" t="s">
        <v>96</v>
      </c>
      <c r="D2951">
        <v>0</v>
      </c>
      <c r="E2951">
        <v>0</v>
      </c>
      <c r="I2951">
        <v>0</v>
      </c>
      <c r="J2951">
        <v>0</v>
      </c>
      <c r="M2951" t="s">
        <v>3069</v>
      </c>
    </row>
    <row r="2952" spans="1:13" ht="15" customHeight="1">
      <c r="A2952" s="10">
        <v>46199</v>
      </c>
      <c r="B2952" t="s">
        <v>1</v>
      </c>
      <c r="C2952" t="s">
        <v>98</v>
      </c>
      <c r="D2952">
        <v>0</v>
      </c>
      <c r="E2952">
        <v>251</v>
      </c>
      <c r="I2952">
        <v>0</v>
      </c>
      <c r="J2952">
        <v>32</v>
      </c>
      <c r="M2952" t="s">
        <v>3070</v>
      </c>
    </row>
    <row r="2953" spans="1:13" ht="15" customHeight="1">
      <c r="A2953" s="10">
        <v>46199</v>
      </c>
      <c r="B2953" t="s">
        <v>1</v>
      </c>
      <c r="C2953" t="s">
        <v>203</v>
      </c>
      <c r="D2953">
        <v>1</v>
      </c>
      <c r="E2953">
        <v>0</v>
      </c>
      <c r="I2953">
        <v>1</v>
      </c>
      <c r="J2953">
        <v>0</v>
      </c>
      <c r="M2953" t="s">
        <v>3071</v>
      </c>
    </row>
    <row r="2954" spans="1:13" ht="15" customHeight="1">
      <c r="A2954" s="10">
        <v>46199</v>
      </c>
      <c r="B2954" t="s">
        <v>1</v>
      </c>
      <c r="C2954" t="s">
        <v>100</v>
      </c>
      <c r="D2954">
        <v>0</v>
      </c>
      <c r="E2954">
        <v>0</v>
      </c>
      <c r="I2954">
        <v>0</v>
      </c>
      <c r="J2954">
        <v>0</v>
      </c>
      <c r="M2954" t="s">
        <v>3072</v>
      </c>
    </row>
    <row r="2955" spans="1:13" ht="15" customHeight="1">
      <c r="A2955" s="10">
        <v>46199</v>
      </c>
      <c r="B2955" t="s">
        <v>1</v>
      </c>
      <c r="C2955" t="s">
        <v>101</v>
      </c>
      <c r="D2955">
        <v>0</v>
      </c>
      <c r="E2955">
        <v>0</v>
      </c>
      <c r="I2955">
        <v>0</v>
      </c>
      <c r="J2955">
        <v>0</v>
      </c>
      <c r="M2955" t="s">
        <v>3073</v>
      </c>
    </row>
    <row r="2956" spans="1:13" ht="15" customHeight="1">
      <c r="A2956" s="10">
        <v>46199</v>
      </c>
      <c r="B2956" t="s">
        <v>1</v>
      </c>
      <c r="C2956" t="s">
        <v>103</v>
      </c>
      <c r="D2956">
        <v>0</v>
      </c>
      <c r="E2956">
        <v>7</v>
      </c>
      <c r="I2956">
        <v>0</v>
      </c>
      <c r="J2956">
        <v>2</v>
      </c>
      <c r="M2956" t="s">
        <v>3074</v>
      </c>
    </row>
    <row r="2957" spans="1:13" ht="15" customHeight="1">
      <c r="A2957" s="10">
        <v>46199</v>
      </c>
      <c r="B2957" t="s">
        <v>1</v>
      </c>
      <c r="C2957" t="s">
        <v>106</v>
      </c>
      <c r="D2957">
        <v>1</v>
      </c>
      <c r="E2957">
        <v>230</v>
      </c>
      <c r="I2957">
        <v>1</v>
      </c>
      <c r="J2957">
        <v>183</v>
      </c>
      <c r="M2957" t="s">
        <v>3075</v>
      </c>
    </row>
    <row r="2958" spans="1:13" ht="15" customHeight="1">
      <c r="A2958" s="10">
        <v>46199</v>
      </c>
      <c r="B2958" t="s">
        <v>1</v>
      </c>
      <c r="C2958" t="s">
        <v>108</v>
      </c>
      <c r="D2958">
        <v>1</v>
      </c>
      <c r="E2958">
        <v>460</v>
      </c>
      <c r="I2958">
        <v>1</v>
      </c>
      <c r="J2958">
        <v>455</v>
      </c>
      <c r="M2958" t="s">
        <v>3076</v>
      </c>
    </row>
    <row r="2959" spans="1:13" ht="15" customHeight="1">
      <c r="A2959" s="10">
        <v>46199</v>
      </c>
      <c r="B2959" t="s">
        <v>1</v>
      </c>
      <c r="C2959" t="s">
        <v>109</v>
      </c>
      <c r="D2959">
        <v>1</v>
      </c>
      <c r="E2959">
        <v>334</v>
      </c>
      <c r="I2959">
        <v>0</v>
      </c>
      <c r="J2959">
        <v>763</v>
      </c>
      <c r="M2959" t="s">
        <v>3077</v>
      </c>
    </row>
    <row r="2960" spans="1:13" ht="15" customHeight="1">
      <c r="A2960" s="10">
        <v>46199</v>
      </c>
      <c r="B2960" t="s">
        <v>1</v>
      </c>
      <c r="C2960" t="s">
        <v>112</v>
      </c>
      <c r="D2960">
        <v>1</v>
      </c>
      <c r="E2960">
        <v>33</v>
      </c>
      <c r="I2960">
        <v>1</v>
      </c>
      <c r="J2960">
        <v>31</v>
      </c>
      <c r="M2960" t="s">
        <v>3078</v>
      </c>
    </row>
    <row r="2961" spans="1:13" ht="15" customHeight="1">
      <c r="A2961" s="10">
        <v>46199</v>
      </c>
      <c r="B2961" t="s">
        <v>1</v>
      </c>
      <c r="C2961" t="s">
        <v>114</v>
      </c>
      <c r="D2961">
        <v>1</v>
      </c>
      <c r="E2961">
        <v>49</v>
      </c>
      <c r="I2961">
        <v>1</v>
      </c>
      <c r="J2961">
        <v>44</v>
      </c>
      <c r="M2961" t="s">
        <v>3079</v>
      </c>
    </row>
    <row r="2962" spans="1:13" ht="15" customHeight="1">
      <c r="A2962" s="10">
        <v>46199</v>
      </c>
      <c r="B2962" t="s">
        <v>1</v>
      </c>
      <c r="C2962" t="s">
        <v>115</v>
      </c>
      <c r="D2962">
        <v>1</v>
      </c>
      <c r="E2962">
        <v>30</v>
      </c>
      <c r="I2962">
        <v>1</v>
      </c>
      <c r="J2962">
        <v>26</v>
      </c>
      <c r="M2962" t="s">
        <v>3080</v>
      </c>
    </row>
    <row r="2963" spans="1:13" ht="15" customHeight="1">
      <c r="A2963" s="10">
        <v>46199</v>
      </c>
      <c r="B2963" t="s">
        <v>1</v>
      </c>
      <c r="C2963" t="s">
        <v>116</v>
      </c>
      <c r="D2963">
        <v>1</v>
      </c>
      <c r="E2963">
        <v>49</v>
      </c>
      <c r="I2963">
        <v>1</v>
      </c>
      <c r="J2963">
        <v>34</v>
      </c>
      <c r="M2963" t="s">
        <v>3081</v>
      </c>
    </row>
    <row r="2964" spans="1:13" ht="15" customHeight="1">
      <c r="A2964" s="10">
        <v>46199</v>
      </c>
      <c r="B2964" t="s">
        <v>1</v>
      </c>
      <c r="C2964" t="s">
        <v>119</v>
      </c>
      <c r="D2964">
        <v>1</v>
      </c>
      <c r="E2964">
        <v>0</v>
      </c>
      <c r="I2964">
        <v>1</v>
      </c>
      <c r="M2964" t="s">
        <v>3082</v>
      </c>
    </row>
    <row r="2965" spans="1:13" ht="15" customHeight="1">
      <c r="A2965" s="10">
        <v>46199</v>
      </c>
      <c r="B2965" t="s">
        <v>1</v>
      </c>
      <c r="C2965" t="s">
        <v>120</v>
      </c>
      <c r="D2965">
        <v>2</v>
      </c>
      <c r="E2965">
        <v>0</v>
      </c>
      <c r="I2965">
        <v>2</v>
      </c>
      <c r="M2965" t="s">
        <v>3083</v>
      </c>
    </row>
    <row r="2966" spans="1:13" ht="15" customHeight="1">
      <c r="A2966" s="10">
        <v>46199</v>
      </c>
      <c r="B2966" t="s">
        <v>1</v>
      </c>
      <c r="C2966" t="s">
        <v>121</v>
      </c>
      <c r="D2966">
        <v>3</v>
      </c>
      <c r="E2966">
        <v>0</v>
      </c>
      <c r="I2966">
        <v>3</v>
      </c>
      <c r="M2966" t="s">
        <v>3084</v>
      </c>
    </row>
    <row r="2967" spans="1:13" ht="15" customHeight="1">
      <c r="A2967" s="10">
        <v>46199</v>
      </c>
      <c r="B2967" t="s">
        <v>1</v>
      </c>
      <c r="C2967" t="s">
        <v>123</v>
      </c>
      <c r="D2967">
        <v>2</v>
      </c>
      <c r="E2967">
        <v>0</v>
      </c>
      <c r="I2967">
        <v>2</v>
      </c>
      <c r="M2967" t="s">
        <v>3085</v>
      </c>
    </row>
    <row r="2968" spans="1:13" ht="15" customHeight="1">
      <c r="A2968" s="10">
        <v>46199</v>
      </c>
      <c r="B2968" t="s">
        <v>1</v>
      </c>
      <c r="C2968" t="s">
        <v>124</v>
      </c>
      <c r="D2968">
        <v>1</v>
      </c>
      <c r="E2968">
        <v>0</v>
      </c>
      <c r="I2968">
        <v>0</v>
      </c>
      <c r="M2968" t="s">
        <v>3086</v>
      </c>
    </row>
    <row r="2969" spans="1:13" ht="15" customHeight="1">
      <c r="A2969" s="10">
        <v>46199</v>
      </c>
      <c r="B2969" t="s">
        <v>1</v>
      </c>
      <c r="C2969" t="s">
        <v>125</v>
      </c>
      <c r="D2969">
        <v>1</v>
      </c>
      <c r="E2969">
        <v>0</v>
      </c>
      <c r="I2969">
        <v>1</v>
      </c>
      <c r="M2969" t="s">
        <v>3087</v>
      </c>
    </row>
    <row r="2970" spans="1:13" ht="15" customHeight="1">
      <c r="A2970" s="10">
        <v>46199</v>
      </c>
      <c r="B2970" t="s">
        <v>1</v>
      </c>
      <c r="C2970" t="s">
        <v>126</v>
      </c>
      <c r="D2970">
        <v>1</v>
      </c>
      <c r="E2970">
        <v>0</v>
      </c>
      <c r="I2970">
        <v>1</v>
      </c>
      <c r="M2970" t="s">
        <v>3088</v>
      </c>
    </row>
    <row r="2971" spans="1:13" ht="15" customHeight="1">
      <c r="A2971" s="10">
        <v>46199</v>
      </c>
      <c r="B2971" t="s">
        <v>1</v>
      </c>
      <c r="C2971" t="s">
        <v>128</v>
      </c>
      <c r="D2971">
        <v>3</v>
      </c>
      <c r="E2971">
        <v>0</v>
      </c>
      <c r="I2971">
        <v>3</v>
      </c>
      <c r="M2971" t="s">
        <v>3089</v>
      </c>
    </row>
    <row r="2972" spans="1:13" ht="15" customHeight="1">
      <c r="A2972" s="10">
        <v>46199</v>
      </c>
      <c r="B2972" t="s">
        <v>1</v>
      </c>
      <c r="C2972" t="s">
        <v>130</v>
      </c>
      <c r="D2972">
        <v>4</v>
      </c>
      <c r="E2972">
        <v>0</v>
      </c>
      <c r="I2972">
        <v>4</v>
      </c>
      <c r="M2972" t="s">
        <v>3090</v>
      </c>
    </row>
    <row r="2973" spans="1:13" ht="15" customHeight="1">
      <c r="A2973" s="10">
        <v>46199</v>
      </c>
      <c r="B2973" t="s">
        <v>1</v>
      </c>
      <c r="C2973" t="s">
        <v>285</v>
      </c>
      <c r="D2973">
        <v>2</v>
      </c>
      <c r="E2973">
        <v>0</v>
      </c>
      <c r="I2973">
        <v>2</v>
      </c>
      <c r="M2973" t="s">
        <v>3091</v>
      </c>
    </row>
    <row r="2974" spans="1:13" ht="15" customHeight="1">
      <c r="A2974" s="10">
        <v>46199</v>
      </c>
      <c r="B2974" t="s">
        <v>1</v>
      </c>
      <c r="C2974" t="s">
        <v>287</v>
      </c>
      <c r="D2974">
        <v>2</v>
      </c>
      <c r="E2974">
        <v>0</v>
      </c>
      <c r="I2974">
        <v>2</v>
      </c>
      <c r="M2974" t="s">
        <v>3092</v>
      </c>
    </row>
    <row r="2975" spans="1:13" ht="15" customHeight="1">
      <c r="A2975" s="10">
        <v>46199</v>
      </c>
      <c r="B2975" t="s">
        <v>1</v>
      </c>
      <c r="C2975" t="s">
        <v>289</v>
      </c>
      <c r="D2975">
        <v>2</v>
      </c>
      <c r="E2975">
        <v>0</v>
      </c>
      <c r="I2975">
        <v>2</v>
      </c>
      <c r="M2975" t="s">
        <v>3093</v>
      </c>
    </row>
    <row r="2976" spans="1:13" ht="15" customHeight="1">
      <c r="A2976" s="10">
        <v>46199</v>
      </c>
      <c r="B2976" t="s">
        <v>1</v>
      </c>
      <c r="C2976" t="s">
        <v>291</v>
      </c>
      <c r="D2976">
        <v>2</v>
      </c>
      <c r="E2976">
        <v>0</v>
      </c>
      <c r="I2976">
        <v>2</v>
      </c>
      <c r="M2976" t="s">
        <v>3094</v>
      </c>
    </row>
    <row r="2977" spans="1:13" ht="15" customHeight="1">
      <c r="A2977" s="10">
        <v>46199</v>
      </c>
      <c r="B2977" t="s">
        <v>1</v>
      </c>
      <c r="C2977" t="s">
        <v>293</v>
      </c>
      <c r="D2977">
        <v>4</v>
      </c>
      <c r="E2977">
        <v>0</v>
      </c>
      <c r="I2977">
        <v>3</v>
      </c>
      <c r="M2977" t="s">
        <v>3095</v>
      </c>
    </row>
    <row r="2978" spans="1:13" ht="15" customHeight="1">
      <c r="A2978" s="10">
        <v>46199</v>
      </c>
      <c r="B2978" t="s">
        <v>1</v>
      </c>
      <c r="C2978" s="135" t="s">
        <v>138</v>
      </c>
      <c r="D2978">
        <v>0</v>
      </c>
      <c r="E2978">
        <v>29</v>
      </c>
      <c r="I2978">
        <v>0</v>
      </c>
      <c r="J2978">
        <v>25</v>
      </c>
      <c r="M2978" t="s">
        <v>3096</v>
      </c>
    </row>
    <row r="2979" spans="1:13" ht="15" customHeight="1">
      <c r="A2979" s="10">
        <v>46199</v>
      </c>
      <c r="B2979" t="s">
        <v>1</v>
      </c>
      <c r="C2979" s="135" t="s">
        <v>139</v>
      </c>
      <c r="D2979">
        <v>0</v>
      </c>
      <c r="E2979">
        <v>35</v>
      </c>
      <c r="I2979">
        <v>0</v>
      </c>
      <c r="J2979">
        <v>31</v>
      </c>
      <c r="M2979" t="s">
        <v>3097</v>
      </c>
    </row>
    <row r="2980" spans="1:13" ht="15" customHeight="1">
      <c r="A2980" s="10">
        <v>46199</v>
      </c>
      <c r="B2980" t="s">
        <v>1</v>
      </c>
      <c r="C2980" s="135" t="s">
        <v>140</v>
      </c>
      <c r="D2980">
        <v>0</v>
      </c>
      <c r="E2980">
        <v>19</v>
      </c>
      <c r="I2980">
        <v>0</v>
      </c>
      <c r="J2980">
        <v>18</v>
      </c>
      <c r="M2980" t="s">
        <v>3098</v>
      </c>
    </row>
    <row r="2981" spans="1:13" ht="15" customHeight="1">
      <c r="A2981" s="10">
        <v>46199</v>
      </c>
      <c r="B2981" t="s">
        <v>1</v>
      </c>
      <c r="C2981" s="135" t="s">
        <v>141</v>
      </c>
      <c r="D2981">
        <v>0</v>
      </c>
      <c r="E2981">
        <v>1</v>
      </c>
      <c r="I2981">
        <v>0</v>
      </c>
      <c r="J2981">
        <v>1</v>
      </c>
      <c r="M2981" t="s">
        <v>3099</v>
      </c>
    </row>
    <row r="2982" spans="1:13" ht="15" customHeight="1">
      <c r="A2982" s="10">
        <v>46199</v>
      </c>
      <c r="B2982" t="s">
        <v>1</v>
      </c>
      <c r="C2982" s="135" t="s">
        <v>143</v>
      </c>
      <c r="D2982">
        <v>0</v>
      </c>
      <c r="E2982">
        <v>57</v>
      </c>
      <c r="I2982">
        <v>0</v>
      </c>
      <c r="J2982">
        <v>55</v>
      </c>
      <c r="M2982" t="s">
        <v>3100</v>
      </c>
    </row>
    <row r="2983" spans="1:13" ht="15" customHeight="1">
      <c r="A2983" s="10">
        <v>46199</v>
      </c>
      <c r="B2983" t="s">
        <v>1</v>
      </c>
      <c r="C2983" s="135" t="s">
        <v>145</v>
      </c>
      <c r="D2983">
        <v>0</v>
      </c>
      <c r="E2983">
        <v>44</v>
      </c>
      <c r="I2983">
        <v>0</v>
      </c>
      <c r="J2983">
        <v>42</v>
      </c>
      <c r="M2983" t="s">
        <v>3101</v>
      </c>
    </row>
    <row r="2984" spans="1:13" ht="15" customHeight="1">
      <c r="A2984" s="10">
        <v>46199</v>
      </c>
      <c r="B2984" t="s">
        <v>1</v>
      </c>
      <c r="C2984" s="135" t="s">
        <v>147</v>
      </c>
      <c r="D2984">
        <v>0</v>
      </c>
      <c r="E2984">
        <v>28</v>
      </c>
      <c r="I2984">
        <v>0</v>
      </c>
      <c r="J2984">
        <v>28</v>
      </c>
      <c r="M2984" t="s">
        <v>3102</v>
      </c>
    </row>
    <row r="2985" spans="1:13" ht="15" customHeight="1">
      <c r="A2985" s="10">
        <v>46199</v>
      </c>
      <c r="B2985" t="s">
        <v>1</v>
      </c>
      <c r="C2985" t="s">
        <v>302</v>
      </c>
      <c r="D2985">
        <v>2</v>
      </c>
      <c r="E2985">
        <v>0</v>
      </c>
      <c r="I2985">
        <v>2</v>
      </c>
      <c r="M2985" t="s">
        <v>3103</v>
      </c>
    </row>
    <row r="2986" spans="1:13" ht="15" customHeight="1">
      <c r="A2986" s="10">
        <v>46199</v>
      </c>
      <c r="B2986" t="s">
        <v>1</v>
      </c>
      <c r="C2986" t="s">
        <v>150</v>
      </c>
      <c r="D2986">
        <v>2</v>
      </c>
      <c r="E2986">
        <v>0</v>
      </c>
      <c r="I2986">
        <v>2</v>
      </c>
      <c r="M2986" t="s">
        <v>3104</v>
      </c>
    </row>
    <row r="2987" spans="1:13" ht="15" customHeight="1">
      <c r="A2987" s="10">
        <v>46199</v>
      </c>
      <c r="B2987" t="s">
        <v>1</v>
      </c>
      <c r="C2987" t="s">
        <v>151</v>
      </c>
      <c r="D2987">
        <v>1</v>
      </c>
      <c r="E2987">
        <v>0</v>
      </c>
      <c r="I2987">
        <v>1</v>
      </c>
      <c r="M2987" t="s">
        <v>3105</v>
      </c>
    </row>
    <row r="2988" spans="1:13" ht="15" customHeight="1">
      <c r="A2988" s="10">
        <v>46199</v>
      </c>
      <c r="B2988" t="s">
        <v>1</v>
      </c>
      <c r="C2988" t="s">
        <v>152</v>
      </c>
      <c r="D2988">
        <v>2</v>
      </c>
      <c r="E2988">
        <v>0</v>
      </c>
      <c r="I2988">
        <v>2</v>
      </c>
      <c r="M2988" t="s">
        <v>3106</v>
      </c>
    </row>
    <row r="2989" spans="1:13" ht="15" customHeight="1">
      <c r="A2989" s="10">
        <v>46199</v>
      </c>
      <c r="B2989" t="s">
        <v>1</v>
      </c>
      <c r="C2989" t="s">
        <v>153</v>
      </c>
      <c r="D2989">
        <v>2</v>
      </c>
      <c r="E2989">
        <v>0</v>
      </c>
      <c r="I2989">
        <v>2</v>
      </c>
      <c r="M2989" t="s">
        <v>3107</v>
      </c>
    </row>
    <row r="2990" spans="1:13" ht="15" customHeight="1">
      <c r="A2990" s="10">
        <v>46199</v>
      </c>
      <c r="B2990" t="s">
        <v>1</v>
      </c>
      <c r="C2990" t="s">
        <v>308</v>
      </c>
      <c r="D2990">
        <v>0</v>
      </c>
      <c r="E2990">
        <v>4</v>
      </c>
      <c r="I2990">
        <v>0</v>
      </c>
      <c r="J2990">
        <v>3</v>
      </c>
      <c r="M2990" t="s">
        <v>3108</v>
      </c>
    </row>
    <row r="2991" spans="1:13" ht="15" customHeight="1">
      <c r="A2991" s="10">
        <v>46199</v>
      </c>
      <c r="B2991" t="s">
        <v>1</v>
      </c>
      <c r="C2991" t="s">
        <v>310</v>
      </c>
      <c r="D2991">
        <v>0</v>
      </c>
      <c r="E2991">
        <v>2</v>
      </c>
      <c r="I2991">
        <v>0</v>
      </c>
      <c r="J2991">
        <v>2</v>
      </c>
      <c r="M2991" t="s">
        <v>3109</v>
      </c>
    </row>
    <row r="2992" spans="1:13" ht="15" customHeight="1">
      <c r="A2992" s="10">
        <v>46199</v>
      </c>
      <c r="B2992" t="s">
        <v>1</v>
      </c>
      <c r="C2992" t="s">
        <v>312</v>
      </c>
      <c r="D2992">
        <v>0</v>
      </c>
      <c r="E2992">
        <v>3</v>
      </c>
      <c r="I2992">
        <v>0</v>
      </c>
      <c r="J2992">
        <v>2</v>
      </c>
      <c r="M2992" t="s">
        <v>3110</v>
      </c>
    </row>
    <row r="2993" spans="1:13" ht="15" customHeight="1">
      <c r="A2993" s="10">
        <v>46199</v>
      </c>
      <c r="B2993" t="s">
        <v>1</v>
      </c>
      <c r="C2993" t="s">
        <v>314</v>
      </c>
      <c r="D2993">
        <v>1</v>
      </c>
      <c r="E2993">
        <v>0</v>
      </c>
      <c r="I2993">
        <v>1</v>
      </c>
      <c r="M2993" t="s">
        <v>3111</v>
      </c>
    </row>
    <row r="2994" spans="1:13" ht="15" customHeight="1">
      <c r="A2994" s="10">
        <v>46199</v>
      </c>
      <c r="B2994" t="s">
        <v>1</v>
      </c>
      <c r="C2994" t="s">
        <v>316</v>
      </c>
      <c r="D2994">
        <v>1</v>
      </c>
      <c r="E2994">
        <v>0</v>
      </c>
      <c r="I2994">
        <v>1</v>
      </c>
      <c r="M2994" t="s">
        <v>3112</v>
      </c>
    </row>
    <row r="2995" spans="1:13" ht="15" customHeight="1">
      <c r="A2995" s="10">
        <v>46199</v>
      </c>
      <c r="B2995" t="s">
        <v>1</v>
      </c>
      <c r="C2995" t="s">
        <v>318</v>
      </c>
      <c r="D2995">
        <v>3</v>
      </c>
      <c r="E2995">
        <v>0</v>
      </c>
      <c r="I2995">
        <v>2</v>
      </c>
      <c r="M2995" t="s">
        <v>3113</v>
      </c>
    </row>
    <row r="2996" spans="1:13" ht="15" customHeight="1">
      <c r="A2996" s="10">
        <v>46199</v>
      </c>
      <c r="B2996" t="s">
        <v>1</v>
      </c>
      <c r="C2996" t="s">
        <v>320</v>
      </c>
      <c r="D2996">
        <v>1</v>
      </c>
      <c r="E2996">
        <v>0</v>
      </c>
      <c r="I2996">
        <v>1</v>
      </c>
      <c r="M2996" t="s">
        <v>3114</v>
      </c>
    </row>
    <row r="2997" spans="1:13" ht="15" customHeight="1">
      <c r="A2997" s="10">
        <v>46199</v>
      </c>
      <c r="B2997" t="s">
        <v>1</v>
      </c>
      <c r="C2997" t="s">
        <v>322</v>
      </c>
      <c r="D2997">
        <v>0</v>
      </c>
      <c r="E2997">
        <v>0</v>
      </c>
      <c r="I2997">
        <v>0</v>
      </c>
      <c r="M2997" t="s">
        <v>3115</v>
      </c>
    </row>
    <row r="2998" spans="1:13" ht="15" customHeight="1">
      <c r="A2998" s="10">
        <v>46199</v>
      </c>
      <c r="B2998" t="s">
        <v>1</v>
      </c>
      <c r="C2998" s="135" t="s">
        <v>168</v>
      </c>
      <c r="D2998">
        <v>1</v>
      </c>
      <c r="E2998">
        <v>0</v>
      </c>
      <c r="I2998">
        <v>1</v>
      </c>
      <c r="M2998" t="s">
        <v>3116</v>
      </c>
    </row>
    <row r="2999" spans="1:13" ht="15" customHeight="1">
      <c r="A2999" s="10">
        <v>46199</v>
      </c>
      <c r="B2999" t="s">
        <v>1</v>
      </c>
      <c r="C2999" s="135" t="s">
        <v>170</v>
      </c>
      <c r="D2999">
        <v>1</v>
      </c>
      <c r="E2999">
        <v>0</v>
      </c>
      <c r="I2999">
        <v>1</v>
      </c>
      <c r="M2999" t="s">
        <v>3117</v>
      </c>
    </row>
    <row r="3000" spans="1:13" ht="15" customHeight="1">
      <c r="A3000" s="10">
        <v>46199</v>
      </c>
      <c r="B3000" t="s">
        <v>1</v>
      </c>
      <c r="C3000" s="135" t="s">
        <v>171</v>
      </c>
      <c r="D3000">
        <v>2</v>
      </c>
      <c r="E3000">
        <v>0</v>
      </c>
      <c r="I3000">
        <v>2</v>
      </c>
      <c r="M3000" t="s">
        <v>3118</v>
      </c>
    </row>
    <row r="3001" spans="1:13" ht="15" customHeight="1">
      <c r="A3001" s="10">
        <v>46199</v>
      </c>
      <c r="B3001" t="s">
        <v>1</v>
      </c>
      <c r="C3001" s="135" t="s">
        <v>172</v>
      </c>
      <c r="D3001">
        <v>1</v>
      </c>
      <c r="E3001">
        <v>0</v>
      </c>
      <c r="I3001">
        <v>1</v>
      </c>
      <c r="M3001" t="s">
        <v>3119</v>
      </c>
    </row>
    <row r="3002" spans="1:13" ht="15" customHeight="1">
      <c r="A3002" s="10">
        <v>46199</v>
      </c>
      <c r="B3002" t="s">
        <v>1</v>
      </c>
      <c r="C3002" s="135" t="s">
        <v>173</v>
      </c>
      <c r="D3002">
        <v>0</v>
      </c>
      <c r="E3002">
        <v>0</v>
      </c>
      <c r="I3002">
        <v>0</v>
      </c>
      <c r="M3002" t="s">
        <v>3120</v>
      </c>
    </row>
    <row r="3003" spans="1:13" ht="15" customHeight="1">
      <c r="A3003" s="10">
        <v>46199</v>
      </c>
      <c r="B3003" t="s">
        <v>1</v>
      </c>
      <c r="C3003" t="s">
        <v>176</v>
      </c>
      <c r="D3003">
        <v>0</v>
      </c>
      <c r="E3003">
        <v>14</v>
      </c>
      <c r="H3003">
        <v>1</v>
      </c>
      <c r="I3003">
        <v>0</v>
      </c>
      <c r="J3003">
        <v>13</v>
      </c>
      <c r="M3003" t="s">
        <v>3121</v>
      </c>
    </row>
    <row r="3004" spans="1:13" ht="15" customHeight="1">
      <c r="A3004" s="10">
        <v>46199</v>
      </c>
      <c r="B3004" t="s">
        <v>1</v>
      </c>
      <c r="C3004" t="s">
        <v>178</v>
      </c>
      <c r="D3004">
        <v>0</v>
      </c>
      <c r="E3004">
        <v>14</v>
      </c>
      <c r="I3004">
        <v>0</v>
      </c>
      <c r="J3004">
        <v>14</v>
      </c>
      <c r="M3004" t="s">
        <v>3122</v>
      </c>
    </row>
    <row r="3005" spans="1:13" ht="15" customHeight="1">
      <c r="A3005" s="10">
        <v>46199</v>
      </c>
      <c r="B3005" t="s">
        <v>1</v>
      </c>
      <c r="C3005" t="s">
        <v>179</v>
      </c>
      <c r="D3005">
        <v>0</v>
      </c>
      <c r="E3005">
        <v>10</v>
      </c>
      <c r="H3005">
        <v>1</v>
      </c>
      <c r="I3005">
        <v>0</v>
      </c>
      <c r="J3005">
        <v>9</v>
      </c>
      <c r="M3005" t="s">
        <v>3123</v>
      </c>
    </row>
    <row r="3006" spans="1:13" ht="15" customHeight="1">
      <c r="A3006" s="10">
        <v>46199</v>
      </c>
      <c r="B3006" t="s">
        <v>1</v>
      </c>
      <c r="C3006" t="s">
        <v>180</v>
      </c>
      <c r="D3006">
        <v>0</v>
      </c>
      <c r="E3006">
        <v>13</v>
      </c>
      <c r="H3006">
        <v>2</v>
      </c>
      <c r="I3006">
        <v>0</v>
      </c>
      <c r="J3006">
        <v>11</v>
      </c>
      <c r="M3006" t="s">
        <v>3124</v>
      </c>
    </row>
    <row r="3007" spans="1:13" ht="15" customHeight="1">
      <c r="A3007" s="10">
        <v>46199</v>
      </c>
      <c r="B3007" t="s">
        <v>1</v>
      </c>
      <c r="C3007" s="135" t="s">
        <v>182</v>
      </c>
      <c r="D3007">
        <v>1</v>
      </c>
      <c r="E3007">
        <v>231</v>
      </c>
      <c r="I3007">
        <v>1</v>
      </c>
      <c r="J3007">
        <v>210</v>
      </c>
      <c r="M3007" t="s">
        <v>3125</v>
      </c>
    </row>
    <row r="3008" spans="1:13" ht="15" customHeight="1">
      <c r="A3008" s="10">
        <v>46199</v>
      </c>
      <c r="B3008" t="s">
        <v>1</v>
      </c>
      <c r="C3008" s="135" t="s">
        <v>184</v>
      </c>
      <c r="D3008">
        <v>0</v>
      </c>
      <c r="E3008">
        <v>71</v>
      </c>
      <c r="I3008">
        <v>0</v>
      </c>
      <c r="J3008">
        <v>65</v>
      </c>
      <c r="M3008" t="s">
        <v>3126</v>
      </c>
    </row>
    <row r="3009" spans="1:13" ht="15" customHeight="1">
      <c r="A3009" s="10">
        <v>46199</v>
      </c>
      <c r="B3009" t="s">
        <v>1</v>
      </c>
      <c r="C3009" s="135" t="s">
        <v>185</v>
      </c>
      <c r="D3009">
        <v>1</v>
      </c>
      <c r="E3009">
        <v>44</v>
      </c>
      <c r="I3009">
        <v>1</v>
      </c>
      <c r="J3009">
        <v>40</v>
      </c>
      <c r="M3009" t="s">
        <v>3127</v>
      </c>
    </row>
    <row r="3010" spans="1:13" ht="15" customHeight="1">
      <c r="A3010" s="10">
        <v>46199</v>
      </c>
      <c r="B3010" t="s">
        <v>1</v>
      </c>
      <c r="C3010" s="135" t="s">
        <v>186</v>
      </c>
      <c r="D3010">
        <v>1</v>
      </c>
      <c r="E3010">
        <v>50</v>
      </c>
      <c r="I3010">
        <v>1</v>
      </c>
      <c r="J3010">
        <v>50</v>
      </c>
      <c r="M3010" t="s">
        <v>3128</v>
      </c>
    </row>
    <row r="3011" spans="1:13" ht="15" customHeight="1">
      <c r="A3011" s="10">
        <v>46199</v>
      </c>
      <c r="B3011" t="s">
        <v>1</v>
      </c>
      <c r="C3011" t="s">
        <v>337</v>
      </c>
      <c r="D3011">
        <v>2</v>
      </c>
      <c r="E3011">
        <v>213</v>
      </c>
      <c r="I3011">
        <v>2</v>
      </c>
      <c r="J3011">
        <v>100</v>
      </c>
      <c r="M3011" t="s">
        <v>3129</v>
      </c>
    </row>
    <row r="3012" spans="1:13" ht="15" customHeight="1">
      <c r="A3012" s="10">
        <v>46199</v>
      </c>
      <c r="B3012" t="s">
        <v>1</v>
      </c>
      <c r="C3012" t="s">
        <v>339</v>
      </c>
      <c r="D3012">
        <v>0</v>
      </c>
      <c r="E3012">
        <v>0</v>
      </c>
      <c r="I3012">
        <v>0</v>
      </c>
      <c r="J3012">
        <v>0</v>
      </c>
      <c r="M3012" t="s">
        <v>3130</v>
      </c>
    </row>
    <row r="3013" spans="1:13" ht="15" customHeight="1">
      <c r="A3013" s="10">
        <v>46199</v>
      </c>
      <c r="B3013" t="s">
        <v>1</v>
      </c>
      <c r="C3013" s="135" t="s">
        <v>191</v>
      </c>
      <c r="D3013">
        <v>1</v>
      </c>
      <c r="E3013">
        <v>195</v>
      </c>
      <c r="I3013">
        <v>1</v>
      </c>
      <c r="J3013">
        <v>195</v>
      </c>
      <c r="M3013" t="s">
        <v>3131</v>
      </c>
    </row>
    <row r="3014" spans="1:13" ht="15" customHeight="1">
      <c r="A3014" s="10">
        <v>46199</v>
      </c>
      <c r="B3014" t="s">
        <v>1</v>
      </c>
      <c r="C3014" s="135" t="s">
        <v>193</v>
      </c>
      <c r="D3014">
        <v>1</v>
      </c>
      <c r="E3014">
        <v>224</v>
      </c>
      <c r="I3014">
        <v>1</v>
      </c>
      <c r="J3014">
        <v>164</v>
      </c>
      <c r="M3014" t="s">
        <v>3132</v>
      </c>
    </row>
    <row r="3015" spans="1:13" ht="15" customHeight="1">
      <c r="A3015" s="10">
        <v>46199</v>
      </c>
      <c r="B3015" t="s">
        <v>1</v>
      </c>
      <c r="C3015" s="135" t="s">
        <v>194</v>
      </c>
      <c r="D3015">
        <v>1</v>
      </c>
      <c r="E3015">
        <v>14</v>
      </c>
      <c r="I3015">
        <v>1</v>
      </c>
      <c r="J3015">
        <v>11</v>
      </c>
      <c r="M3015" t="s">
        <v>3133</v>
      </c>
    </row>
    <row r="3016" spans="1:13" ht="15" customHeight="1">
      <c r="A3016" s="10">
        <v>46199</v>
      </c>
      <c r="B3016" t="s">
        <v>1</v>
      </c>
      <c r="C3016" s="135" t="s">
        <v>196</v>
      </c>
      <c r="D3016">
        <v>0</v>
      </c>
      <c r="E3016">
        <v>434</v>
      </c>
      <c r="I3016">
        <v>0</v>
      </c>
      <c r="J3016">
        <v>404</v>
      </c>
      <c r="M3016" t="s">
        <v>3134</v>
      </c>
    </row>
    <row r="3017" spans="1:13" ht="15" customHeight="1">
      <c r="A3017" s="10">
        <v>46200</v>
      </c>
      <c r="B3017" t="s">
        <v>1</v>
      </c>
      <c r="C3017" t="s">
        <v>23</v>
      </c>
      <c r="D3017">
        <v>2</v>
      </c>
      <c r="E3017">
        <v>1149</v>
      </c>
      <c r="F3017">
        <v>2</v>
      </c>
      <c r="I3017">
        <v>4</v>
      </c>
      <c r="J3017">
        <v>1080</v>
      </c>
      <c r="M3017" t="s">
        <v>3135</v>
      </c>
    </row>
    <row r="3018" spans="1:13" ht="15" customHeight="1">
      <c r="A3018" s="10">
        <v>46200</v>
      </c>
      <c r="B3018" t="s">
        <v>1</v>
      </c>
      <c r="C3018" t="s">
        <v>26</v>
      </c>
      <c r="D3018">
        <v>2</v>
      </c>
      <c r="E3018">
        <v>300</v>
      </c>
      <c r="I3018">
        <v>2</v>
      </c>
      <c r="J3018">
        <v>298</v>
      </c>
      <c r="M3018" t="s">
        <v>3136</v>
      </c>
    </row>
    <row r="3019" spans="1:13" ht="15" customHeight="1">
      <c r="A3019" s="10">
        <v>46200</v>
      </c>
      <c r="B3019" t="s">
        <v>1</v>
      </c>
      <c r="C3019" t="s">
        <v>27</v>
      </c>
      <c r="D3019">
        <v>1</v>
      </c>
      <c r="E3019">
        <v>674</v>
      </c>
      <c r="I3019">
        <v>1</v>
      </c>
      <c r="J3019">
        <v>170</v>
      </c>
      <c r="M3019" t="s">
        <v>3137</v>
      </c>
    </row>
    <row r="3020" spans="1:13" ht="15" customHeight="1">
      <c r="A3020" s="10">
        <v>46200</v>
      </c>
      <c r="B3020" t="s">
        <v>1</v>
      </c>
      <c r="C3020" t="s">
        <v>28</v>
      </c>
      <c r="D3020">
        <v>0</v>
      </c>
      <c r="E3020">
        <v>0</v>
      </c>
      <c r="I3020">
        <v>0</v>
      </c>
      <c r="J3020">
        <v>0</v>
      </c>
      <c r="M3020" t="s">
        <v>3138</v>
      </c>
    </row>
    <row r="3021" spans="1:13" ht="15" customHeight="1">
      <c r="A3021" s="10">
        <v>46200</v>
      </c>
      <c r="B3021" t="s">
        <v>1</v>
      </c>
      <c r="C3021" t="s">
        <v>29</v>
      </c>
      <c r="D3021">
        <v>1</v>
      </c>
      <c r="E3021">
        <v>140</v>
      </c>
      <c r="I3021">
        <v>1</v>
      </c>
      <c r="J3021">
        <v>136</v>
      </c>
      <c r="M3021" t="s">
        <v>3139</v>
      </c>
    </row>
    <row r="3022" spans="1:13" ht="15" customHeight="1">
      <c r="A3022" s="10">
        <v>46200</v>
      </c>
      <c r="B3022" t="s">
        <v>1</v>
      </c>
      <c r="C3022" t="s">
        <v>30</v>
      </c>
      <c r="D3022">
        <v>1</v>
      </c>
      <c r="E3022">
        <v>140</v>
      </c>
      <c r="I3022">
        <v>1</v>
      </c>
      <c r="J3022">
        <v>137</v>
      </c>
      <c r="M3022" t="s">
        <v>3140</v>
      </c>
    </row>
    <row r="3023" spans="1:13" ht="15" customHeight="1">
      <c r="A3023" s="10">
        <v>46200</v>
      </c>
      <c r="B3023" t="s">
        <v>1</v>
      </c>
      <c r="C3023" t="s">
        <v>31</v>
      </c>
      <c r="D3023">
        <v>2</v>
      </c>
      <c r="E3023">
        <v>467</v>
      </c>
      <c r="I3023">
        <v>2</v>
      </c>
      <c r="J3023">
        <v>464</v>
      </c>
      <c r="M3023" t="s">
        <v>3141</v>
      </c>
    </row>
    <row r="3024" spans="1:13" ht="15" customHeight="1">
      <c r="A3024" s="10">
        <v>46200</v>
      </c>
      <c r="B3024" t="s">
        <v>1</v>
      </c>
      <c r="C3024" t="s">
        <v>32</v>
      </c>
      <c r="D3024">
        <v>1</v>
      </c>
      <c r="E3024">
        <v>139</v>
      </c>
      <c r="I3024">
        <v>1</v>
      </c>
      <c r="J3024">
        <v>139</v>
      </c>
      <c r="M3024" t="s">
        <v>3142</v>
      </c>
    </row>
    <row r="3025" spans="1:13" ht="15" customHeight="1">
      <c r="A3025" s="10">
        <v>46200</v>
      </c>
      <c r="B3025" t="s">
        <v>1</v>
      </c>
      <c r="C3025" t="s">
        <v>223</v>
      </c>
      <c r="D3025">
        <v>3</v>
      </c>
      <c r="E3025">
        <v>836</v>
      </c>
      <c r="F3025">
        <v>2</v>
      </c>
      <c r="I3025">
        <v>5</v>
      </c>
      <c r="J3025">
        <v>525</v>
      </c>
      <c r="M3025" t="s">
        <v>3143</v>
      </c>
    </row>
    <row r="3026" spans="1:13" ht="15" customHeight="1">
      <c r="A3026" s="10">
        <v>46200</v>
      </c>
      <c r="B3026" t="s">
        <v>1</v>
      </c>
      <c r="C3026" t="s">
        <v>35</v>
      </c>
      <c r="D3026">
        <v>8</v>
      </c>
      <c r="E3026">
        <v>0</v>
      </c>
      <c r="F3026">
        <v>2</v>
      </c>
      <c r="H3026">
        <v>1</v>
      </c>
      <c r="I3026">
        <v>9</v>
      </c>
      <c r="M3026" t="s">
        <v>3144</v>
      </c>
    </row>
    <row r="3027" spans="1:13" ht="15" customHeight="1">
      <c r="A3027" s="10">
        <v>46200</v>
      </c>
      <c r="B3027" t="s">
        <v>1</v>
      </c>
      <c r="C3027" t="s">
        <v>37</v>
      </c>
      <c r="D3027">
        <v>3</v>
      </c>
      <c r="E3027">
        <v>0</v>
      </c>
      <c r="I3027">
        <v>3</v>
      </c>
      <c r="M3027" t="s">
        <v>3145</v>
      </c>
    </row>
    <row r="3028" spans="1:13" ht="15" customHeight="1">
      <c r="A3028" s="10">
        <v>46200</v>
      </c>
      <c r="B3028" t="s">
        <v>1</v>
      </c>
      <c r="C3028" t="s">
        <v>39</v>
      </c>
      <c r="D3028">
        <v>9</v>
      </c>
      <c r="E3028">
        <v>0</v>
      </c>
      <c r="F3028">
        <v>10</v>
      </c>
      <c r="I3028">
        <v>19</v>
      </c>
      <c r="J3028">
        <v>0</v>
      </c>
      <c r="M3028" t="s">
        <v>3146</v>
      </c>
    </row>
    <row r="3029" spans="1:13" ht="15" customHeight="1">
      <c r="A3029" s="10">
        <v>46200</v>
      </c>
      <c r="B3029" t="s">
        <v>1</v>
      </c>
      <c r="C3029" t="s">
        <v>41</v>
      </c>
      <c r="D3029">
        <v>16</v>
      </c>
      <c r="E3029">
        <v>0</v>
      </c>
      <c r="I3029">
        <v>16</v>
      </c>
      <c r="J3029">
        <v>0</v>
      </c>
      <c r="M3029" t="s">
        <v>3147</v>
      </c>
    </row>
    <row r="3030" spans="1:13" ht="15" customHeight="1">
      <c r="A3030" s="10">
        <v>46200</v>
      </c>
      <c r="B3030" t="s">
        <v>1</v>
      </c>
      <c r="C3030" t="s">
        <v>232</v>
      </c>
      <c r="D3030">
        <v>0</v>
      </c>
      <c r="E3030">
        <v>0</v>
      </c>
      <c r="I3030">
        <v>0</v>
      </c>
      <c r="J3030">
        <v>0</v>
      </c>
      <c r="M3030" t="s">
        <v>3148</v>
      </c>
    </row>
    <row r="3031" spans="1:13" ht="15" customHeight="1">
      <c r="A3031" s="10">
        <v>46200</v>
      </c>
      <c r="B3031" t="s">
        <v>1</v>
      </c>
      <c r="C3031" t="s">
        <v>234</v>
      </c>
      <c r="D3031">
        <v>35</v>
      </c>
      <c r="E3031">
        <v>0</v>
      </c>
      <c r="F3031">
        <v>45</v>
      </c>
      <c r="H3031">
        <v>3</v>
      </c>
      <c r="I3031">
        <v>77</v>
      </c>
      <c r="J3031">
        <v>0</v>
      </c>
      <c r="M3031" t="s">
        <v>3149</v>
      </c>
    </row>
    <row r="3032" spans="1:13" ht="15" customHeight="1">
      <c r="A3032" s="10">
        <v>46200</v>
      </c>
      <c r="B3032" t="s">
        <v>1</v>
      </c>
      <c r="C3032" t="s">
        <v>54</v>
      </c>
      <c r="D3032">
        <v>0</v>
      </c>
      <c r="E3032">
        <v>0</v>
      </c>
      <c r="I3032">
        <v>0</v>
      </c>
      <c r="J3032">
        <v>0</v>
      </c>
      <c r="M3032" t="s">
        <v>3150</v>
      </c>
    </row>
    <row r="3033" spans="1:13" ht="15" customHeight="1">
      <c r="A3033" s="10">
        <v>46200</v>
      </c>
      <c r="B3033" t="s">
        <v>1</v>
      </c>
      <c r="C3033" t="s">
        <v>237</v>
      </c>
      <c r="D3033">
        <v>8</v>
      </c>
      <c r="E3033">
        <v>0</v>
      </c>
      <c r="I3033">
        <v>8</v>
      </c>
      <c r="J3033">
        <v>0</v>
      </c>
      <c r="M3033" t="s">
        <v>3151</v>
      </c>
    </row>
    <row r="3034" spans="1:13" ht="15" customHeight="1">
      <c r="A3034" s="10">
        <v>46200</v>
      </c>
      <c r="B3034" t="s">
        <v>1</v>
      </c>
      <c r="C3034" s="135" t="s">
        <v>58</v>
      </c>
      <c r="D3034">
        <v>10</v>
      </c>
      <c r="E3034">
        <v>0</v>
      </c>
      <c r="I3034">
        <v>10</v>
      </c>
      <c r="J3034">
        <v>0</v>
      </c>
      <c r="M3034" t="s">
        <v>3152</v>
      </c>
    </row>
    <row r="3035" spans="1:13" ht="15" customHeight="1">
      <c r="A3035" s="10">
        <v>46200</v>
      </c>
      <c r="B3035" t="s">
        <v>1</v>
      </c>
      <c r="C3035" s="135" t="s">
        <v>60</v>
      </c>
      <c r="D3035">
        <v>12</v>
      </c>
      <c r="E3035">
        <v>0</v>
      </c>
      <c r="H3035">
        <v>2</v>
      </c>
      <c r="I3035">
        <v>10</v>
      </c>
      <c r="J3035">
        <v>0</v>
      </c>
      <c r="M3035" t="s">
        <v>3153</v>
      </c>
    </row>
    <row r="3036" spans="1:13" ht="15" customHeight="1">
      <c r="A3036" s="10">
        <v>46200</v>
      </c>
      <c r="B3036" t="s">
        <v>1</v>
      </c>
      <c r="C3036" s="135" t="s">
        <v>61</v>
      </c>
      <c r="D3036">
        <v>9</v>
      </c>
      <c r="E3036">
        <v>0</v>
      </c>
      <c r="I3036">
        <v>9</v>
      </c>
      <c r="J3036">
        <v>0</v>
      </c>
      <c r="M3036" t="s">
        <v>3154</v>
      </c>
    </row>
    <row r="3037" spans="1:13" ht="15" customHeight="1">
      <c r="A3037" s="10">
        <v>46200</v>
      </c>
      <c r="B3037" t="s">
        <v>1</v>
      </c>
      <c r="C3037" s="135" t="s">
        <v>62</v>
      </c>
      <c r="D3037">
        <v>8</v>
      </c>
      <c r="E3037">
        <v>0</v>
      </c>
      <c r="I3037">
        <v>8</v>
      </c>
      <c r="J3037">
        <v>0</v>
      </c>
      <c r="M3037" t="s">
        <v>3155</v>
      </c>
    </row>
    <row r="3038" spans="1:13" ht="15" customHeight="1">
      <c r="A3038" s="10">
        <v>46200</v>
      </c>
      <c r="B3038" t="s">
        <v>1</v>
      </c>
      <c r="C3038" s="135" t="s">
        <v>63</v>
      </c>
      <c r="D3038">
        <v>7</v>
      </c>
      <c r="E3038">
        <v>0</v>
      </c>
      <c r="I3038">
        <v>7</v>
      </c>
      <c r="J3038">
        <v>0</v>
      </c>
      <c r="M3038" t="s">
        <v>3156</v>
      </c>
    </row>
    <row r="3039" spans="1:13" ht="15" customHeight="1">
      <c r="A3039" s="10">
        <v>46200</v>
      </c>
      <c r="B3039" t="s">
        <v>1</v>
      </c>
      <c r="C3039" s="135" t="s">
        <v>64</v>
      </c>
      <c r="D3039">
        <v>5</v>
      </c>
      <c r="E3039">
        <v>0</v>
      </c>
      <c r="H3039">
        <v>2</v>
      </c>
      <c r="I3039">
        <v>3</v>
      </c>
      <c r="J3039">
        <v>0</v>
      </c>
      <c r="M3039" t="s">
        <v>3157</v>
      </c>
    </row>
    <row r="3040" spans="1:13" ht="15" customHeight="1">
      <c r="A3040" s="10">
        <v>46200</v>
      </c>
      <c r="B3040" t="s">
        <v>1</v>
      </c>
      <c r="C3040" t="s">
        <v>66</v>
      </c>
      <c r="D3040">
        <v>4</v>
      </c>
      <c r="E3040">
        <v>0</v>
      </c>
      <c r="I3040">
        <v>4</v>
      </c>
      <c r="J3040">
        <v>0</v>
      </c>
      <c r="M3040" t="s">
        <v>3158</v>
      </c>
    </row>
    <row r="3041" spans="1:13" ht="15" customHeight="1">
      <c r="A3041" s="10">
        <v>46200</v>
      </c>
      <c r="B3041" t="s">
        <v>1</v>
      </c>
      <c r="C3041" t="s">
        <v>67</v>
      </c>
      <c r="D3041">
        <v>5</v>
      </c>
      <c r="E3041">
        <v>0</v>
      </c>
      <c r="H3041">
        <v>2</v>
      </c>
      <c r="I3041">
        <v>7</v>
      </c>
      <c r="J3041">
        <v>0</v>
      </c>
      <c r="M3041" t="s">
        <v>3159</v>
      </c>
    </row>
    <row r="3042" spans="1:13" ht="15" customHeight="1">
      <c r="A3042" s="10">
        <v>46200</v>
      </c>
      <c r="B3042" t="s">
        <v>1</v>
      </c>
      <c r="C3042" t="s">
        <v>68</v>
      </c>
      <c r="D3042">
        <v>0</v>
      </c>
      <c r="E3042">
        <v>0</v>
      </c>
      <c r="I3042">
        <v>0</v>
      </c>
      <c r="J3042">
        <v>0</v>
      </c>
      <c r="M3042" t="s">
        <v>3160</v>
      </c>
    </row>
    <row r="3043" spans="1:13" ht="15" customHeight="1">
      <c r="A3043" s="10">
        <v>46200</v>
      </c>
      <c r="B3043" t="s">
        <v>1</v>
      </c>
      <c r="C3043" t="s">
        <v>71</v>
      </c>
      <c r="D3043">
        <v>1</v>
      </c>
      <c r="E3043">
        <v>86</v>
      </c>
      <c r="I3043">
        <v>1</v>
      </c>
      <c r="J3043">
        <v>86</v>
      </c>
      <c r="M3043" t="s">
        <v>3161</v>
      </c>
    </row>
    <row r="3044" spans="1:13" ht="15" customHeight="1">
      <c r="A3044" s="10">
        <v>46200</v>
      </c>
      <c r="B3044" t="s">
        <v>1</v>
      </c>
      <c r="C3044" t="s">
        <v>73</v>
      </c>
      <c r="D3044">
        <v>2</v>
      </c>
      <c r="E3044">
        <v>300</v>
      </c>
      <c r="I3044">
        <v>2</v>
      </c>
      <c r="J3044">
        <v>300</v>
      </c>
      <c r="M3044" t="s">
        <v>3162</v>
      </c>
    </row>
    <row r="3045" spans="1:13" ht="15" customHeight="1">
      <c r="A3045" s="10">
        <v>46200</v>
      </c>
      <c r="B3045" t="s">
        <v>1</v>
      </c>
      <c r="C3045" t="s">
        <v>75</v>
      </c>
      <c r="D3045">
        <v>1</v>
      </c>
      <c r="E3045">
        <v>194</v>
      </c>
      <c r="I3045">
        <v>1</v>
      </c>
      <c r="J3045">
        <v>194</v>
      </c>
      <c r="M3045" t="s">
        <v>3163</v>
      </c>
    </row>
    <row r="3046" spans="1:13" ht="15" customHeight="1">
      <c r="A3046" s="10">
        <v>46200</v>
      </c>
      <c r="B3046" t="s">
        <v>1</v>
      </c>
      <c r="C3046" t="s">
        <v>77</v>
      </c>
      <c r="D3046">
        <v>0</v>
      </c>
      <c r="E3046">
        <v>775</v>
      </c>
      <c r="I3046">
        <v>0</v>
      </c>
      <c r="J3046">
        <v>775</v>
      </c>
      <c r="M3046" t="s">
        <v>3164</v>
      </c>
    </row>
    <row r="3047" spans="1:13" ht="15" customHeight="1">
      <c r="A3047" s="10">
        <v>46200</v>
      </c>
      <c r="B3047" t="s">
        <v>1</v>
      </c>
      <c r="C3047" t="s">
        <v>79</v>
      </c>
      <c r="D3047">
        <v>0</v>
      </c>
      <c r="E3047">
        <v>1977</v>
      </c>
      <c r="I3047">
        <v>0</v>
      </c>
      <c r="J3047">
        <v>1830</v>
      </c>
      <c r="M3047" t="s">
        <v>3165</v>
      </c>
    </row>
    <row r="3048" spans="1:13" ht="15" customHeight="1">
      <c r="A3048" s="10">
        <v>46200</v>
      </c>
      <c r="B3048" t="s">
        <v>1</v>
      </c>
      <c r="C3048" t="s">
        <v>81</v>
      </c>
      <c r="D3048">
        <v>1</v>
      </c>
      <c r="E3048">
        <v>168</v>
      </c>
      <c r="I3048">
        <v>1</v>
      </c>
      <c r="J3048">
        <v>168</v>
      </c>
      <c r="M3048" t="s">
        <v>3166</v>
      </c>
    </row>
    <row r="3049" spans="1:13" ht="15" customHeight="1">
      <c r="A3049" s="10">
        <v>46200</v>
      </c>
      <c r="B3049" t="s">
        <v>1</v>
      </c>
      <c r="C3049" t="s">
        <v>83</v>
      </c>
      <c r="D3049">
        <v>1</v>
      </c>
      <c r="E3049">
        <v>85</v>
      </c>
      <c r="I3049">
        <v>1</v>
      </c>
      <c r="J3049">
        <v>85</v>
      </c>
      <c r="M3049" t="s">
        <v>3167</v>
      </c>
    </row>
    <row r="3050" spans="1:13" ht="15" customHeight="1">
      <c r="A3050" s="10">
        <v>46200</v>
      </c>
      <c r="B3050" t="s">
        <v>1</v>
      </c>
      <c r="C3050" t="s">
        <v>84</v>
      </c>
      <c r="D3050">
        <v>1</v>
      </c>
      <c r="E3050">
        <v>80</v>
      </c>
      <c r="I3050">
        <v>1</v>
      </c>
      <c r="J3050">
        <v>80</v>
      </c>
      <c r="M3050" t="s">
        <v>3168</v>
      </c>
    </row>
    <row r="3051" spans="1:13" ht="15" customHeight="1">
      <c r="A3051" s="10">
        <v>46200</v>
      </c>
      <c r="B3051" t="s">
        <v>1</v>
      </c>
      <c r="C3051" t="s">
        <v>85</v>
      </c>
      <c r="D3051">
        <v>0</v>
      </c>
      <c r="E3051">
        <v>140</v>
      </c>
      <c r="I3051">
        <v>0</v>
      </c>
      <c r="J3051">
        <v>131</v>
      </c>
      <c r="M3051" t="s">
        <v>3169</v>
      </c>
    </row>
    <row r="3052" spans="1:13" ht="15" customHeight="1">
      <c r="A3052" s="10">
        <v>46200</v>
      </c>
      <c r="B3052" t="s">
        <v>1</v>
      </c>
      <c r="C3052" t="s">
        <v>87</v>
      </c>
      <c r="D3052">
        <v>1</v>
      </c>
      <c r="E3052">
        <v>360</v>
      </c>
      <c r="F3052">
        <v>1</v>
      </c>
      <c r="I3052">
        <v>2</v>
      </c>
      <c r="J3052">
        <v>358</v>
      </c>
      <c r="M3052" t="s">
        <v>3170</v>
      </c>
    </row>
    <row r="3053" spans="1:13" ht="15" customHeight="1">
      <c r="A3053" s="10">
        <v>46200</v>
      </c>
      <c r="B3053" t="s">
        <v>1</v>
      </c>
      <c r="C3053" t="s">
        <v>88</v>
      </c>
      <c r="D3053">
        <v>1</v>
      </c>
      <c r="E3053">
        <v>223</v>
      </c>
      <c r="I3053">
        <v>1</v>
      </c>
      <c r="J3053">
        <v>220</v>
      </c>
      <c r="M3053" t="s">
        <v>3171</v>
      </c>
    </row>
    <row r="3054" spans="1:13" ht="15" customHeight="1">
      <c r="A3054" s="10">
        <v>46200</v>
      </c>
      <c r="B3054" t="s">
        <v>1</v>
      </c>
      <c r="C3054" t="s">
        <v>89</v>
      </c>
      <c r="D3054">
        <v>1</v>
      </c>
      <c r="E3054">
        <v>105</v>
      </c>
      <c r="I3054">
        <v>1</v>
      </c>
      <c r="J3054">
        <v>104</v>
      </c>
      <c r="M3054" t="s">
        <v>3172</v>
      </c>
    </row>
    <row r="3055" spans="1:13" ht="15" customHeight="1">
      <c r="A3055" s="10">
        <v>46200</v>
      </c>
      <c r="B3055" t="s">
        <v>1</v>
      </c>
      <c r="C3055" t="s">
        <v>90</v>
      </c>
      <c r="D3055">
        <v>1</v>
      </c>
      <c r="E3055">
        <v>671</v>
      </c>
      <c r="I3055">
        <v>1</v>
      </c>
      <c r="J3055">
        <v>671</v>
      </c>
      <c r="M3055" t="s">
        <v>3173</v>
      </c>
    </row>
    <row r="3056" spans="1:13" ht="15" customHeight="1">
      <c r="A3056" s="10">
        <v>46200</v>
      </c>
      <c r="B3056" t="s">
        <v>1</v>
      </c>
      <c r="C3056" t="s">
        <v>92</v>
      </c>
      <c r="D3056">
        <v>1</v>
      </c>
      <c r="E3056">
        <v>700</v>
      </c>
      <c r="I3056">
        <v>1</v>
      </c>
      <c r="J3056">
        <v>700</v>
      </c>
      <c r="M3056" t="s">
        <v>3174</v>
      </c>
    </row>
    <row r="3057" spans="1:13" ht="15" customHeight="1">
      <c r="A3057" s="10">
        <v>46200</v>
      </c>
      <c r="B3057" t="s">
        <v>1</v>
      </c>
      <c r="C3057" t="s">
        <v>94</v>
      </c>
      <c r="D3057">
        <v>2</v>
      </c>
      <c r="E3057">
        <v>45</v>
      </c>
      <c r="F3057">
        <v>3</v>
      </c>
      <c r="I3057">
        <v>4</v>
      </c>
      <c r="J3057">
        <v>224</v>
      </c>
      <c r="M3057" t="s">
        <v>3175</v>
      </c>
    </row>
    <row r="3058" spans="1:13" ht="15" customHeight="1">
      <c r="A3058" s="10">
        <v>46200</v>
      </c>
      <c r="B3058" t="s">
        <v>1</v>
      </c>
      <c r="C3058" t="s">
        <v>96</v>
      </c>
      <c r="D3058">
        <v>0</v>
      </c>
      <c r="E3058">
        <v>0</v>
      </c>
      <c r="I3058">
        <v>0</v>
      </c>
      <c r="J3058">
        <v>0</v>
      </c>
      <c r="M3058" t="s">
        <v>3176</v>
      </c>
    </row>
    <row r="3059" spans="1:13" ht="15" customHeight="1">
      <c r="A3059" s="10">
        <v>46200</v>
      </c>
      <c r="B3059" t="s">
        <v>1</v>
      </c>
      <c r="C3059" t="s">
        <v>98</v>
      </c>
      <c r="D3059">
        <v>0</v>
      </c>
      <c r="E3059">
        <v>32</v>
      </c>
      <c r="I3059">
        <v>0</v>
      </c>
      <c r="J3059">
        <v>0</v>
      </c>
      <c r="M3059" t="s">
        <v>3177</v>
      </c>
    </row>
    <row r="3060" spans="1:13" ht="15" customHeight="1">
      <c r="A3060" s="10">
        <v>46200</v>
      </c>
      <c r="B3060" t="s">
        <v>1</v>
      </c>
      <c r="C3060" t="s">
        <v>203</v>
      </c>
      <c r="D3060">
        <v>1</v>
      </c>
      <c r="E3060">
        <v>0</v>
      </c>
      <c r="F3060">
        <v>3</v>
      </c>
      <c r="I3060">
        <v>3</v>
      </c>
      <c r="J3060">
        <v>254</v>
      </c>
      <c r="M3060" t="s">
        <v>3178</v>
      </c>
    </row>
    <row r="3061" spans="1:13" ht="15" customHeight="1">
      <c r="A3061" s="10">
        <v>46200</v>
      </c>
      <c r="B3061" t="s">
        <v>1</v>
      </c>
      <c r="C3061" t="s">
        <v>100</v>
      </c>
      <c r="D3061">
        <v>0</v>
      </c>
      <c r="E3061">
        <v>0</v>
      </c>
      <c r="I3061">
        <v>0</v>
      </c>
      <c r="J3061">
        <v>0</v>
      </c>
      <c r="M3061" t="s">
        <v>3179</v>
      </c>
    </row>
    <row r="3062" spans="1:13" ht="15" customHeight="1">
      <c r="A3062" s="10">
        <v>46200</v>
      </c>
      <c r="B3062" t="s">
        <v>1</v>
      </c>
      <c r="C3062" t="s">
        <v>101</v>
      </c>
      <c r="D3062">
        <v>0</v>
      </c>
      <c r="E3062">
        <v>0</v>
      </c>
      <c r="F3062">
        <v>1</v>
      </c>
      <c r="I3062">
        <v>1</v>
      </c>
      <c r="J3062">
        <v>0</v>
      </c>
      <c r="M3062" t="s">
        <v>3180</v>
      </c>
    </row>
    <row r="3063" spans="1:13" ht="15" customHeight="1">
      <c r="A3063" s="10">
        <v>46200</v>
      </c>
      <c r="B3063" t="s">
        <v>1</v>
      </c>
      <c r="C3063" t="s">
        <v>103</v>
      </c>
      <c r="D3063">
        <v>0</v>
      </c>
      <c r="E3063">
        <v>2</v>
      </c>
      <c r="I3063">
        <v>0</v>
      </c>
      <c r="J3063">
        <v>0</v>
      </c>
      <c r="M3063" t="s">
        <v>3181</v>
      </c>
    </row>
    <row r="3064" spans="1:13" ht="15" customHeight="1">
      <c r="A3064" s="10">
        <v>46200</v>
      </c>
      <c r="B3064" t="s">
        <v>1</v>
      </c>
      <c r="C3064" t="s">
        <v>106</v>
      </c>
      <c r="D3064">
        <v>1</v>
      </c>
      <c r="E3064">
        <v>183</v>
      </c>
      <c r="F3064">
        <v>1</v>
      </c>
      <c r="I3064">
        <v>2</v>
      </c>
      <c r="J3064">
        <v>150</v>
      </c>
      <c r="M3064" t="s">
        <v>3182</v>
      </c>
    </row>
    <row r="3065" spans="1:13" ht="15" customHeight="1">
      <c r="A3065" s="10">
        <v>46200</v>
      </c>
      <c r="B3065" t="s">
        <v>1</v>
      </c>
      <c r="C3065" t="s">
        <v>108</v>
      </c>
      <c r="D3065">
        <v>1</v>
      </c>
      <c r="E3065">
        <v>455</v>
      </c>
      <c r="I3065">
        <v>1</v>
      </c>
      <c r="J3065">
        <v>455</v>
      </c>
      <c r="M3065" t="s">
        <v>3183</v>
      </c>
    </row>
    <row r="3066" spans="1:13" ht="15" customHeight="1">
      <c r="A3066" s="10">
        <v>46200</v>
      </c>
      <c r="B3066" t="s">
        <v>1</v>
      </c>
      <c r="C3066" t="s">
        <v>109</v>
      </c>
      <c r="D3066">
        <v>0</v>
      </c>
      <c r="E3066">
        <v>763</v>
      </c>
      <c r="I3066">
        <v>0</v>
      </c>
      <c r="J3066">
        <v>1044</v>
      </c>
      <c r="M3066" t="s">
        <v>3184</v>
      </c>
    </row>
    <row r="3067" spans="1:13" ht="15" customHeight="1">
      <c r="A3067" s="10">
        <v>46200</v>
      </c>
      <c r="B3067" t="s">
        <v>1</v>
      </c>
      <c r="C3067" t="s">
        <v>112</v>
      </c>
      <c r="D3067">
        <v>1</v>
      </c>
      <c r="E3067">
        <v>31</v>
      </c>
      <c r="I3067">
        <v>1</v>
      </c>
      <c r="J3067">
        <v>31</v>
      </c>
      <c r="M3067" t="s">
        <v>3185</v>
      </c>
    </row>
    <row r="3068" spans="1:13" ht="15" customHeight="1">
      <c r="A3068" s="10">
        <v>46200</v>
      </c>
      <c r="B3068" t="s">
        <v>1</v>
      </c>
      <c r="C3068" t="s">
        <v>114</v>
      </c>
      <c r="D3068">
        <v>1</v>
      </c>
      <c r="E3068">
        <v>44</v>
      </c>
      <c r="F3068">
        <v>1</v>
      </c>
      <c r="I3068">
        <v>2</v>
      </c>
      <c r="J3068">
        <v>45</v>
      </c>
      <c r="M3068" t="s">
        <v>3186</v>
      </c>
    </row>
    <row r="3069" spans="1:13" ht="15" customHeight="1">
      <c r="A3069" s="10">
        <v>46200</v>
      </c>
      <c r="B3069" t="s">
        <v>1</v>
      </c>
      <c r="C3069" t="s">
        <v>115</v>
      </c>
      <c r="D3069">
        <v>1</v>
      </c>
      <c r="E3069">
        <v>26</v>
      </c>
      <c r="I3069">
        <v>1</v>
      </c>
      <c r="J3069">
        <v>22</v>
      </c>
      <c r="M3069" t="s">
        <v>3187</v>
      </c>
    </row>
    <row r="3070" spans="1:13" ht="15" customHeight="1">
      <c r="A3070" s="10">
        <v>46200</v>
      </c>
      <c r="B3070" t="s">
        <v>1</v>
      </c>
      <c r="C3070" t="s">
        <v>116</v>
      </c>
      <c r="D3070">
        <v>1</v>
      </c>
      <c r="E3070">
        <v>34</v>
      </c>
      <c r="F3070">
        <v>1</v>
      </c>
      <c r="I3070">
        <v>2</v>
      </c>
      <c r="J3070">
        <v>30</v>
      </c>
      <c r="M3070" t="s">
        <v>3188</v>
      </c>
    </row>
    <row r="3071" spans="1:13" ht="15" customHeight="1">
      <c r="A3071" s="10">
        <v>46200</v>
      </c>
      <c r="B3071" t="s">
        <v>1</v>
      </c>
      <c r="C3071" t="s">
        <v>119</v>
      </c>
      <c r="D3071">
        <v>1</v>
      </c>
      <c r="E3071">
        <v>0</v>
      </c>
      <c r="F3071">
        <v>1</v>
      </c>
      <c r="I3071">
        <v>2</v>
      </c>
      <c r="M3071" t="s">
        <v>3189</v>
      </c>
    </row>
    <row r="3072" spans="1:13" ht="15" customHeight="1">
      <c r="A3072" s="10">
        <v>46200</v>
      </c>
      <c r="B3072" t="s">
        <v>1</v>
      </c>
      <c r="C3072" t="s">
        <v>120</v>
      </c>
      <c r="D3072">
        <v>2</v>
      </c>
      <c r="E3072">
        <v>0</v>
      </c>
      <c r="I3072">
        <v>2</v>
      </c>
      <c r="M3072" t="s">
        <v>3190</v>
      </c>
    </row>
    <row r="3073" spans="1:13" ht="15" customHeight="1">
      <c r="A3073" s="10">
        <v>46200</v>
      </c>
      <c r="B3073" t="s">
        <v>1</v>
      </c>
      <c r="C3073" t="s">
        <v>121</v>
      </c>
      <c r="D3073">
        <v>3</v>
      </c>
      <c r="E3073">
        <v>0</v>
      </c>
      <c r="I3073">
        <v>3</v>
      </c>
      <c r="M3073" t="s">
        <v>3191</v>
      </c>
    </row>
    <row r="3074" spans="1:13" ht="15" customHeight="1">
      <c r="A3074" s="10">
        <v>46200</v>
      </c>
      <c r="B3074" t="s">
        <v>1</v>
      </c>
      <c r="C3074" t="s">
        <v>123</v>
      </c>
      <c r="D3074">
        <v>2</v>
      </c>
      <c r="E3074">
        <v>0</v>
      </c>
      <c r="I3074">
        <v>2</v>
      </c>
      <c r="M3074" t="s">
        <v>3192</v>
      </c>
    </row>
    <row r="3075" spans="1:13" ht="15" customHeight="1">
      <c r="A3075" s="10">
        <v>46200</v>
      </c>
      <c r="B3075" t="s">
        <v>1</v>
      </c>
      <c r="C3075" t="s">
        <v>124</v>
      </c>
      <c r="D3075">
        <v>0</v>
      </c>
      <c r="E3075">
        <v>0</v>
      </c>
      <c r="F3075">
        <v>1</v>
      </c>
      <c r="I3075">
        <v>1</v>
      </c>
      <c r="M3075" t="s">
        <v>3193</v>
      </c>
    </row>
    <row r="3076" spans="1:13" ht="15" customHeight="1">
      <c r="A3076" s="10">
        <v>46200</v>
      </c>
      <c r="B3076" t="s">
        <v>1</v>
      </c>
      <c r="C3076" t="s">
        <v>125</v>
      </c>
      <c r="D3076">
        <v>1</v>
      </c>
      <c r="E3076">
        <v>0</v>
      </c>
      <c r="F3076">
        <v>1</v>
      </c>
      <c r="I3076">
        <v>2</v>
      </c>
      <c r="M3076" t="s">
        <v>3194</v>
      </c>
    </row>
    <row r="3077" spans="1:13" ht="15" customHeight="1">
      <c r="A3077" s="10">
        <v>46200</v>
      </c>
      <c r="B3077" t="s">
        <v>1</v>
      </c>
      <c r="C3077" t="s">
        <v>126</v>
      </c>
      <c r="D3077">
        <v>1</v>
      </c>
      <c r="E3077">
        <v>0</v>
      </c>
      <c r="F3077">
        <v>1</v>
      </c>
      <c r="I3077">
        <v>2</v>
      </c>
      <c r="M3077" t="s">
        <v>3195</v>
      </c>
    </row>
    <row r="3078" spans="1:13" ht="15" customHeight="1">
      <c r="A3078" s="10">
        <v>46200</v>
      </c>
      <c r="B3078" t="s">
        <v>1</v>
      </c>
      <c r="C3078" t="s">
        <v>128</v>
      </c>
      <c r="D3078">
        <v>3</v>
      </c>
      <c r="E3078">
        <v>0</v>
      </c>
      <c r="I3078">
        <v>3</v>
      </c>
      <c r="M3078" t="s">
        <v>3196</v>
      </c>
    </row>
    <row r="3079" spans="1:13" ht="15" customHeight="1">
      <c r="A3079" s="10">
        <v>46200</v>
      </c>
      <c r="B3079" t="s">
        <v>1</v>
      </c>
      <c r="C3079" t="s">
        <v>130</v>
      </c>
      <c r="D3079">
        <v>4</v>
      </c>
      <c r="E3079">
        <v>0</v>
      </c>
      <c r="I3079">
        <v>4</v>
      </c>
      <c r="M3079" t="s">
        <v>3197</v>
      </c>
    </row>
    <row r="3080" spans="1:13" ht="15" customHeight="1">
      <c r="A3080" s="10">
        <v>46200</v>
      </c>
      <c r="B3080" t="s">
        <v>1</v>
      </c>
      <c r="C3080" t="s">
        <v>285</v>
      </c>
      <c r="D3080">
        <v>2</v>
      </c>
      <c r="E3080">
        <v>0</v>
      </c>
      <c r="I3080">
        <v>2</v>
      </c>
      <c r="M3080" t="s">
        <v>3198</v>
      </c>
    </row>
    <row r="3081" spans="1:13" ht="15" customHeight="1">
      <c r="A3081" s="10">
        <v>46200</v>
      </c>
      <c r="B3081" t="s">
        <v>1</v>
      </c>
      <c r="C3081" t="s">
        <v>287</v>
      </c>
      <c r="D3081">
        <v>2</v>
      </c>
      <c r="E3081">
        <v>0</v>
      </c>
      <c r="I3081">
        <v>2</v>
      </c>
      <c r="M3081" t="s">
        <v>3199</v>
      </c>
    </row>
    <row r="3082" spans="1:13" ht="15" customHeight="1">
      <c r="A3082" s="10">
        <v>46200</v>
      </c>
      <c r="B3082" t="s">
        <v>1</v>
      </c>
      <c r="C3082" t="s">
        <v>289</v>
      </c>
      <c r="D3082">
        <v>2</v>
      </c>
      <c r="E3082">
        <v>0</v>
      </c>
      <c r="I3082">
        <v>2</v>
      </c>
      <c r="M3082" t="s">
        <v>3200</v>
      </c>
    </row>
    <row r="3083" spans="1:13" ht="15" customHeight="1">
      <c r="A3083" s="10">
        <v>46200</v>
      </c>
      <c r="B3083" t="s">
        <v>1</v>
      </c>
      <c r="C3083" t="s">
        <v>291</v>
      </c>
      <c r="D3083">
        <v>2</v>
      </c>
      <c r="E3083">
        <v>0</v>
      </c>
      <c r="I3083">
        <v>2</v>
      </c>
      <c r="M3083" t="s">
        <v>3201</v>
      </c>
    </row>
    <row r="3084" spans="1:13" ht="15" customHeight="1">
      <c r="A3084" s="10">
        <v>46200</v>
      </c>
      <c r="B3084" t="s">
        <v>1</v>
      </c>
      <c r="C3084" t="s">
        <v>293</v>
      </c>
      <c r="D3084">
        <v>3</v>
      </c>
      <c r="E3084">
        <v>0</v>
      </c>
      <c r="I3084">
        <v>3</v>
      </c>
      <c r="M3084" t="s">
        <v>3202</v>
      </c>
    </row>
    <row r="3085" spans="1:13" ht="15" customHeight="1">
      <c r="A3085" s="10">
        <v>46200</v>
      </c>
      <c r="B3085" t="s">
        <v>1</v>
      </c>
      <c r="C3085" s="135" t="s">
        <v>138</v>
      </c>
      <c r="D3085">
        <v>0</v>
      </c>
      <c r="E3085">
        <v>25</v>
      </c>
      <c r="G3085">
        <v>25</v>
      </c>
      <c r="I3085">
        <v>0</v>
      </c>
      <c r="J3085">
        <v>50</v>
      </c>
      <c r="M3085" t="s">
        <v>3203</v>
      </c>
    </row>
    <row r="3086" spans="1:13" ht="15" customHeight="1">
      <c r="A3086" s="10">
        <v>46200</v>
      </c>
      <c r="B3086" t="s">
        <v>1</v>
      </c>
      <c r="C3086" s="135" t="s">
        <v>139</v>
      </c>
      <c r="D3086">
        <v>0</v>
      </c>
      <c r="E3086">
        <v>31</v>
      </c>
      <c r="I3086">
        <v>0</v>
      </c>
      <c r="J3086">
        <v>28</v>
      </c>
      <c r="M3086" t="s">
        <v>3204</v>
      </c>
    </row>
    <row r="3087" spans="1:13" ht="15" customHeight="1">
      <c r="A3087" s="10">
        <v>46200</v>
      </c>
      <c r="B3087" t="s">
        <v>1</v>
      </c>
      <c r="C3087" s="135" t="s">
        <v>140</v>
      </c>
      <c r="D3087">
        <v>0</v>
      </c>
      <c r="E3087">
        <v>18</v>
      </c>
      <c r="G3087">
        <v>20</v>
      </c>
      <c r="I3087">
        <v>0</v>
      </c>
      <c r="J3087">
        <v>37</v>
      </c>
      <c r="M3087" t="s">
        <v>3205</v>
      </c>
    </row>
    <row r="3088" spans="1:13" ht="15" customHeight="1">
      <c r="A3088" s="10">
        <v>46200</v>
      </c>
      <c r="B3088" t="s">
        <v>1</v>
      </c>
      <c r="C3088" s="135" t="s">
        <v>141</v>
      </c>
      <c r="D3088">
        <v>0</v>
      </c>
      <c r="E3088">
        <v>1</v>
      </c>
      <c r="I3088">
        <v>0</v>
      </c>
      <c r="J3088">
        <v>1</v>
      </c>
      <c r="M3088" t="s">
        <v>3206</v>
      </c>
    </row>
    <row r="3089" spans="1:13" ht="15" customHeight="1">
      <c r="A3089" s="10">
        <v>46200</v>
      </c>
      <c r="B3089" t="s">
        <v>1</v>
      </c>
      <c r="C3089" s="135" t="s">
        <v>143</v>
      </c>
      <c r="D3089">
        <v>0</v>
      </c>
      <c r="E3089">
        <v>55</v>
      </c>
      <c r="I3089">
        <v>0</v>
      </c>
      <c r="J3089">
        <v>53</v>
      </c>
      <c r="M3089" t="s">
        <v>3207</v>
      </c>
    </row>
    <row r="3090" spans="1:13" ht="15" customHeight="1">
      <c r="A3090" s="10">
        <v>46200</v>
      </c>
      <c r="B3090" t="s">
        <v>1</v>
      </c>
      <c r="C3090" s="135" t="s">
        <v>145</v>
      </c>
      <c r="D3090">
        <v>0</v>
      </c>
      <c r="E3090">
        <v>42</v>
      </c>
      <c r="I3090">
        <v>0</v>
      </c>
      <c r="J3090">
        <v>42</v>
      </c>
      <c r="M3090" t="s">
        <v>3208</v>
      </c>
    </row>
    <row r="3091" spans="1:13" ht="15" customHeight="1">
      <c r="A3091" s="10">
        <v>46200</v>
      </c>
      <c r="B3091" t="s">
        <v>1</v>
      </c>
      <c r="C3091" s="135" t="s">
        <v>147</v>
      </c>
      <c r="D3091">
        <v>0</v>
      </c>
      <c r="E3091">
        <v>28</v>
      </c>
      <c r="I3091">
        <v>0</v>
      </c>
      <c r="J3091">
        <v>27</v>
      </c>
      <c r="M3091" t="s">
        <v>3209</v>
      </c>
    </row>
    <row r="3092" spans="1:13" ht="15" customHeight="1">
      <c r="A3092" s="10">
        <v>46200</v>
      </c>
      <c r="B3092" t="s">
        <v>1</v>
      </c>
      <c r="C3092" t="s">
        <v>302</v>
      </c>
      <c r="D3092">
        <v>2</v>
      </c>
      <c r="E3092">
        <v>0</v>
      </c>
      <c r="I3092">
        <v>2</v>
      </c>
      <c r="M3092" t="s">
        <v>3210</v>
      </c>
    </row>
    <row r="3093" spans="1:13" ht="15" customHeight="1">
      <c r="A3093" s="10">
        <v>46200</v>
      </c>
      <c r="B3093" t="s">
        <v>1</v>
      </c>
      <c r="C3093" t="s">
        <v>150</v>
      </c>
      <c r="D3093">
        <v>2</v>
      </c>
      <c r="E3093">
        <v>0</v>
      </c>
      <c r="I3093">
        <v>2</v>
      </c>
      <c r="M3093" t="s">
        <v>3211</v>
      </c>
    </row>
    <row r="3094" spans="1:13" ht="15" customHeight="1">
      <c r="A3094" s="10">
        <v>46200</v>
      </c>
      <c r="B3094" t="s">
        <v>1</v>
      </c>
      <c r="C3094" t="s">
        <v>151</v>
      </c>
      <c r="D3094">
        <v>1</v>
      </c>
      <c r="E3094">
        <v>0</v>
      </c>
      <c r="F3094">
        <v>1</v>
      </c>
      <c r="I3094">
        <v>2</v>
      </c>
      <c r="M3094" t="s">
        <v>3212</v>
      </c>
    </row>
    <row r="3095" spans="1:13" ht="15" customHeight="1">
      <c r="A3095" s="10">
        <v>46200</v>
      </c>
      <c r="B3095" t="s">
        <v>1</v>
      </c>
      <c r="C3095" t="s">
        <v>152</v>
      </c>
      <c r="D3095">
        <v>2</v>
      </c>
      <c r="E3095">
        <v>0</v>
      </c>
      <c r="I3095">
        <v>2</v>
      </c>
      <c r="M3095" t="s">
        <v>3213</v>
      </c>
    </row>
    <row r="3096" spans="1:13" ht="15" customHeight="1">
      <c r="A3096" s="10">
        <v>46200</v>
      </c>
      <c r="B3096" t="s">
        <v>1</v>
      </c>
      <c r="C3096" t="s">
        <v>153</v>
      </c>
      <c r="D3096">
        <v>2</v>
      </c>
      <c r="E3096">
        <v>0</v>
      </c>
      <c r="I3096">
        <v>2</v>
      </c>
      <c r="M3096" t="s">
        <v>3214</v>
      </c>
    </row>
    <row r="3097" spans="1:13" ht="15" customHeight="1">
      <c r="A3097" s="10">
        <v>46200</v>
      </c>
      <c r="B3097" t="s">
        <v>1</v>
      </c>
      <c r="C3097" t="s">
        <v>308</v>
      </c>
      <c r="D3097">
        <v>0</v>
      </c>
      <c r="E3097">
        <v>3</v>
      </c>
      <c r="I3097">
        <v>0</v>
      </c>
      <c r="J3097">
        <v>2</v>
      </c>
      <c r="M3097" t="s">
        <v>3215</v>
      </c>
    </row>
    <row r="3098" spans="1:13" ht="15" customHeight="1">
      <c r="A3098" s="10">
        <v>46200</v>
      </c>
      <c r="B3098" t="s">
        <v>1</v>
      </c>
      <c r="C3098" t="s">
        <v>310</v>
      </c>
      <c r="D3098">
        <v>0</v>
      </c>
      <c r="E3098">
        <v>2</v>
      </c>
      <c r="I3098">
        <v>0</v>
      </c>
      <c r="J3098">
        <v>2</v>
      </c>
      <c r="M3098" t="s">
        <v>3216</v>
      </c>
    </row>
    <row r="3099" spans="1:13" ht="15" customHeight="1">
      <c r="A3099" s="10">
        <v>46200</v>
      </c>
      <c r="B3099" t="s">
        <v>1</v>
      </c>
      <c r="C3099" t="s">
        <v>312</v>
      </c>
      <c r="D3099">
        <v>0</v>
      </c>
      <c r="E3099">
        <v>2</v>
      </c>
      <c r="I3099">
        <v>0</v>
      </c>
      <c r="J3099">
        <v>2</v>
      </c>
      <c r="M3099" t="s">
        <v>3217</v>
      </c>
    </row>
    <row r="3100" spans="1:13" ht="15" customHeight="1">
      <c r="A3100" s="10">
        <v>46200</v>
      </c>
      <c r="B3100" t="s">
        <v>1</v>
      </c>
      <c r="C3100" t="s">
        <v>314</v>
      </c>
      <c r="D3100">
        <v>1</v>
      </c>
      <c r="E3100">
        <v>0</v>
      </c>
      <c r="I3100">
        <v>1</v>
      </c>
      <c r="M3100" t="s">
        <v>3218</v>
      </c>
    </row>
    <row r="3101" spans="1:13" ht="15" customHeight="1">
      <c r="A3101" s="10">
        <v>46200</v>
      </c>
      <c r="B3101" t="s">
        <v>1</v>
      </c>
      <c r="C3101" t="s">
        <v>316</v>
      </c>
      <c r="D3101">
        <v>1</v>
      </c>
      <c r="E3101">
        <v>0</v>
      </c>
      <c r="I3101">
        <v>1</v>
      </c>
      <c r="M3101" t="s">
        <v>3219</v>
      </c>
    </row>
    <row r="3102" spans="1:13" ht="15" customHeight="1">
      <c r="A3102" s="10">
        <v>46200</v>
      </c>
      <c r="B3102" t="s">
        <v>1</v>
      </c>
      <c r="C3102" t="s">
        <v>318</v>
      </c>
      <c r="D3102">
        <v>2</v>
      </c>
      <c r="E3102">
        <v>0</v>
      </c>
      <c r="F3102">
        <v>2</v>
      </c>
      <c r="I3102">
        <v>3</v>
      </c>
      <c r="M3102" t="s">
        <v>3220</v>
      </c>
    </row>
    <row r="3103" spans="1:13" ht="15" customHeight="1">
      <c r="A3103" s="10">
        <v>46200</v>
      </c>
      <c r="B3103" t="s">
        <v>1</v>
      </c>
      <c r="C3103" t="s">
        <v>320</v>
      </c>
      <c r="D3103">
        <v>1</v>
      </c>
      <c r="E3103">
        <v>0</v>
      </c>
      <c r="I3103">
        <v>1</v>
      </c>
      <c r="M3103" t="s">
        <v>3221</v>
      </c>
    </row>
    <row r="3104" spans="1:13" ht="15" customHeight="1">
      <c r="A3104" s="10">
        <v>46200</v>
      </c>
      <c r="B3104" t="s">
        <v>1</v>
      </c>
      <c r="C3104" t="s">
        <v>322</v>
      </c>
      <c r="D3104">
        <v>0</v>
      </c>
      <c r="E3104">
        <v>0</v>
      </c>
      <c r="I3104">
        <v>0</v>
      </c>
      <c r="M3104" t="s">
        <v>3222</v>
      </c>
    </row>
    <row r="3105" spans="1:13" ht="15" customHeight="1">
      <c r="A3105" s="10">
        <v>46200</v>
      </c>
      <c r="B3105" t="s">
        <v>1</v>
      </c>
      <c r="C3105" s="135" t="s">
        <v>168</v>
      </c>
      <c r="D3105">
        <v>1</v>
      </c>
      <c r="E3105">
        <v>0</v>
      </c>
      <c r="I3105">
        <v>1</v>
      </c>
      <c r="M3105" t="s">
        <v>3223</v>
      </c>
    </row>
    <row r="3106" spans="1:13" ht="15" customHeight="1">
      <c r="A3106" s="10">
        <v>46200</v>
      </c>
      <c r="B3106" t="s">
        <v>1</v>
      </c>
      <c r="C3106" s="135" t="s">
        <v>170</v>
      </c>
      <c r="D3106">
        <v>1</v>
      </c>
      <c r="E3106">
        <v>0</v>
      </c>
      <c r="I3106">
        <v>1</v>
      </c>
      <c r="M3106" t="s">
        <v>3224</v>
      </c>
    </row>
    <row r="3107" spans="1:13" ht="15" customHeight="1">
      <c r="A3107" s="10">
        <v>46200</v>
      </c>
      <c r="B3107" t="s">
        <v>1</v>
      </c>
      <c r="C3107" s="135" t="s">
        <v>171</v>
      </c>
      <c r="D3107">
        <v>2</v>
      </c>
      <c r="E3107">
        <v>0</v>
      </c>
      <c r="I3107">
        <v>2</v>
      </c>
      <c r="M3107" t="s">
        <v>3225</v>
      </c>
    </row>
    <row r="3108" spans="1:13" ht="15" customHeight="1">
      <c r="A3108" s="10">
        <v>46200</v>
      </c>
      <c r="B3108" t="s">
        <v>1</v>
      </c>
      <c r="C3108" s="135" t="s">
        <v>172</v>
      </c>
      <c r="D3108">
        <v>1</v>
      </c>
      <c r="E3108">
        <v>0</v>
      </c>
      <c r="I3108">
        <v>1</v>
      </c>
      <c r="M3108" t="s">
        <v>3226</v>
      </c>
    </row>
    <row r="3109" spans="1:13" ht="15" customHeight="1">
      <c r="A3109" s="10">
        <v>46200</v>
      </c>
      <c r="B3109" t="s">
        <v>1</v>
      </c>
      <c r="C3109" s="135" t="s">
        <v>173</v>
      </c>
      <c r="D3109">
        <v>0</v>
      </c>
      <c r="E3109">
        <v>0</v>
      </c>
      <c r="I3109">
        <v>0</v>
      </c>
      <c r="M3109" t="s">
        <v>3227</v>
      </c>
    </row>
    <row r="3110" spans="1:13" ht="15" customHeight="1">
      <c r="A3110" s="10">
        <v>46200</v>
      </c>
      <c r="B3110" t="s">
        <v>1</v>
      </c>
      <c r="C3110" t="s">
        <v>176</v>
      </c>
      <c r="D3110">
        <v>0</v>
      </c>
      <c r="E3110">
        <v>13</v>
      </c>
      <c r="I3110">
        <v>0</v>
      </c>
      <c r="J3110">
        <v>13</v>
      </c>
      <c r="M3110" t="s">
        <v>3228</v>
      </c>
    </row>
    <row r="3111" spans="1:13" ht="15" customHeight="1">
      <c r="A3111" s="10">
        <v>46200</v>
      </c>
      <c r="B3111" t="s">
        <v>1</v>
      </c>
      <c r="C3111" t="s">
        <v>178</v>
      </c>
      <c r="D3111">
        <v>0</v>
      </c>
      <c r="E3111">
        <v>14</v>
      </c>
      <c r="H3111">
        <v>1</v>
      </c>
      <c r="I3111">
        <v>0</v>
      </c>
      <c r="J3111">
        <v>13</v>
      </c>
      <c r="M3111" t="s">
        <v>3229</v>
      </c>
    </row>
    <row r="3112" spans="1:13" ht="15" customHeight="1">
      <c r="A3112" s="10">
        <v>46200</v>
      </c>
      <c r="B3112" t="s">
        <v>1</v>
      </c>
      <c r="C3112" t="s">
        <v>179</v>
      </c>
      <c r="D3112">
        <v>0</v>
      </c>
      <c r="E3112">
        <v>9</v>
      </c>
      <c r="I3112">
        <v>0</v>
      </c>
      <c r="J3112">
        <v>9</v>
      </c>
      <c r="M3112" t="s">
        <v>3230</v>
      </c>
    </row>
    <row r="3113" spans="1:13" ht="15" customHeight="1">
      <c r="A3113" s="10">
        <v>46200</v>
      </c>
      <c r="B3113" t="s">
        <v>1</v>
      </c>
      <c r="C3113" t="s">
        <v>180</v>
      </c>
      <c r="D3113">
        <v>0</v>
      </c>
      <c r="E3113">
        <v>11</v>
      </c>
      <c r="G3113">
        <v>10</v>
      </c>
      <c r="I3113">
        <v>0</v>
      </c>
      <c r="J3113">
        <v>21</v>
      </c>
      <c r="M3113" t="s">
        <v>3231</v>
      </c>
    </row>
    <row r="3114" spans="1:13" ht="15" customHeight="1">
      <c r="A3114" s="10">
        <v>46200</v>
      </c>
      <c r="B3114" t="s">
        <v>1</v>
      </c>
      <c r="C3114" s="135" t="s">
        <v>182</v>
      </c>
      <c r="D3114">
        <v>1</v>
      </c>
      <c r="E3114">
        <v>210</v>
      </c>
      <c r="I3114">
        <v>1</v>
      </c>
      <c r="J3114">
        <v>210</v>
      </c>
      <c r="M3114" t="s">
        <v>3232</v>
      </c>
    </row>
    <row r="3115" spans="1:13" ht="15" customHeight="1">
      <c r="A3115" s="10">
        <v>46200</v>
      </c>
      <c r="B3115" t="s">
        <v>1</v>
      </c>
      <c r="C3115" s="135" t="s">
        <v>184</v>
      </c>
      <c r="D3115">
        <v>0</v>
      </c>
      <c r="E3115">
        <v>65</v>
      </c>
      <c r="I3115">
        <v>0</v>
      </c>
      <c r="J3115">
        <v>65</v>
      </c>
      <c r="M3115" t="s">
        <v>3233</v>
      </c>
    </row>
    <row r="3116" spans="1:13" ht="15" customHeight="1">
      <c r="A3116" s="10">
        <v>46200</v>
      </c>
      <c r="B3116" t="s">
        <v>1</v>
      </c>
      <c r="C3116" s="135" t="s">
        <v>185</v>
      </c>
      <c r="D3116">
        <v>1</v>
      </c>
      <c r="E3116">
        <v>40</v>
      </c>
      <c r="I3116">
        <v>1</v>
      </c>
      <c r="J3116">
        <v>20</v>
      </c>
      <c r="M3116" t="s">
        <v>3234</v>
      </c>
    </row>
    <row r="3117" spans="1:13" ht="15" customHeight="1">
      <c r="A3117" s="10">
        <v>46200</v>
      </c>
      <c r="B3117" t="s">
        <v>1</v>
      </c>
      <c r="C3117" s="135" t="s">
        <v>186</v>
      </c>
      <c r="D3117">
        <v>1</v>
      </c>
      <c r="E3117">
        <v>50</v>
      </c>
      <c r="I3117">
        <v>1</v>
      </c>
      <c r="J3117">
        <v>50</v>
      </c>
      <c r="M3117" t="s">
        <v>3235</v>
      </c>
    </row>
    <row r="3118" spans="1:13" ht="15" customHeight="1">
      <c r="A3118" s="10">
        <v>46200</v>
      </c>
      <c r="B3118" t="s">
        <v>1</v>
      </c>
      <c r="C3118" t="s">
        <v>337</v>
      </c>
      <c r="D3118">
        <v>2</v>
      </c>
      <c r="E3118">
        <v>100</v>
      </c>
      <c r="I3118">
        <v>2</v>
      </c>
      <c r="J3118">
        <v>100</v>
      </c>
      <c r="M3118" t="s">
        <v>3236</v>
      </c>
    </row>
    <row r="3119" spans="1:13" ht="15" customHeight="1">
      <c r="A3119" s="10">
        <v>46200</v>
      </c>
      <c r="B3119" t="s">
        <v>1</v>
      </c>
      <c r="C3119" t="s">
        <v>339</v>
      </c>
      <c r="D3119">
        <v>0</v>
      </c>
      <c r="E3119">
        <v>0</v>
      </c>
      <c r="I3119">
        <v>0</v>
      </c>
      <c r="J3119">
        <v>0</v>
      </c>
      <c r="M3119" t="s">
        <v>3237</v>
      </c>
    </row>
    <row r="3120" spans="1:13" ht="15" customHeight="1">
      <c r="A3120" s="10">
        <v>46200</v>
      </c>
      <c r="B3120" t="s">
        <v>1</v>
      </c>
      <c r="C3120" s="135" t="s">
        <v>191</v>
      </c>
      <c r="D3120">
        <v>1</v>
      </c>
      <c r="E3120">
        <v>195</v>
      </c>
      <c r="I3120">
        <v>1</v>
      </c>
      <c r="J3120">
        <v>195</v>
      </c>
      <c r="M3120" t="s">
        <v>3238</v>
      </c>
    </row>
    <row r="3121" spans="1:13" ht="15" customHeight="1">
      <c r="A3121" s="10">
        <v>46200</v>
      </c>
      <c r="B3121" t="s">
        <v>1</v>
      </c>
      <c r="C3121" s="135" t="s">
        <v>193</v>
      </c>
      <c r="D3121">
        <v>1</v>
      </c>
      <c r="E3121">
        <v>164</v>
      </c>
      <c r="I3121">
        <v>1</v>
      </c>
      <c r="J3121">
        <v>164</v>
      </c>
      <c r="M3121" t="s">
        <v>3239</v>
      </c>
    </row>
    <row r="3122" spans="1:13" ht="15" customHeight="1">
      <c r="A3122" s="10">
        <v>46200</v>
      </c>
      <c r="B3122" t="s">
        <v>1</v>
      </c>
      <c r="C3122" s="135" t="s">
        <v>194</v>
      </c>
      <c r="D3122">
        <v>1</v>
      </c>
      <c r="E3122">
        <v>11</v>
      </c>
      <c r="I3122">
        <v>1</v>
      </c>
      <c r="J3122">
        <v>5</v>
      </c>
      <c r="M3122" t="s">
        <v>3240</v>
      </c>
    </row>
    <row r="3123" spans="1:13" ht="15" customHeight="1">
      <c r="A3123" s="10">
        <v>46200</v>
      </c>
      <c r="B3123" t="s">
        <v>1</v>
      </c>
      <c r="C3123" s="135" t="s">
        <v>196</v>
      </c>
      <c r="D3123">
        <v>0</v>
      </c>
      <c r="E3123">
        <v>404</v>
      </c>
      <c r="I3123">
        <v>0</v>
      </c>
      <c r="J3123">
        <v>205</v>
      </c>
      <c r="M3123" t="s">
        <v>3241</v>
      </c>
    </row>
    <row r="3124" spans="1:13" ht="15" customHeight="1">
      <c r="A3124" s="10">
        <v>46202</v>
      </c>
      <c r="B3124" t="s">
        <v>1</v>
      </c>
      <c r="C3124" t="s">
        <v>23</v>
      </c>
      <c r="D3124">
        <v>4</v>
      </c>
      <c r="E3124">
        <v>1080</v>
      </c>
      <c r="I3124">
        <v>2</v>
      </c>
      <c r="J3124">
        <v>1649</v>
      </c>
      <c r="M3124" t="s">
        <v>3242</v>
      </c>
    </row>
    <row r="3125" spans="1:13" ht="15" customHeight="1">
      <c r="A3125" s="10">
        <v>46202</v>
      </c>
      <c r="B3125" t="s">
        <v>1</v>
      </c>
      <c r="C3125" t="s">
        <v>26</v>
      </c>
      <c r="D3125">
        <v>2</v>
      </c>
      <c r="E3125">
        <v>298</v>
      </c>
      <c r="I3125">
        <v>1</v>
      </c>
      <c r="J3125">
        <v>999</v>
      </c>
      <c r="M3125" t="s">
        <v>3243</v>
      </c>
    </row>
    <row r="3126" spans="1:13" ht="15" customHeight="1">
      <c r="A3126" s="10">
        <v>46202</v>
      </c>
      <c r="B3126" t="s">
        <v>1</v>
      </c>
      <c r="C3126" t="s">
        <v>27</v>
      </c>
      <c r="D3126">
        <v>1</v>
      </c>
      <c r="E3126">
        <v>170</v>
      </c>
      <c r="I3126">
        <v>0</v>
      </c>
      <c r="J3126">
        <v>1508</v>
      </c>
      <c r="M3126" t="s">
        <v>3244</v>
      </c>
    </row>
    <row r="3127" spans="1:13" ht="15" customHeight="1">
      <c r="A3127" s="10">
        <v>46202</v>
      </c>
      <c r="B3127" t="s">
        <v>1</v>
      </c>
      <c r="C3127" t="s">
        <v>28</v>
      </c>
      <c r="D3127">
        <v>0</v>
      </c>
      <c r="E3127">
        <v>0</v>
      </c>
      <c r="I3127">
        <v>0</v>
      </c>
      <c r="J3127">
        <v>0</v>
      </c>
      <c r="M3127" t="s">
        <v>3245</v>
      </c>
    </row>
    <row r="3128" spans="1:13" ht="15" customHeight="1">
      <c r="A3128" s="10">
        <v>46202</v>
      </c>
      <c r="B3128" t="s">
        <v>1</v>
      </c>
      <c r="C3128" t="s">
        <v>29</v>
      </c>
      <c r="D3128">
        <v>1</v>
      </c>
      <c r="E3128">
        <v>136</v>
      </c>
      <c r="I3128">
        <v>0</v>
      </c>
      <c r="J3128">
        <v>1000</v>
      </c>
      <c r="M3128" t="s">
        <v>3246</v>
      </c>
    </row>
    <row r="3129" spans="1:13" ht="15" customHeight="1">
      <c r="A3129" s="10">
        <v>46202</v>
      </c>
      <c r="B3129" t="s">
        <v>1</v>
      </c>
      <c r="C3129" t="s">
        <v>30</v>
      </c>
      <c r="D3129">
        <v>1</v>
      </c>
      <c r="E3129">
        <v>137</v>
      </c>
      <c r="I3129">
        <v>0</v>
      </c>
      <c r="J3129">
        <v>1004</v>
      </c>
      <c r="M3129" t="s">
        <v>3247</v>
      </c>
    </row>
    <row r="3130" spans="1:13" ht="15" customHeight="1">
      <c r="A3130" s="10">
        <v>46202</v>
      </c>
      <c r="B3130" t="s">
        <v>1</v>
      </c>
      <c r="C3130" t="s">
        <v>31</v>
      </c>
      <c r="D3130">
        <v>2</v>
      </c>
      <c r="E3130">
        <v>464</v>
      </c>
      <c r="I3130">
        <v>2</v>
      </c>
      <c r="J3130">
        <v>464</v>
      </c>
      <c r="M3130" t="s">
        <v>3248</v>
      </c>
    </row>
    <row r="3131" spans="1:13" ht="15" customHeight="1">
      <c r="A3131" s="10">
        <v>46202</v>
      </c>
      <c r="B3131" t="s">
        <v>1</v>
      </c>
      <c r="C3131" t="s">
        <v>32</v>
      </c>
      <c r="D3131">
        <v>1</v>
      </c>
      <c r="E3131">
        <v>139</v>
      </c>
      <c r="I3131">
        <v>0</v>
      </c>
      <c r="J3131">
        <v>899</v>
      </c>
      <c r="M3131" t="s">
        <v>3249</v>
      </c>
    </row>
    <row r="3132" spans="1:13" ht="15" customHeight="1">
      <c r="A3132" s="10">
        <v>46202</v>
      </c>
      <c r="B3132" t="s">
        <v>1</v>
      </c>
      <c r="C3132" t="s">
        <v>223</v>
      </c>
      <c r="D3132">
        <v>5</v>
      </c>
      <c r="E3132">
        <v>525</v>
      </c>
      <c r="I3132">
        <v>4</v>
      </c>
      <c r="J3132">
        <v>0</v>
      </c>
      <c r="M3132" t="s">
        <v>3250</v>
      </c>
    </row>
    <row r="3133" spans="1:13" ht="15" customHeight="1">
      <c r="A3133" s="10">
        <v>46202</v>
      </c>
      <c r="B3133" t="s">
        <v>1</v>
      </c>
      <c r="C3133" t="s">
        <v>35</v>
      </c>
      <c r="D3133">
        <v>9</v>
      </c>
      <c r="E3133">
        <v>0</v>
      </c>
      <c r="H3133">
        <v>1</v>
      </c>
      <c r="I3133">
        <v>8</v>
      </c>
      <c r="M3133" t="s">
        <v>3251</v>
      </c>
    </row>
    <row r="3134" spans="1:13" ht="15" customHeight="1">
      <c r="A3134" s="10">
        <v>46202</v>
      </c>
      <c r="B3134" t="s">
        <v>1</v>
      </c>
      <c r="C3134" t="s">
        <v>37</v>
      </c>
      <c r="D3134">
        <v>3</v>
      </c>
      <c r="E3134">
        <v>0</v>
      </c>
      <c r="I3134">
        <v>3</v>
      </c>
      <c r="M3134" t="s">
        <v>3252</v>
      </c>
    </row>
    <row r="3135" spans="1:13" ht="15" customHeight="1">
      <c r="A3135" s="10">
        <v>46202</v>
      </c>
      <c r="B3135" t="s">
        <v>1</v>
      </c>
      <c r="C3135" t="s">
        <v>39</v>
      </c>
      <c r="D3135">
        <v>19</v>
      </c>
      <c r="E3135">
        <v>0</v>
      </c>
      <c r="H3135">
        <v>2</v>
      </c>
      <c r="I3135">
        <v>17</v>
      </c>
      <c r="J3135">
        <v>0</v>
      </c>
      <c r="M3135" t="s">
        <v>3253</v>
      </c>
    </row>
    <row r="3136" spans="1:13" ht="15" customHeight="1">
      <c r="A3136" s="10">
        <v>46202</v>
      </c>
      <c r="B3136" t="s">
        <v>1</v>
      </c>
      <c r="C3136" t="s">
        <v>41</v>
      </c>
      <c r="D3136">
        <v>16</v>
      </c>
      <c r="E3136">
        <v>0</v>
      </c>
      <c r="H3136">
        <v>3</v>
      </c>
      <c r="I3136">
        <v>13</v>
      </c>
      <c r="J3136">
        <v>0</v>
      </c>
      <c r="M3136" t="s">
        <v>3254</v>
      </c>
    </row>
    <row r="3137" spans="1:13" ht="15" customHeight="1">
      <c r="A3137" s="10">
        <v>46202</v>
      </c>
      <c r="B3137" t="s">
        <v>1</v>
      </c>
      <c r="C3137" t="s">
        <v>232</v>
      </c>
      <c r="D3137">
        <v>0</v>
      </c>
      <c r="E3137">
        <v>0</v>
      </c>
      <c r="I3137">
        <v>0</v>
      </c>
      <c r="J3137">
        <v>0</v>
      </c>
      <c r="M3137" t="s">
        <v>3255</v>
      </c>
    </row>
    <row r="3138" spans="1:13" ht="15" customHeight="1">
      <c r="A3138" s="10">
        <v>46202</v>
      </c>
      <c r="B3138" t="s">
        <v>1</v>
      </c>
      <c r="C3138" t="s">
        <v>234</v>
      </c>
      <c r="D3138">
        <v>77</v>
      </c>
      <c r="E3138">
        <v>0</v>
      </c>
      <c r="H3138">
        <v>12</v>
      </c>
      <c r="I3138">
        <v>65</v>
      </c>
      <c r="J3138">
        <v>0</v>
      </c>
      <c r="M3138" t="s">
        <v>3256</v>
      </c>
    </row>
    <row r="3139" spans="1:13" ht="15" customHeight="1">
      <c r="A3139" s="10">
        <v>46202</v>
      </c>
      <c r="B3139" t="s">
        <v>1</v>
      </c>
      <c r="C3139" t="s">
        <v>54</v>
      </c>
      <c r="D3139">
        <v>0</v>
      </c>
      <c r="E3139">
        <v>0</v>
      </c>
      <c r="H3139">
        <v>0</v>
      </c>
      <c r="I3139">
        <v>0</v>
      </c>
      <c r="J3139">
        <v>0</v>
      </c>
      <c r="M3139" t="s">
        <v>3257</v>
      </c>
    </row>
    <row r="3140" spans="1:13" ht="15" customHeight="1">
      <c r="A3140" s="10">
        <v>46202</v>
      </c>
      <c r="B3140" t="s">
        <v>1</v>
      </c>
      <c r="C3140" t="s">
        <v>237</v>
      </c>
      <c r="D3140">
        <v>8</v>
      </c>
      <c r="E3140">
        <v>0</v>
      </c>
      <c r="H3140">
        <v>1</v>
      </c>
      <c r="I3140">
        <v>7</v>
      </c>
      <c r="J3140">
        <v>0</v>
      </c>
      <c r="M3140" t="s">
        <v>3258</v>
      </c>
    </row>
    <row r="3141" spans="1:13" ht="15" customHeight="1">
      <c r="A3141" s="10">
        <v>46202</v>
      </c>
      <c r="B3141" t="s">
        <v>1</v>
      </c>
      <c r="C3141" s="135" t="s">
        <v>58</v>
      </c>
      <c r="D3141">
        <v>10</v>
      </c>
      <c r="E3141">
        <v>0</v>
      </c>
      <c r="H3141">
        <v>1</v>
      </c>
      <c r="I3141">
        <v>9</v>
      </c>
      <c r="J3141">
        <v>0</v>
      </c>
      <c r="M3141" t="s">
        <v>3259</v>
      </c>
    </row>
    <row r="3142" spans="1:13" ht="15" customHeight="1">
      <c r="A3142" s="10">
        <v>46202</v>
      </c>
      <c r="B3142" t="s">
        <v>1</v>
      </c>
      <c r="C3142" s="135" t="s">
        <v>60</v>
      </c>
      <c r="D3142">
        <v>10</v>
      </c>
      <c r="E3142">
        <v>0</v>
      </c>
      <c r="I3142">
        <v>10</v>
      </c>
      <c r="J3142">
        <v>0</v>
      </c>
      <c r="M3142" t="s">
        <v>3260</v>
      </c>
    </row>
    <row r="3143" spans="1:13" ht="15" customHeight="1">
      <c r="A3143" s="10">
        <v>46202</v>
      </c>
      <c r="B3143" t="s">
        <v>1</v>
      </c>
      <c r="C3143" s="135" t="s">
        <v>61</v>
      </c>
      <c r="D3143">
        <v>9</v>
      </c>
      <c r="E3143">
        <v>0</v>
      </c>
      <c r="H3143">
        <v>3</v>
      </c>
      <c r="I3143">
        <v>6</v>
      </c>
      <c r="J3143">
        <v>0</v>
      </c>
      <c r="M3143" t="s">
        <v>3261</v>
      </c>
    </row>
    <row r="3144" spans="1:13" ht="15" customHeight="1">
      <c r="A3144" s="10">
        <v>46202</v>
      </c>
      <c r="B3144" t="s">
        <v>1</v>
      </c>
      <c r="C3144" s="135" t="s">
        <v>62</v>
      </c>
      <c r="D3144">
        <v>8</v>
      </c>
      <c r="E3144">
        <v>0</v>
      </c>
      <c r="I3144">
        <v>8</v>
      </c>
      <c r="J3144">
        <v>0</v>
      </c>
      <c r="M3144" t="s">
        <v>3262</v>
      </c>
    </row>
    <row r="3145" spans="1:13" ht="15" customHeight="1">
      <c r="A3145" s="10">
        <v>46202</v>
      </c>
      <c r="B3145" t="s">
        <v>1</v>
      </c>
      <c r="C3145" s="135" t="s">
        <v>63</v>
      </c>
      <c r="D3145">
        <v>7</v>
      </c>
      <c r="E3145">
        <v>0</v>
      </c>
      <c r="I3145">
        <v>7</v>
      </c>
      <c r="J3145">
        <v>0</v>
      </c>
      <c r="M3145" t="s">
        <v>3263</v>
      </c>
    </row>
    <row r="3146" spans="1:13" ht="15" customHeight="1">
      <c r="A3146" s="10">
        <v>46202</v>
      </c>
      <c r="B3146" t="s">
        <v>1</v>
      </c>
      <c r="C3146" s="135" t="s">
        <v>64</v>
      </c>
      <c r="D3146">
        <v>3</v>
      </c>
      <c r="E3146">
        <v>0</v>
      </c>
      <c r="I3146">
        <v>3</v>
      </c>
      <c r="J3146">
        <v>0</v>
      </c>
      <c r="M3146" t="s">
        <v>3264</v>
      </c>
    </row>
    <row r="3147" spans="1:13" ht="15" customHeight="1">
      <c r="A3147" s="10">
        <v>46202</v>
      </c>
      <c r="B3147" t="s">
        <v>1</v>
      </c>
      <c r="C3147" t="s">
        <v>66</v>
      </c>
      <c r="D3147">
        <v>4</v>
      </c>
      <c r="E3147">
        <v>0</v>
      </c>
      <c r="I3147">
        <v>4</v>
      </c>
      <c r="J3147">
        <v>0</v>
      </c>
      <c r="M3147" t="s">
        <v>3265</v>
      </c>
    </row>
    <row r="3148" spans="1:13" ht="15" customHeight="1">
      <c r="A3148" s="10">
        <v>46202</v>
      </c>
      <c r="B3148" t="s">
        <v>1</v>
      </c>
      <c r="C3148" t="s">
        <v>67</v>
      </c>
      <c r="D3148">
        <v>7</v>
      </c>
      <c r="E3148">
        <v>0</v>
      </c>
      <c r="I3148">
        <v>7</v>
      </c>
      <c r="J3148">
        <v>0</v>
      </c>
      <c r="M3148" t="s">
        <v>3266</v>
      </c>
    </row>
    <row r="3149" spans="1:13" ht="15" customHeight="1">
      <c r="A3149" s="10">
        <v>46202</v>
      </c>
      <c r="B3149" t="s">
        <v>1</v>
      </c>
      <c r="C3149" t="s">
        <v>68</v>
      </c>
      <c r="D3149">
        <v>0</v>
      </c>
      <c r="E3149">
        <v>0</v>
      </c>
      <c r="I3149">
        <v>0</v>
      </c>
      <c r="J3149">
        <v>0</v>
      </c>
      <c r="M3149" t="s">
        <v>3267</v>
      </c>
    </row>
    <row r="3150" spans="1:13" ht="15" customHeight="1">
      <c r="A3150" s="10">
        <v>46202</v>
      </c>
      <c r="B3150" t="s">
        <v>1</v>
      </c>
      <c r="C3150" t="s">
        <v>71</v>
      </c>
      <c r="D3150">
        <v>1</v>
      </c>
      <c r="E3150">
        <v>86</v>
      </c>
      <c r="I3150">
        <v>1</v>
      </c>
      <c r="J3150">
        <v>56</v>
      </c>
      <c r="M3150" t="s">
        <v>3268</v>
      </c>
    </row>
    <row r="3151" spans="1:13" ht="15" customHeight="1">
      <c r="A3151" s="10">
        <v>46202</v>
      </c>
      <c r="B3151" t="s">
        <v>1</v>
      </c>
      <c r="C3151" t="s">
        <v>73</v>
      </c>
      <c r="D3151">
        <v>2</v>
      </c>
      <c r="E3151">
        <v>300</v>
      </c>
      <c r="I3151">
        <v>2</v>
      </c>
      <c r="J3151">
        <v>255</v>
      </c>
      <c r="M3151" t="s">
        <v>3269</v>
      </c>
    </row>
    <row r="3152" spans="1:13" ht="15" customHeight="1">
      <c r="A3152" s="10">
        <v>46202</v>
      </c>
      <c r="B3152" t="s">
        <v>1</v>
      </c>
      <c r="C3152" t="s">
        <v>75</v>
      </c>
      <c r="D3152">
        <v>1</v>
      </c>
      <c r="E3152">
        <v>194</v>
      </c>
      <c r="I3152">
        <v>1</v>
      </c>
      <c r="J3152">
        <v>194</v>
      </c>
      <c r="M3152" t="s">
        <v>3270</v>
      </c>
    </row>
    <row r="3153" spans="1:13" ht="15" customHeight="1">
      <c r="A3153" s="10">
        <v>46202</v>
      </c>
      <c r="B3153" t="s">
        <v>1</v>
      </c>
      <c r="C3153" t="s">
        <v>77</v>
      </c>
      <c r="D3153">
        <v>0</v>
      </c>
      <c r="E3153">
        <v>775</v>
      </c>
      <c r="I3153">
        <v>0</v>
      </c>
      <c r="J3153">
        <v>770</v>
      </c>
      <c r="M3153" t="s">
        <v>3271</v>
      </c>
    </row>
    <row r="3154" spans="1:13" ht="15" customHeight="1">
      <c r="A3154" s="10">
        <v>46202</v>
      </c>
      <c r="B3154" t="s">
        <v>1</v>
      </c>
      <c r="C3154" t="s">
        <v>79</v>
      </c>
      <c r="D3154">
        <v>0</v>
      </c>
      <c r="E3154">
        <v>1830</v>
      </c>
      <c r="I3154">
        <v>0</v>
      </c>
      <c r="J3154">
        <v>1620</v>
      </c>
      <c r="M3154" t="s">
        <v>3272</v>
      </c>
    </row>
    <row r="3155" spans="1:13" ht="15" customHeight="1">
      <c r="A3155" s="10">
        <v>46202</v>
      </c>
      <c r="B3155" t="s">
        <v>1</v>
      </c>
      <c r="C3155" t="s">
        <v>81</v>
      </c>
      <c r="D3155">
        <v>1</v>
      </c>
      <c r="E3155">
        <v>168</v>
      </c>
      <c r="I3155">
        <v>1</v>
      </c>
      <c r="J3155">
        <v>168</v>
      </c>
      <c r="M3155" t="s">
        <v>3273</v>
      </c>
    </row>
    <row r="3156" spans="1:13" ht="15" customHeight="1">
      <c r="A3156" s="10">
        <v>46202</v>
      </c>
      <c r="B3156" t="s">
        <v>1</v>
      </c>
      <c r="C3156" t="s">
        <v>83</v>
      </c>
      <c r="D3156">
        <v>1</v>
      </c>
      <c r="E3156">
        <v>85</v>
      </c>
      <c r="I3156">
        <v>1</v>
      </c>
      <c r="J3156">
        <v>85</v>
      </c>
      <c r="M3156" t="s">
        <v>3274</v>
      </c>
    </row>
    <row r="3157" spans="1:13" ht="15" customHeight="1">
      <c r="A3157" s="10">
        <v>46202</v>
      </c>
      <c r="B3157" t="s">
        <v>1</v>
      </c>
      <c r="C3157" t="s">
        <v>84</v>
      </c>
      <c r="D3157">
        <v>1</v>
      </c>
      <c r="E3157">
        <v>80</v>
      </c>
      <c r="I3157">
        <v>1</v>
      </c>
      <c r="J3157">
        <v>80</v>
      </c>
      <c r="M3157" t="s">
        <v>3275</v>
      </c>
    </row>
    <row r="3158" spans="1:13" ht="15" customHeight="1">
      <c r="A3158" s="10">
        <v>46202</v>
      </c>
      <c r="B3158" t="s">
        <v>1</v>
      </c>
      <c r="C3158" t="s">
        <v>85</v>
      </c>
      <c r="D3158">
        <v>0</v>
      </c>
      <c r="E3158">
        <v>131</v>
      </c>
      <c r="I3158">
        <v>0</v>
      </c>
      <c r="J3158">
        <v>130</v>
      </c>
      <c r="M3158" t="s">
        <v>3276</v>
      </c>
    </row>
    <row r="3159" spans="1:13" ht="15" customHeight="1">
      <c r="A3159" s="10">
        <v>46202</v>
      </c>
      <c r="B3159" t="s">
        <v>1</v>
      </c>
      <c r="C3159" t="s">
        <v>87</v>
      </c>
      <c r="D3159">
        <v>2</v>
      </c>
      <c r="E3159">
        <v>358</v>
      </c>
      <c r="I3159">
        <v>2</v>
      </c>
      <c r="J3159">
        <v>298</v>
      </c>
      <c r="M3159" t="s">
        <v>3277</v>
      </c>
    </row>
    <row r="3160" spans="1:13" ht="15" customHeight="1">
      <c r="A3160" s="10">
        <v>46202</v>
      </c>
      <c r="B3160" t="s">
        <v>1</v>
      </c>
      <c r="C3160" t="s">
        <v>88</v>
      </c>
      <c r="D3160">
        <v>1</v>
      </c>
      <c r="E3160">
        <v>220</v>
      </c>
      <c r="I3160">
        <v>1</v>
      </c>
      <c r="J3160">
        <v>220</v>
      </c>
      <c r="M3160" t="s">
        <v>3278</v>
      </c>
    </row>
    <row r="3161" spans="1:13" ht="15" customHeight="1">
      <c r="A3161" s="10">
        <v>46202</v>
      </c>
      <c r="B3161" t="s">
        <v>1</v>
      </c>
      <c r="C3161" t="s">
        <v>89</v>
      </c>
      <c r="D3161">
        <v>1</v>
      </c>
      <c r="E3161">
        <v>104</v>
      </c>
      <c r="I3161">
        <v>1</v>
      </c>
      <c r="J3161">
        <v>102</v>
      </c>
      <c r="M3161" t="s">
        <v>3279</v>
      </c>
    </row>
    <row r="3162" spans="1:13" ht="15" customHeight="1">
      <c r="A3162" s="10">
        <v>46202</v>
      </c>
      <c r="B3162" t="s">
        <v>1</v>
      </c>
      <c r="C3162" t="s">
        <v>90</v>
      </c>
      <c r="D3162">
        <v>1</v>
      </c>
      <c r="E3162">
        <v>671</v>
      </c>
      <c r="I3162">
        <v>1</v>
      </c>
      <c r="J3162">
        <v>671</v>
      </c>
      <c r="M3162" t="s">
        <v>3280</v>
      </c>
    </row>
    <row r="3163" spans="1:13" ht="15" customHeight="1">
      <c r="A3163" s="10">
        <v>46202</v>
      </c>
      <c r="B3163" t="s">
        <v>1</v>
      </c>
      <c r="C3163" t="s">
        <v>92</v>
      </c>
      <c r="D3163">
        <v>1</v>
      </c>
      <c r="E3163">
        <v>700</v>
      </c>
      <c r="I3163">
        <v>1</v>
      </c>
      <c r="J3163">
        <v>700</v>
      </c>
      <c r="M3163" t="s">
        <v>3281</v>
      </c>
    </row>
    <row r="3164" spans="1:13" ht="15" customHeight="1">
      <c r="A3164" s="10">
        <v>46202</v>
      </c>
      <c r="B3164" t="s">
        <v>1</v>
      </c>
      <c r="C3164" t="s">
        <v>94</v>
      </c>
      <c r="D3164">
        <v>4</v>
      </c>
      <c r="E3164">
        <v>224</v>
      </c>
      <c r="I3164">
        <v>3</v>
      </c>
      <c r="J3164">
        <v>52</v>
      </c>
      <c r="K3164">
        <v>72</v>
      </c>
      <c r="M3164" t="s">
        <v>3282</v>
      </c>
    </row>
    <row r="3165" spans="1:13" ht="15" customHeight="1">
      <c r="A3165" s="10">
        <v>46202</v>
      </c>
      <c r="B3165" t="s">
        <v>1</v>
      </c>
      <c r="C3165" t="s">
        <v>96</v>
      </c>
      <c r="D3165">
        <v>0</v>
      </c>
      <c r="E3165">
        <v>0</v>
      </c>
      <c r="I3165">
        <v>0</v>
      </c>
      <c r="J3165">
        <v>0</v>
      </c>
      <c r="M3165" t="s">
        <v>3283</v>
      </c>
    </row>
    <row r="3166" spans="1:13" ht="15" customHeight="1">
      <c r="A3166" s="10">
        <v>46202</v>
      </c>
      <c r="B3166" t="s">
        <v>1</v>
      </c>
      <c r="C3166" t="s">
        <v>98</v>
      </c>
      <c r="D3166">
        <v>0</v>
      </c>
      <c r="E3166">
        <v>0</v>
      </c>
      <c r="I3166">
        <v>0</v>
      </c>
      <c r="J3166">
        <v>0</v>
      </c>
      <c r="M3166" t="s">
        <v>3284</v>
      </c>
    </row>
    <row r="3167" spans="1:13" ht="15" customHeight="1">
      <c r="A3167" s="10">
        <v>46202</v>
      </c>
      <c r="B3167" t="s">
        <v>1</v>
      </c>
      <c r="C3167" t="s">
        <v>203</v>
      </c>
      <c r="D3167">
        <v>3</v>
      </c>
      <c r="E3167">
        <v>254</v>
      </c>
      <c r="I3167">
        <v>3</v>
      </c>
      <c r="J3167">
        <v>78</v>
      </c>
      <c r="M3167" t="s">
        <v>3285</v>
      </c>
    </row>
    <row r="3168" spans="1:13" ht="15" customHeight="1">
      <c r="A3168" s="10">
        <v>46202</v>
      </c>
      <c r="B3168" t="s">
        <v>1</v>
      </c>
      <c r="C3168" t="s">
        <v>100</v>
      </c>
      <c r="D3168">
        <v>0</v>
      </c>
      <c r="E3168">
        <v>0</v>
      </c>
      <c r="I3168">
        <v>0</v>
      </c>
      <c r="J3168">
        <v>0</v>
      </c>
      <c r="M3168" t="s">
        <v>3286</v>
      </c>
    </row>
    <row r="3169" spans="1:13" ht="15" customHeight="1">
      <c r="A3169" s="10">
        <v>46202</v>
      </c>
      <c r="B3169" t="s">
        <v>1</v>
      </c>
      <c r="C3169" t="s">
        <v>101</v>
      </c>
      <c r="D3169">
        <v>1</v>
      </c>
      <c r="E3169">
        <v>0</v>
      </c>
      <c r="I3169">
        <v>0</v>
      </c>
      <c r="J3169">
        <v>310</v>
      </c>
      <c r="M3169" t="s">
        <v>3287</v>
      </c>
    </row>
    <row r="3170" spans="1:13" ht="15" customHeight="1">
      <c r="A3170" s="10">
        <v>46202</v>
      </c>
      <c r="B3170" t="s">
        <v>1</v>
      </c>
      <c r="C3170" t="s">
        <v>103</v>
      </c>
      <c r="D3170">
        <v>0</v>
      </c>
      <c r="E3170">
        <v>0</v>
      </c>
      <c r="I3170">
        <v>0</v>
      </c>
      <c r="J3170">
        <v>4</v>
      </c>
      <c r="M3170" t="s">
        <v>3288</v>
      </c>
    </row>
    <row r="3171" spans="1:13" ht="15" customHeight="1">
      <c r="A3171" s="10">
        <v>46202</v>
      </c>
      <c r="B3171" t="s">
        <v>1</v>
      </c>
      <c r="C3171" t="s">
        <v>106</v>
      </c>
      <c r="D3171">
        <v>2</v>
      </c>
      <c r="E3171">
        <v>150</v>
      </c>
      <c r="I3171">
        <v>2</v>
      </c>
      <c r="J3171">
        <v>80</v>
      </c>
      <c r="M3171" t="s">
        <v>3289</v>
      </c>
    </row>
    <row r="3172" spans="1:13" ht="15" customHeight="1">
      <c r="A3172" s="10">
        <v>46202</v>
      </c>
      <c r="B3172" t="s">
        <v>1</v>
      </c>
      <c r="C3172" t="s">
        <v>108</v>
      </c>
      <c r="D3172">
        <v>1</v>
      </c>
      <c r="E3172">
        <v>455</v>
      </c>
      <c r="I3172">
        <v>1</v>
      </c>
      <c r="J3172">
        <v>410</v>
      </c>
      <c r="M3172" t="s">
        <v>3290</v>
      </c>
    </row>
    <row r="3173" spans="1:13" ht="15" customHeight="1">
      <c r="A3173" s="10">
        <v>46202</v>
      </c>
      <c r="B3173" t="s">
        <v>1</v>
      </c>
      <c r="C3173" t="s">
        <v>109</v>
      </c>
      <c r="D3173">
        <v>0</v>
      </c>
      <c r="E3173">
        <v>1044</v>
      </c>
      <c r="I3173">
        <v>0</v>
      </c>
      <c r="J3173">
        <v>984</v>
      </c>
      <c r="M3173" t="s">
        <v>3291</v>
      </c>
    </row>
    <row r="3174" spans="1:13" ht="15" customHeight="1">
      <c r="A3174" s="10">
        <v>46202</v>
      </c>
      <c r="B3174" t="s">
        <v>1</v>
      </c>
      <c r="C3174" t="s">
        <v>112</v>
      </c>
      <c r="D3174">
        <v>1</v>
      </c>
      <c r="E3174">
        <v>31</v>
      </c>
      <c r="I3174">
        <v>1</v>
      </c>
      <c r="J3174">
        <v>29</v>
      </c>
      <c r="M3174" t="s">
        <v>3292</v>
      </c>
    </row>
    <row r="3175" spans="1:13" ht="15" customHeight="1">
      <c r="A3175" s="10">
        <v>46202</v>
      </c>
      <c r="B3175" t="s">
        <v>1</v>
      </c>
      <c r="C3175" t="s">
        <v>114</v>
      </c>
      <c r="D3175">
        <v>2</v>
      </c>
      <c r="E3175">
        <v>45</v>
      </c>
      <c r="I3175">
        <v>2</v>
      </c>
      <c r="J3175">
        <v>40</v>
      </c>
      <c r="M3175" t="s">
        <v>3293</v>
      </c>
    </row>
    <row r="3176" spans="1:13" ht="15" customHeight="1">
      <c r="A3176" s="10">
        <v>46202</v>
      </c>
      <c r="B3176" t="s">
        <v>1</v>
      </c>
      <c r="C3176" t="s">
        <v>115</v>
      </c>
      <c r="D3176">
        <v>1</v>
      </c>
      <c r="E3176">
        <v>22</v>
      </c>
      <c r="I3176">
        <v>1</v>
      </c>
      <c r="J3176">
        <v>17</v>
      </c>
      <c r="M3176" t="s">
        <v>3294</v>
      </c>
    </row>
    <row r="3177" spans="1:13" ht="15" customHeight="1">
      <c r="A3177" s="10">
        <v>46202</v>
      </c>
      <c r="B3177" t="s">
        <v>1</v>
      </c>
      <c r="C3177" t="s">
        <v>116</v>
      </c>
      <c r="D3177">
        <v>2</v>
      </c>
      <c r="E3177">
        <v>30</v>
      </c>
      <c r="I3177">
        <v>2</v>
      </c>
      <c r="J3177">
        <v>15</v>
      </c>
      <c r="M3177" t="s">
        <v>3295</v>
      </c>
    </row>
    <row r="3178" spans="1:13" ht="15" customHeight="1">
      <c r="A3178" s="10">
        <v>46202</v>
      </c>
      <c r="B3178" t="s">
        <v>1</v>
      </c>
      <c r="C3178" t="s">
        <v>119</v>
      </c>
      <c r="D3178">
        <v>2</v>
      </c>
      <c r="E3178">
        <v>0</v>
      </c>
      <c r="I3178">
        <v>2</v>
      </c>
      <c r="M3178" t="s">
        <v>3296</v>
      </c>
    </row>
    <row r="3179" spans="1:13" ht="15" customHeight="1">
      <c r="A3179" s="10">
        <v>46202</v>
      </c>
      <c r="B3179" t="s">
        <v>1</v>
      </c>
      <c r="C3179" t="s">
        <v>120</v>
      </c>
      <c r="D3179">
        <v>2</v>
      </c>
      <c r="E3179">
        <v>0</v>
      </c>
      <c r="I3179">
        <v>2</v>
      </c>
      <c r="M3179" t="s">
        <v>3297</v>
      </c>
    </row>
    <row r="3180" spans="1:13" ht="15" customHeight="1">
      <c r="A3180" s="10">
        <v>46202</v>
      </c>
      <c r="B3180" t="s">
        <v>1</v>
      </c>
      <c r="C3180" t="s">
        <v>121</v>
      </c>
      <c r="D3180">
        <v>3</v>
      </c>
      <c r="E3180">
        <v>0</v>
      </c>
      <c r="I3180">
        <v>2</v>
      </c>
      <c r="M3180" t="s">
        <v>3298</v>
      </c>
    </row>
    <row r="3181" spans="1:13" ht="15" customHeight="1">
      <c r="A3181" s="10">
        <v>46202</v>
      </c>
      <c r="B3181" t="s">
        <v>1</v>
      </c>
      <c r="C3181" t="s">
        <v>123</v>
      </c>
      <c r="D3181">
        <v>2</v>
      </c>
      <c r="E3181">
        <v>0</v>
      </c>
      <c r="I3181">
        <v>2</v>
      </c>
      <c r="M3181" t="s">
        <v>3299</v>
      </c>
    </row>
    <row r="3182" spans="1:13" ht="15" customHeight="1">
      <c r="A3182" s="10">
        <v>46202</v>
      </c>
      <c r="B3182" t="s">
        <v>1</v>
      </c>
      <c r="C3182" t="s">
        <v>124</v>
      </c>
      <c r="D3182">
        <v>1</v>
      </c>
      <c r="E3182">
        <v>0</v>
      </c>
      <c r="I3182">
        <v>1</v>
      </c>
      <c r="M3182" t="s">
        <v>3300</v>
      </c>
    </row>
    <row r="3183" spans="1:13" ht="15" customHeight="1">
      <c r="A3183" s="10">
        <v>46202</v>
      </c>
      <c r="B3183" t="s">
        <v>1</v>
      </c>
      <c r="C3183" t="s">
        <v>125</v>
      </c>
      <c r="D3183">
        <v>2</v>
      </c>
      <c r="E3183">
        <v>0</v>
      </c>
      <c r="I3183">
        <v>2</v>
      </c>
      <c r="M3183" t="s">
        <v>3301</v>
      </c>
    </row>
    <row r="3184" spans="1:13" ht="15" customHeight="1">
      <c r="A3184" s="10">
        <v>46202</v>
      </c>
      <c r="B3184" t="s">
        <v>1</v>
      </c>
      <c r="C3184" t="s">
        <v>126</v>
      </c>
      <c r="D3184">
        <v>2</v>
      </c>
      <c r="E3184">
        <v>0</v>
      </c>
      <c r="I3184">
        <v>2</v>
      </c>
      <c r="M3184" t="s">
        <v>3302</v>
      </c>
    </row>
    <row r="3185" spans="1:13" ht="15" customHeight="1">
      <c r="A3185" s="10">
        <v>46202</v>
      </c>
      <c r="B3185" t="s">
        <v>1</v>
      </c>
      <c r="C3185" t="s">
        <v>128</v>
      </c>
      <c r="D3185">
        <v>3</v>
      </c>
      <c r="E3185">
        <v>0</v>
      </c>
      <c r="I3185">
        <v>3</v>
      </c>
      <c r="M3185" t="s">
        <v>3303</v>
      </c>
    </row>
    <row r="3186" spans="1:13" ht="15" customHeight="1">
      <c r="A3186" s="10">
        <v>46202</v>
      </c>
      <c r="B3186" t="s">
        <v>1</v>
      </c>
      <c r="C3186" t="s">
        <v>130</v>
      </c>
      <c r="D3186">
        <v>4</v>
      </c>
      <c r="E3186">
        <v>0</v>
      </c>
      <c r="I3186">
        <v>3</v>
      </c>
      <c r="M3186" t="s">
        <v>3304</v>
      </c>
    </row>
    <row r="3187" spans="1:13" ht="15" customHeight="1">
      <c r="A3187" s="10">
        <v>46202</v>
      </c>
      <c r="B3187" t="s">
        <v>1</v>
      </c>
      <c r="C3187" t="s">
        <v>285</v>
      </c>
      <c r="D3187">
        <v>2</v>
      </c>
      <c r="E3187">
        <v>0</v>
      </c>
      <c r="I3187">
        <v>2</v>
      </c>
      <c r="M3187" t="s">
        <v>3305</v>
      </c>
    </row>
    <row r="3188" spans="1:13" ht="15" customHeight="1">
      <c r="A3188" s="10">
        <v>46202</v>
      </c>
      <c r="B3188" t="s">
        <v>1</v>
      </c>
      <c r="C3188" t="s">
        <v>287</v>
      </c>
      <c r="D3188">
        <v>2</v>
      </c>
      <c r="E3188">
        <v>0</v>
      </c>
      <c r="I3188">
        <v>2</v>
      </c>
      <c r="M3188" t="s">
        <v>3306</v>
      </c>
    </row>
    <row r="3189" spans="1:13" ht="15" customHeight="1">
      <c r="A3189" s="10">
        <v>46202</v>
      </c>
      <c r="B3189" t="s">
        <v>1</v>
      </c>
      <c r="C3189" t="s">
        <v>289</v>
      </c>
      <c r="D3189">
        <v>2</v>
      </c>
      <c r="E3189">
        <v>0</v>
      </c>
      <c r="I3189">
        <v>1</v>
      </c>
      <c r="M3189" t="s">
        <v>3307</v>
      </c>
    </row>
    <row r="3190" spans="1:13" ht="15" customHeight="1">
      <c r="A3190" s="10">
        <v>46202</v>
      </c>
      <c r="B3190" t="s">
        <v>1</v>
      </c>
      <c r="C3190" t="s">
        <v>291</v>
      </c>
      <c r="D3190">
        <v>2</v>
      </c>
      <c r="E3190">
        <v>0</v>
      </c>
      <c r="I3190">
        <v>2</v>
      </c>
      <c r="M3190" t="s">
        <v>3308</v>
      </c>
    </row>
    <row r="3191" spans="1:13" ht="15" customHeight="1">
      <c r="A3191" s="10">
        <v>46202</v>
      </c>
      <c r="B3191" t="s">
        <v>1</v>
      </c>
      <c r="C3191" t="s">
        <v>293</v>
      </c>
      <c r="D3191">
        <v>3</v>
      </c>
      <c r="E3191">
        <v>0</v>
      </c>
      <c r="I3191">
        <v>3</v>
      </c>
      <c r="M3191" t="s">
        <v>3309</v>
      </c>
    </row>
    <row r="3192" spans="1:13" ht="15" customHeight="1">
      <c r="A3192" s="10">
        <v>46202</v>
      </c>
      <c r="B3192" t="s">
        <v>1</v>
      </c>
      <c r="C3192" s="135" t="s">
        <v>138</v>
      </c>
      <c r="D3192">
        <v>0</v>
      </c>
      <c r="E3192">
        <v>50</v>
      </c>
      <c r="I3192">
        <v>0</v>
      </c>
      <c r="J3192">
        <v>47</v>
      </c>
      <c r="M3192" t="s">
        <v>3310</v>
      </c>
    </row>
    <row r="3193" spans="1:13" ht="15" customHeight="1">
      <c r="A3193" s="10">
        <v>46202</v>
      </c>
      <c r="B3193" t="s">
        <v>1</v>
      </c>
      <c r="C3193" s="135" t="s">
        <v>139</v>
      </c>
      <c r="D3193">
        <v>0</v>
      </c>
      <c r="E3193">
        <v>28</v>
      </c>
      <c r="I3193">
        <v>0</v>
      </c>
      <c r="J3193">
        <v>26</v>
      </c>
      <c r="M3193" t="s">
        <v>3311</v>
      </c>
    </row>
    <row r="3194" spans="1:13" ht="15" customHeight="1">
      <c r="A3194" s="10">
        <v>46202</v>
      </c>
      <c r="B3194" t="s">
        <v>1</v>
      </c>
      <c r="C3194" s="135" t="s">
        <v>140</v>
      </c>
      <c r="D3194">
        <v>0</v>
      </c>
      <c r="E3194">
        <v>37</v>
      </c>
      <c r="I3194">
        <v>0</v>
      </c>
      <c r="J3194">
        <v>36</v>
      </c>
      <c r="M3194" t="s">
        <v>3312</v>
      </c>
    </row>
    <row r="3195" spans="1:13" ht="15" customHeight="1">
      <c r="A3195" s="10">
        <v>46202</v>
      </c>
      <c r="B3195" t="s">
        <v>1</v>
      </c>
      <c r="C3195" s="135" t="s">
        <v>141</v>
      </c>
      <c r="D3195">
        <v>0</v>
      </c>
      <c r="E3195">
        <v>1</v>
      </c>
      <c r="I3195">
        <v>0</v>
      </c>
      <c r="J3195">
        <v>1</v>
      </c>
      <c r="M3195" t="s">
        <v>3313</v>
      </c>
    </row>
    <row r="3196" spans="1:13" ht="15" customHeight="1">
      <c r="A3196" s="10">
        <v>46202</v>
      </c>
      <c r="B3196" t="s">
        <v>1</v>
      </c>
      <c r="C3196" s="135" t="s">
        <v>143</v>
      </c>
      <c r="D3196">
        <v>0</v>
      </c>
      <c r="E3196">
        <v>53</v>
      </c>
      <c r="I3196">
        <v>0</v>
      </c>
      <c r="J3196">
        <v>51</v>
      </c>
      <c r="M3196" t="s">
        <v>3314</v>
      </c>
    </row>
    <row r="3197" spans="1:13" ht="15" customHeight="1">
      <c r="A3197" s="10">
        <v>46202</v>
      </c>
      <c r="B3197" t="s">
        <v>1</v>
      </c>
      <c r="C3197" s="135" t="s">
        <v>145</v>
      </c>
      <c r="D3197">
        <v>0</v>
      </c>
      <c r="E3197">
        <v>42</v>
      </c>
      <c r="I3197">
        <v>0</v>
      </c>
      <c r="J3197">
        <v>40</v>
      </c>
      <c r="M3197" t="s">
        <v>3315</v>
      </c>
    </row>
    <row r="3198" spans="1:13" ht="15" customHeight="1">
      <c r="A3198" s="10">
        <v>46202</v>
      </c>
      <c r="B3198" t="s">
        <v>1</v>
      </c>
      <c r="C3198" s="135" t="s">
        <v>147</v>
      </c>
      <c r="D3198">
        <v>0</v>
      </c>
      <c r="E3198">
        <v>27</v>
      </c>
      <c r="I3198">
        <v>0</v>
      </c>
      <c r="J3198">
        <v>27</v>
      </c>
      <c r="M3198" t="s">
        <v>3316</v>
      </c>
    </row>
    <row r="3199" spans="1:13" ht="15" customHeight="1">
      <c r="A3199" s="10">
        <v>46202</v>
      </c>
      <c r="B3199" t="s">
        <v>1</v>
      </c>
      <c r="C3199" t="s">
        <v>302</v>
      </c>
      <c r="D3199">
        <v>2</v>
      </c>
      <c r="E3199">
        <v>0</v>
      </c>
      <c r="I3199">
        <v>2</v>
      </c>
      <c r="M3199" t="s">
        <v>3317</v>
      </c>
    </row>
    <row r="3200" spans="1:13" ht="15" customHeight="1">
      <c r="A3200" s="10">
        <v>46202</v>
      </c>
      <c r="B3200" t="s">
        <v>1</v>
      </c>
      <c r="C3200" t="s">
        <v>150</v>
      </c>
      <c r="D3200">
        <v>2</v>
      </c>
      <c r="E3200">
        <v>0</v>
      </c>
      <c r="I3200">
        <v>2</v>
      </c>
      <c r="M3200" t="s">
        <v>3318</v>
      </c>
    </row>
    <row r="3201" spans="1:13" ht="15" customHeight="1">
      <c r="A3201" s="10">
        <v>46202</v>
      </c>
      <c r="B3201" t="s">
        <v>1</v>
      </c>
      <c r="C3201" t="s">
        <v>151</v>
      </c>
      <c r="D3201">
        <v>2</v>
      </c>
      <c r="E3201">
        <v>0</v>
      </c>
      <c r="I3201">
        <v>2</v>
      </c>
      <c r="M3201" t="s">
        <v>3319</v>
      </c>
    </row>
    <row r="3202" spans="1:13" ht="15" customHeight="1">
      <c r="A3202" s="10">
        <v>46202</v>
      </c>
      <c r="B3202" t="s">
        <v>1</v>
      </c>
      <c r="C3202" t="s">
        <v>152</v>
      </c>
      <c r="D3202">
        <v>2</v>
      </c>
      <c r="E3202">
        <v>0</v>
      </c>
      <c r="I3202">
        <v>2</v>
      </c>
      <c r="M3202" t="s">
        <v>3320</v>
      </c>
    </row>
    <row r="3203" spans="1:13" ht="15" customHeight="1">
      <c r="A3203" s="10">
        <v>46202</v>
      </c>
      <c r="B3203" t="s">
        <v>1</v>
      </c>
      <c r="C3203" t="s">
        <v>153</v>
      </c>
      <c r="D3203">
        <v>2</v>
      </c>
      <c r="E3203">
        <v>0</v>
      </c>
      <c r="I3203">
        <v>2</v>
      </c>
      <c r="M3203" t="s">
        <v>3321</v>
      </c>
    </row>
    <row r="3204" spans="1:13" ht="15" customHeight="1">
      <c r="A3204" s="10">
        <v>46202</v>
      </c>
      <c r="B3204" t="s">
        <v>1</v>
      </c>
      <c r="C3204" t="s">
        <v>308</v>
      </c>
      <c r="D3204">
        <v>0</v>
      </c>
      <c r="E3204">
        <v>2</v>
      </c>
      <c r="I3204">
        <v>0</v>
      </c>
      <c r="J3204">
        <v>2</v>
      </c>
      <c r="M3204" t="s">
        <v>3322</v>
      </c>
    </row>
    <row r="3205" spans="1:13" ht="15" customHeight="1">
      <c r="A3205" s="10">
        <v>46202</v>
      </c>
      <c r="B3205" t="s">
        <v>1</v>
      </c>
      <c r="C3205" t="s">
        <v>310</v>
      </c>
      <c r="D3205">
        <v>0</v>
      </c>
      <c r="E3205">
        <v>2</v>
      </c>
      <c r="I3205">
        <v>0</v>
      </c>
      <c r="J3205">
        <v>2</v>
      </c>
      <c r="M3205" t="s">
        <v>3323</v>
      </c>
    </row>
    <row r="3206" spans="1:13" ht="15" customHeight="1">
      <c r="A3206" s="10">
        <v>46202</v>
      </c>
      <c r="B3206" t="s">
        <v>1</v>
      </c>
      <c r="C3206" t="s">
        <v>312</v>
      </c>
      <c r="D3206">
        <v>0</v>
      </c>
      <c r="E3206">
        <v>2</v>
      </c>
      <c r="I3206">
        <v>0</v>
      </c>
      <c r="J3206">
        <v>2</v>
      </c>
      <c r="M3206" t="s">
        <v>3324</v>
      </c>
    </row>
    <row r="3207" spans="1:13" ht="15" customHeight="1">
      <c r="A3207" s="10">
        <v>46202</v>
      </c>
      <c r="B3207" t="s">
        <v>1</v>
      </c>
      <c r="C3207" t="s">
        <v>314</v>
      </c>
      <c r="D3207">
        <v>1</v>
      </c>
      <c r="E3207">
        <v>0</v>
      </c>
      <c r="I3207">
        <v>1</v>
      </c>
      <c r="M3207" t="s">
        <v>3325</v>
      </c>
    </row>
    <row r="3208" spans="1:13" ht="15" customHeight="1">
      <c r="A3208" s="10">
        <v>46202</v>
      </c>
      <c r="B3208" t="s">
        <v>1</v>
      </c>
      <c r="C3208" t="s">
        <v>316</v>
      </c>
      <c r="D3208">
        <v>1</v>
      </c>
      <c r="E3208">
        <v>0</v>
      </c>
      <c r="I3208">
        <v>1</v>
      </c>
      <c r="M3208" t="s">
        <v>3326</v>
      </c>
    </row>
    <row r="3209" spans="1:13" ht="15" customHeight="1">
      <c r="A3209" s="10">
        <v>46202</v>
      </c>
      <c r="B3209" t="s">
        <v>1</v>
      </c>
      <c r="C3209" t="s">
        <v>318</v>
      </c>
      <c r="D3209">
        <v>3</v>
      </c>
      <c r="E3209">
        <v>0</v>
      </c>
      <c r="I3209">
        <v>2</v>
      </c>
      <c r="M3209" t="s">
        <v>3327</v>
      </c>
    </row>
    <row r="3210" spans="1:13" ht="15" customHeight="1">
      <c r="A3210" s="10">
        <v>46202</v>
      </c>
      <c r="B3210" t="s">
        <v>1</v>
      </c>
      <c r="C3210" t="s">
        <v>320</v>
      </c>
      <c r="D3210">
        <v>1</v>
      </c>
      <c r="E3210">
        <v>0</v>
      </c>
      <c r="I3210">
        <v>1</v>
      </c>
      <c r="M3210" t="s">
        <v>3328</v>
      </c>
    </row>
    <row r="3211" spans="1:13" ht="15" customHeight="1">
      <c r="A3211" s="10">
        <v>46202</v>
      </c>
      <c r="B3211" t="s">
        <v>1</v>
      </c>
      <c r="C3211" t="s">
        <v>322</v>
      </c>
      <c r="D3211">
        <v>0</v>
      </c>
      <c r="E3211">
        <v>0</v>
      </c>
      <c r="I3211">
        <v>0</v>
      </c>
      <c r="M3211" t="s">
        <v>3329</v>
      </c>
    </row>
    <row r="3212" spans="1:13" ht="15" customHeight="1">
      <c r="A3212" s="10">
        <v>46202</v>
      </c>
      <c r="B3212" t="s">
        <v>1</v>
      </c>
      <c r="C3212" s="135" t="s">
        <v>168</v>
      </c>
      <c r="D3212">
        <v>1</v>
      </c>
      <c r="E3212">
        <v>0</v>
      </c>
      <c r="I3212">
        <v>1</v>
      </c>
      <c r="M3212" t="s">
        <v>3330</v>
      </c>
    </row>
    <row r="3213" spans="1:13" ht="15" customHeight="1">
      <c r="A3213" s="10">
        <v>46202</v>
      </c>
      <c r="B3213" t="s">
        <v>1</v>
      </c>
      <c r="C3213" s="135" t="s">
        <v>170</v>
      </c>
      <c r="D3213">
        <v>1</v>
      </c>
      <c r="E3213">
        <v>0</v>
      </c>
      <c r="I3213">
        <v>1</v>
      </c>
      <c r="M3213" t="s">
        <v>3331</v>
      </c>
    </row>
    <row r="3214" spans="1:13" ht="15" customHeight="1">
      <c r="A3214" s="10">
        <v>46202</v>
      </c>
      <c r="B3214" t="s">
        <v>1</v>
      </c>
      <c r="C3214" s="135" t="s">
        <v>171</v>
      </c>
      <c r="D3214">
        <v>2</v>
      </c>
      <c r="E3214">
        <v>0</v>
      </c>
      <c r="I3214">
        <v>2</v>
      </c>
      <c r="M3214" t="s">
        <v>3332</v>
      </c>
    </row>
    <row r="3215" spans="1:13" ht="15" customHeight="1">
      <c r="A3215" s="10">
        <v>46202</v>
      </c>
      <c r="B3215" t="s">
        <v>1</v>
      </c>
      <c r="C3215" s="135" t="s">
        <v>172</v>
      </c>
      <c r="D3215">
        <v>1</v>
      </c>
      <c r="E3215">
        <v>0</v>
      </c>
      <c r="I3215">
        <v>1</v>
      </c>
      <c r="M3215" t="s">
        <v>3333</v>
      </c>
    </row>
    <row r="3216" spans="1:13" ht="15" customHeight="1">
      <c r="A3216" s="10">
        <v>46202</v>
      </c>
      <c r="B3216" t="s">
        <v>1</v>
      </c>
      <c r="C3216" s="135" t="s">
        <v>173</v>
      </c>
      <c r="D3216">
        <v>0</v>
      </c>
      <c r="E3216">
        <v>0</v>
      </c>
      <c r="I3216">
        <v>0</v>
      </c>
      <c r="M3216" t="s">
        <v>3334</v>
      </c>
    </row>
    <row r="3217" spans="1:13" ht="15" customHeight="1">
      <c r="A3217" s="10">
        <v>46202</v>
      </c>
      <c r="B3217" t="s">
        <v>1</v>
      </c>
      <c r="C3217" t="s">
        <v>176</v>
      </c>
      <c r="D3217">
        <v>0</v>
      </c>
      <c r="E3217">
        <v>13</v>
      </c>
      <c r="I3217">
        <v>0</v>
      </c>
      <c r="J3217">
        <v>13</v>
      </c>
      <c r="M3217" t="s">
        <v>3335</v>
      </c>
    </row>
    <row r="3218" spans="1:13" ht="15" customHeight="1">
      <c r="A3218" s="10">
        <v>46202</v>
      </c>
      <c r="B3218" t="s">
        <v>1</v>
      </c>
      <c r="C3218" t="s">
        <v>178</v>
      </c>
      <c r="D3218">
        <v>0</v>
      </c>
      <c r="E3218">
        <v>13</v>
      </c>
      <c r="H3218">
        <v>2</v>
      </c>
      <c r="I3218">
        <v>0</v>
      </c>
      <c r="J3218">
        <v>11</v>
      </c>
      <c r="M3218" t="s">
        <v>3336</v>
      </c>
    </row>
    <row r="3219" spans="1:13" ht="15" customHeight="1">
      <c r="A3219" s="10">
        <v>46202</v>
      </c>
      <c r="B3219" t="s">
        <v>1</v>
      </c>
      <c r="C3219" t="s">
        <v>179</v>
      </c>
      <c r="D3219">
        <v>0</v>
      </c>
      <c r="E3219">
        <v>9</v>
      </c>
      <c r="H3219">
        <v>1</v>
      </c>
      <c r="I3219">
        <v>0</v>
      </c>
      <c r="J3219">
        <v>8</v>
      </c>
      <c r="M3219" t="s">
        <v>3337</v>
      </c>
    </row>
    <row r="3220" spans="1:13" ht="15" customHeight="1">
      <c r="A3220" s="10">
        <v>46202</v>
      </c>
      <c r="B3220" t="s">
        <v>1</v>
      </c>
      <c r="C3220" t="s">
        <v>180</v>
      </c>
      <c r="D3220">
        <v>0</v>
      </c>
      <c r="E3220">
        <v>21</v>
      </c>
      <c r="I3220">
        <v>0</v>
      </c>
      <c r="J3220">
        <v>21</v>
      </c>
      <c r="M3220" t="s">
        <v>3338</v>
      </c>
    </row>
    <row r="3221" spans="1:13" ht="15" customHeight="1">
      <c r="A3221" s="10">
        <v>46202</v>
      </c>
      <c r="B3221" t="s">
        <v>1</v>
      </c>
      <c r="C3221" s="135" t="s">
        <v>182</v>
      </c>
      <c r="D3221">
        <v>1</v>
      </c>
      <c r="E3221">
        <v>210</v>
      </c>
      <c r="I3221">
        <v>1</v>
      </c>
      <c r="J3221">
        <v>210</v>
      </c>
      <c r="M3221" t="s">
        <v>3339</v>
      </c>
    </row>
    <row r="3222" spans="1:13" ht="15" customHeight="1">
      <c r="A3222" s="10">
        <v>46202</v>
      </c>
      <c r="B3222" t="s">
        <v>1</v>
      </c>
      <c r="C3222" s="135" t="s">
        <v>184</v>
      </c>
      <c r="D3222">
        <v>0</v>
      </c>
      <c r="E3222">
        <v>65</v>
      </c>
      <c r="I3222">
        <v>0</v>
      </c>
      <c r="J3222">
        <v>65</v>
      </c>
      <c r="M3222" t="s">
        <v>3340</v>
      </c>
    </row>
    <row r="3223" spans="1:13" ht="15" customHeight="1">
      <c r="A3223" s="10">
        <v>46202</v>
      </c>
      <c r="B3223" t="s">
        <v>1</v>
      </c>
      <c r="C3223" s="135" t="s">
        <v>185</v>
      </c>
      <c r="D3223">
        <v>1</v>
      </c>
      <c r="E3223">
        <v>20</v>
      </c>
      <c r="I3223">
        <v>1</v>
      </c>
      <c r="J3223">
        <v>20</v>
      </c>
      <c r="M3223" t="s">
        <v>3341</v>
      </c>
    </row>
    <row r="3224" spans="1:13" ht="15" customHeight="1">
      <c r="A3224" s="10">
        <v>46202</v>
      </c>
      <c r="B3224" t="s">
        <v>1</v>
      </c>
      <c r="C3224" s="135" t="s">
        <v>186</v>
      </c>
      <c r="D3224">
        <v>1</v>
      </c>
      <c r="E3224">
        <v>50</v>
      </c>
      <c r="I3224">
        <v>0</v>
      </c>
      <c r="J3224">
        <v>795</v>
      </c>
      <c r="M3224" t="s">
        <v>3342</v>
      </c>
    </row>
    <row r="3225" spans="1:13" ht="15" customHeight="1">
      <c r="A3225" s="10">
        <v>46202</v>
      </c>
      <c r="B3225" t="s">
        <v>1</v>
      </c>
      <c r="C3225" t="s">
        <v>337</v>
      </c>
      <c r="D3225">
        <v>2</v>
      </c>
      <c r="E3225">
        <v>100</v>
      </c>
      <c r="I3225">
        <v>2</v>
      </c>
      <c r="J3225">
        <v>0</v>
      </c>
      <c r="M3225" t="s">
        <v>3343</v>
      </c>
    </row>
    <row r="3226" spans="1:13" ht="15" customHeight="1">
      <c r="A3226" s="10">
        <v>46202</v>
      </c>
      <c r="B3226" t="s">
        <v>1</v>
      </c>
      <c r="C3226" t="s">
        <v>339</v>
      </c>
      <c r="D3226">
        <v>0</v>
      </c>
      <c r="E3226">
        <v>0</v>
      </c>
      <c r="I3226">
        <v>0</v>
      </c>
      <c r="J3226">
        <v>0</v>
      </c>
      <c r="M3226" t="s">
        <v>3344</v>
      </c>
    </row>
    <row r="3227" spans="1:13" ht="15" customHeight="1">
      <c r="A3227" s="10">
        <v>46202</v>
      </c>
      <c r="B3227" t="s">
        <v>1</v>
      </c>
      <c r="C3227" s="135" t="s">
        <v>191</v>
      </c>
      <c r="D3227">
        <v>1</v>
      </c>
      <c r="E3227">
        <v>195</v>
      </c>
      <c r="I3227">
        <v>1</v>
      </c>
      <c r="J3227">
        <v>175</v>
      </c>
      <c r="M3227" t="s">
        <v>3345</v>
      </c>
    </row>
    <row r="3228" spans="1:13" ht="15" customHeight="1">
      <c r="A3228" s="10">
        <v>46202</v>
      </c>
      <c r="B3228" t="s">
        <v>1</v>
      </c>
      <c r="C3228" s="135" t="s">
        <v>193</v>
      </c>
      <c r="D3228">
        <v>1</v>
      </c>
      <c r="E3228">
        <v>164</v>
      </c>
      <c r="I3228">
        <v>1</v>
      </c>
      <c r="J3228">
        <v>144</v>
      </c>
      <c r="M3228" t="s">
        <v>3346</v>
      </c>
    </row>
    <row r="3229" spans="1:13" ht="15" customHeight="1">
      <c r="A3229" s="10">
        <v>46202</v>
      </c>
      <c r="B3229" t="s">
        <v>1</v>
      </c>
      <c r="C3229" s="135" t="s">
        <v>194</v>
      </c>
      <c r="D3229">
        <v>1</v>
      </c>
      <c r="E3229">
        <v>5</v>
      </c>
      <c r="I3229">
        <v>0</v>
      </c>
      <c r="J3229">
        <v>42</v>
      </c>
      <c r="M3229" t="s">
        <v>3347</v>
      </c>
    </row>
    <row r="3230" spans="1:13" ht="15" customHeight="1">
      <c r="A3230" s="10">
        <v>46202</v>
      </c>
      <c r="B3230" t="s">
        <v>1</v>
      </c>
      <c r="C3230" s="135" t="s">
        <v>196</v>
      </c>
      <c r="D3230">
        <v>0</v>
      </c>
      <c r="E3230">
        <v>205</v>
      </c>
      <c r="I3230">
        <v>0</v>
      </c>
      <c r="J3230">
        <v>175</v>
      </c>
      <c r="M3230" t="s">
        <v>3348</v>
      </c>
    </row>
    <row r="3231" spans="1:13" ht="15" customHeight="1">
      <c r="A3231" s="10">
        <v>46203</v>
      </c>
      <c r="B3231" t="s">
        <v>1</v>
      </c>
      <c r="C3231" t="s">
        <v>23</v>
      </c>
      <c r="D3231">
        <v>2</v>
      </c>
      <c r="E3231">
        <v>1649</v>
      </c>
      <c r="I3231">
        <v>2</v>
      </c>
      <c r="J3231">
        <v>1067</v>
      </c>
      <c r="M3231" t="s">
        <v>3349</v>
      </c>
    </row>
    <row r="3232" spans="1:13" ht="15" customHeight="1">
      <c r="A3232" s="10">
        <v>46203</v>
      </c>
      <c r="B3232" t="s">
        <v>1</v>
      </c>
      <c r="C3232" t="s">
        <v>26</v>
      </c>
      <c r="D3232">
        <v>1</v>
      </c>
      <c r="E3232">
        <v>999</v>
      </c>
      <c r="I3232">
        <v>1</v>
      </c>
      <c r="J3232">
        <v>990</v>
      </c>
      <c r="M3232" t="s">
        <v>3350</v>
      </c>
    </row>
    <row r="3233" spans="1:13" ht="15" customHeight="1">
      <c r="A3233" s="10">
        <v>46203</v>
      </c>
      <c r="B3233" t="s">
        <v>1</v>
      </c>
      <c r="C3233" t="s">
        <v>27</v>
      </c>
      <c r="D3233">
        <v>0</v>
      </c>
      <c r="E3233">
        <v>1508</v>
      </c>
      <c r="I3233">
        <v>0</v>
      </c>
      <c r="J3233">
        <v>1004</v>
      </c>
      <c r="M3233" t="s">
        <v>3351</v>
      </c>
    </row>
    <row r="3234" spans="1:13" ht="15" customHeight="1">
      <c r="A3234" s="10">
        <v>46203</v>
      </c>
      <c r="B3234" t="s">
        <v>1</v>
      </c>
      <c r="C3234" t="s">
        <v>28</v>
      </c>
      <c r="D3234">
        <v>0</v>
      </c>
      <c r="E3234">
        <v>0</v>
      </c>
      <c r="I3234">
        <v>0</v>
      </c>
      <c r="J3234">
        <v>0</v>
      </c>
      <c r="M3234" t="s">
        <v>3352</v>
      </c>
    </row>
    <row r="3235" spans="1:13" ht="15" customHeight="1">
      <c r="A3235" s="10">
        <v>46203</v>
      </c>
      <c r="B3235" t="s">
        <v>1</v>
      </c>
      <c r="C3235" t="s">
        <v>29</v>
      </c>
      <c r="D3235">
        <v>0</v>
      </c>
      <c r="E3235">
        <v>1000</v>
      </c>
      <c r="I3235">
        <v>0</v>
      </c>
      <c r="J3235">
        <v>997</v>
      </c>
      <c r="M3235" t="s">
        <v>3353</v>
      </c>
    </row>
    <row r="3236" spans="1:13" ht="15" customHeight="1">
      <c r="A3236" s="10">
        <v>46203</v>
      </c>
      <c r="B3236" t="s">
        <v>1</v>
      </c>
      <c r="C3236" t="s">
        <v>30</v>
      </c>
      <c r="D3236">
        <v>0</v>
      </c>
      <c r="E3236">
        <v>1004</v>
      </c>
      <c r="I3236">
        <v>1</v>
      </c>
      <c r="J3236">
        <v>1000</v>
      </c>
      <c r="M3236" t="s">
        <v>3354</v>
      </c>
    </row>
    <row r="3237" spans="1:13" ht="15" customHeight="1">
      <c r="A3237" s="10">
        <v>46203</v>
      </c>
      <c r="B3237" t="s">
        <v>1</v>
      </c>
      <c r="C3237" t="s">
        <v>31</v>
      </c>
      <c r="D3237">
        <v>2</v>
      </c>
      <c r="E3237">
        <v>464</v>
      </c>
      <c r="I3237">
        <v>1</v>
      </c>
      <c r="J3237">
        <v>122</v>
      </c>
      <c r="M3237" t="s">
        <v>3355</v>
      </c>
    </row>
    <row r="3238" spans="1:13" ht="15" customHeight="1">
      <c r="A3238" s="10">
        <v>46203</v>
      </c>
      <c r="B3238" t="s">
        <v>1</v>
      </c>
      <c r="C3238" t="s">
        <v>32</v>
      </c>
      <c r="D3238">
        <v>0</v>
      </c>
      <c r="E3238">
        <v>899</v>
      </c>
      <c r="I3238">
        <v>2</v>
      </c>
      <c r="J3238">
        <v>515</v>
      </c>
      <c r="M3238" t="s">
        <v>3356</v>
      </c>
    </row>
    <row r="3239" spans="1:13" ht="15" customHeight="1">
      <c r="A3239" s="10">
        <v>46203</v>
      </c>
      <c r="B3239" t="s">
        <v>1</v>
      </c>
      <c r="C3239" t="s">
        <v>223</v>
      </c>
      <c r="D3239">
        <v>4</v>
      </c>
      <c r="E3239">
        <v>0</v>
      </c>
      <c r="I3239">
        <v>3</v>
      </c>
      <c r="J3239">
        <v>311</v>
      </c>
      <c r="M3239" t="s">
        <v>3357</v>
      </c>
    </row>
    <row r="3240" spans="1:13" ht="15" customHeight="1">
      <c r="A3240" s="10">
        <v>46203</v>
      </c>
      <c r="B3240" t="s">
        <v>1</v>
      </c>
      <c r="C3240" t="s">
        <v>35</v>
      </c>
      <c r="D3240">
        <v>8</v>
      </c>
      <c r="E3240">
        <v>0</v>
      </c>
      <c r="H3240">
        <v>1</v>
      </c>
      <c r="I3240">
        <v>7</v>
      </c>
      <c r="M3240" t="s">
        <v>3358</v>
      </c>
    </row>
    <row r="3241" spans="1:13" ht="15" customHeight="1">
      <c r="A3241" s="10">
        <v>46203</v>
      </c>
      <c r="B3241" t="s">
        <v>1</v>
      </c>
      <c r="C3241" t="s">
        <v>37</v>
      </c>
      <c r="D3241">
        <v>3</v>
      </c>
      <c r="E3241">
        <v>0</v>
      </c>
      <c r="I3241">
        <v>3</v>
      </c>
      <c r="M3241" t="s">
        <v>3359</v>
      </c>
    </row>
    <row r="3242" spans="1:13" ht="15" customHeight="1">
      <c r="A3242" s="10">
        <v>46203</v>
      </c>
      <c r="B3242" t="s">
        <v>1</v>
      </c>
      <c r="C3242" t="s">
        <v>39</v>
      </c>
      <c r="D3242">
        <v>17</v>
      </c>
      <c r="E3242">
        <v>0</v>
      </c>
      <c r="I3242">
        <v>17</v>
      </c>
      <c r="J3242">
        <v>0</v>
      </c>
      <c r="M3242" t="s">
        <v>3360</v>
      </c>
    </row>
    <row r="3243" spans="1:13" ht="15" customHeight="1">
      <c r="A3243" s="10">
        <v>46203</v>
      </c>
      <c r="B3243" t="s">
        <v>1</v>
      </c>
      <c r="C3243" t="s">
        <v>41</v>
      </c>
      <c r="D3243">
        <v>13</v>
      </c>
      <c r="E3243">
        <v>0</v>
      </c>
      <c r="I3243">
        <v>13</v>
      </c>
      <c r="J3243">
        <v>0</v>
      </c>
      <c r="M3243" t="s">
        <v>3361</v>
      </c>
    </row>
    <row r="3244" spans="1:13" ht="15" customHeight="1">
      <c r="A3244" s="10">
        <v>46203</v>
      </c>
      <c r="B3244" t="s">
        <v>1</v>
      </c>
      <c r="C3244" t="s">
        <v>232</v>
      </c>
      <c r="D3244">
        <v>0</v>
      </c>
      <c r="E3244">
        <v>0</v>
      </c>
      <c r="I3244">
        <v>0</v>
      </c>
      <c r="J3244">
        <v>0</v>
      </c>
      <c r="M3244" t="s">
        <v>3362</v>
      </c>
    </row>
    <row r="3245" spans="1:13" ht="15" customHeight="1">
      <c r="A3245" s="10">
        <v>46203</v>
      </c>
      <c r="B3245" t="s">
        <v>1</v>
      </c>
      <c r="C3245" t="s">
        <v>234</v>
      </c>
      <c r="D3245">
        <v>65</v>
      </c>
      <c r="E3245">
        <v>0</v>
      </c>
      <c r="H3245">
        <v>9</v>
      </c>
      <c r="I3245">
        <v>56</v>
      </c>
      <c r="J3245">
        <v>0</v>
      </c>
      <c r="M3245" t="s">
        <v>3363</v>
      </c>
    </row>
    <row r="3246" spans="1:13" ht="15" customHeight="1">
      <c r="A3246" s="10">
        <v>46203</v>
      </c>
      <c r="B3246" t="s">
        <v>1</v>
      </c>
      <c r="C3246" t="s">
        <v>54</v>
      </c>
      <c r="D3246">
        <v>0</v>
      </c>
      <c r="E3246">
        <v>0</v>
      </c>
      <c r="I3246">
        <v>0</v>
      </c>
      <c r="J3246">
        <v>0</v>
      </c>
      <c r="M3246" t="s">
        <v>3364</v>
      </c>
    </row>
    <row r="3247" spans="1:13" ht="15" customHeight="1">
      <c r="A3247" s="10">
        <v>46203</v>
      </c>
      <c r="B3247" t="s">
        <v>1</v>
      </c>
      <c r="C3247" t="s">
        <v>237</v>
      </c>
      <c r="D3247">
        <v>7</v>
      </c>
      <c r="E3247">
        <v>0</v>
      </c>
      <c r="I3247">
        <v>7</v>
      </c>
      <c r="J3247">
        <v>0</v>
      </c>
      <c r="M3247" t="s">
        <v>3365</v>
      </c>
    </row>
    <row r="3248" spans="1:13" ht="15" customHeight="1">
      <c r="A3248" s="10">
        <v>46203</v>
      </c>
      <c r="B3248" t="s">
        <v>1</v>
      </c>
      <c r="C3248" s="135" t="s">
        <v>58</v>
      </c>
      <c r="D3248">
        <v>9</v>
      </c>
      <c r="E3248">
        <v>0</v>
      </c>
      <c r="H3248">
        <v>4</v>
      </c>
      <c r="I3248">
        <v>5</v>
      </c>
      <c r="J3248">
        <v>0</v>
      </c>
      <c r="M3248" t="s">
        <v>3366</v>
      </c>
    </row>
    <row r="3249" spans="1:13" ht="15" customHeight="1">
      <c r="A3249" s="10">
        <v>46203</v>
      </c>
      <c r="B3249" t="s">
        <v>1</v>
      </c>
      <c r="C3249" s="135" t="s">
        <v>60</v>
      </c>
      <c r="D3249">
        <v>10</v>
      </c>
      <c r="E3249">
        <v>0</v>
      </c>
      <c r="I3249">
        <v>10</v>
      </c>
      <c r="J3249">
        <v>0</v>
      </c>
      <c r="M3249" t="s">
        <v>3367</v>
      </c>
    </row>
    <row r="3250" spans="1:13" ht="15" customHeight="1">
      <c r="A3250" s="10">
        <v>46203</v>
      </c>
      <c r="B3250" t="s">
        <v>1</v>
      </c>
      <c r="C3250" s="135" t="s">
        <v>61</v>
      </c>
      <c r="D3250">
        <v>6</v>
      </c>
      <c r="E3250">
        <v>0</v>
      </c>
      <c r="H3250">
        <v>1</v>
      </c>
      <c r="I3250">
        <v>5</v>
      </c>
      <c r="J3250">
        <v>0</v>
      </c>
      <c r="M3250" t="s">
        <v>3368</v>
      </c>
    </row>
    <row r="3251" spans="1:13" ht="15" customHeight="1">
      <c r="A3251" s="10">
        <v>46203</v>
      </c>
      <c r="B3251" t="s">
        <v>1</v>
      </c>
      <c r="C3251" s="135" t="s">
        <v>62</v>
      </c>
      <c r="D3251">
        <v>8</v>
      </c>
      <c r="E3251">
        <v>0</v>
      </c>
      <c r="I3251">
        <v>8</v>
      </c>
      <c r="J3251">
        <v>0</v>
      </c>
      <c r="M3251" t="s">
        <v>3369</v>
      </c>
    </row>
    <row r="3252" spans="1:13" ht="15" customHeight="1">
      <c r="A3252" s="10">
        <v>46203</v>
      </c>
      <c r="B3252" t="s">
        <v>1</v>
      </c>
      <c r="C3252" s="135" t="s">
        <v>63</v>
      </c>
      <c r="D3252">
        <v>7</v>
      </c>
      <c r="E3252">
        <v>0</v>
      </c>
      <c r="H3252">
        <v>2</v>
      </c>
      <c r="I3252">
        <v>5</v>
      </c>
      <c r="J3252">
        <v>0</v>
      </c>
      <c r="M3252" t="s">
        <v>3370</v>
      </c>
    </row>
    <row r="3253" spans="1:13" ht="15" customHeight="1">
      <c r="A3253" s="10">
        <v>46203</v>
      </c>
      <c r="B3253" t="s">
        <v>1</v>
      </c>
      <c r="C3253" s="135" t="s">
        <v>64</v>
      </c>
      <c r="D3253">
        <v>3</v>
      </c>
      <c r="E3253">
        <v>0</v>
      </c>
      <c r="H3253">
        <v>3</v>
      </c>
      <c r="I3253">
        <v>0</v>
      </c>
      <c r="J3253">
        <v>0</v>
      </c>
      <c r="M3253" t="s">
        <v>3371</v>
      </c>
    </row>
    <row r="3254" spans="1:13" ht="15" customHeight="1">
      <c r="A3254" s="10">
        <v>46203</v>
      </c>
      <c r="B3254" t="s">
        <v>1</v>
      </c>
      <c r="C3254" t="s">
        <v>66</v>
      </c>
      <c r="D3254">
        <v>4</v>
      </c>
      <c r="E3254">
        <v>0</v>
      </c>
      <c r="I3254">
        <v>4</v>
      </c>
      <c r="J3254">
        <v>0</v>
      </c>
      <c r="M3254" t="s">
        <v>3372</v>
      </c>
    </row>
    <row r="3255" spans="1:13" ht="15" customHeight="1">
      <c r="A3255" s="10">
        <v>46203</v>
      </c>
      <c r="B3255" t="s">
        <v>1</v>
      </c>
      <c r="C3255" t="s">
        <v>67</v>
      </c>
      <c r="D3255">
        <v>7</v>
      </c>
      <c r="E3255">
        <v>0</v>
      </c>
      <c r="I3255">
        <v>7</v>
      </c>
      <c r="J3255">
        <v>0</v>
      </c>
      <c r="M3255" t="s">
        <v>3373</v>
      </c>
    </row>
    <row r="3256" spans="1:13" ht="15" customHeight="1">
      <c r="A3256" s="10">
        <v>46203</v>
      </c>
      <c r="B3256" t="s">
        <v>1</v>
      </c>
      <c r="C3256" t="s">
        <v>68</v>
      </c>
      <c r="D3256">
        <v>0</v>
      </c>
      <c r="E3256">
        <v>0</v>
      </c>
      <c r="I3256">
        <v>0</v>
      </c>
      <c r="J3256">
        <v>0</v>
      </c>
      <c r="M3256" t="s">
        <v>3374</v>
      </c>
    </row>
    <row r="3257" spans="1:13" ht="15" customHeight="1">
      <c r="A3257" s="10">
        <v>46203</v>
      </c>
      <c r="B3257" t="s">
        <v>1</v>
      </c>
      <c r="C3257" t="s">
        <v>71</v>
      </c>
      <c r="D3257">
        <v>1</v>
      </c>
      <c r="E3257">
        <v>56</v>
      </c>
      <c r="I3257">
        <v>0</v>
      </c>
      <c r="J3257">
        <v>779</v>
      </c>
      <c r="M3257" t="s">
        <v>3375</v>
      </c>
    </row>
    <row r="3258" spans="1:13" ht="15" customHeight="1">
      <c r="A3258" s="10">
        <v>46203</v>
      </c>
      <c r="B3258" t="s">
        <v>1</v>
      </c>
      <c r="C3258" t="s">
        <v>73</v>
      </c>
      <c r="D3258">
        <v>2</v>
      </c>
      <c r="E3258">
        <v>255</v>
      </c>
      <c r="I3258">
        <v>2</v>
      </c>
      <c r="J3258">
        <v>220</v>
      </c>
      <c r="M3258" t="s">
        <v>3376</v>
      </c>
    </row>
    <row r="3259" spans="1:13" ht="15" customHeight="1">
      <c r="A3259" s="10">
        <v>46203</v>
      </c>
      <c r="B3259" t="s">
        <v>1</v>
      </c>
      <c r="C3259" t="s">
        <v>75</v>
      </c>
      <c r="D3259">
        <v>1</v>
      </c>
      <c r="E3259">
        <v>194</v>
      </c>
      <c r="I3259">
        <v>1</v>
      </c>
      <c r="J3259">
        <v>194</v>
      </c>
      <c r="M3259" t="s">
        <v>3377</v>
      </c>
    </row>
    <row r="3260" spans="1:13" ht="15" customHeight="1">
      <c r="A3260" s="10">
        <v>46203</v>
      </c>
      <c r="B3260" t="s">
        <v>1</v>
      </c>
      <c r="C3260" t="s">
        <v>77</v>
      </c>
      <c r="D3260">
        <v>0</v>
      </c>
      <c r="E3260">
        <v>770</v>
      </c>
      <c r="I3260">
        <v>0</v>
      </c>
      <c r="J3260">
        <v>770</v>
      </c>
      <c r="M3260" t="s">
        <v>3378</v>
      </c>
    </row>
    <row r="3261" spans="1:13" ht="15" customHeight="1">
      <c r="A3261" s="10">
        <v>46203</v>
      </c>
      <c r="B3261" t="s">
        <v>1</v>
      </c>
      <c r="C3261" t="s">
        <v>79</v>
      </c>
      <c r="D3261">
        <v>0</v>
      </c>
      <c r="E3261">
        <v>1620</v>
      </c>
      <c r="I3261">
        <v>0</v>
      </c>
      <c r="J3261">
        <v>1498</v>
      </c>
      <c r="M3261" t="s">
        <v>3379</v>
      </c>
    </row>
    <row r="3262" spans="1:13" ht="15" customHeight="1">
      <c r="A3262" s="10">
        <v>46203</v>
      </c>
      <c r="B3262" t="s">
        <v>1</v>
      </c>
      <c r="C3262" t="s">
        <v>81</v>
      </c>
      <c r="D3262">
        <v>1</v>
      </c>
      <c r="E3262">
        <v>168</v>
      </c>
      <c r="I3262">
        <v>1</v>
      </c>
      <c r="J3262">
        <v>152</v>
      </c>
      <c r="M3262" t="s">
        <v>3380</v>
      </c>
    </row>
    <row r="3263" spans="1:13" ht="15" customHeight="1">
      <c r="A3263" s="10">
        <v>46203</v>
      </c>
      <c r="B3263" t="s">
        <v>1</v>
      </c>
      <c r="C3263" t="s">
        <v>83</v>
      </c>
      <c r="D3263">
        <v>1</v>
      </c>
      <c r="E3263">
        <v>85</v>
      </c>
      <c r="I3263">
        <v>1</v>
      </c>
      <c r="J3263">
        <v>70</v>
      </c>
      <c r="M3263" t="s">
        <v>3381</v>
      </c>
    </row>
    <row r="3264" spans="1:13" ht="15" customHeight="1">
      <c r="A3264" s="10">
        <v>46203</v>
      </c>
      <c r="B3264" t="s">
        <v>1</v>
      </c>
      <c r="C3264" t="s">
        <v>84</v>
      </c>
      <c r="D3264">
        <v>1</v>
      </c>
      <c r="E3264">
        <v>80</v>
      </c>
      <c r="I3264">
        <v>1</v>
      </c>
      <c r="J3264">
        <v>67</v>
      </c>
      <c r="M3264" t="s">
        <v>3382</v>
      </c>
    </row>
    <row r="3265" spans="1:13" ht="15" customHeight="1">
      <c r="A3265" s="10">
        <v>46203</v>
      </c>
      <c r="B3265" t="s">
        <v>1</v>
      </c>
      <c r="C3265" t="s">
        <v>85</v>
      </c>
      <c r="D3265">
        <v>0</v>
      </c>
      <c r="E3265">
        <v>130</v>
      </c>
      <c r="I3265">
        <v>0</v>
      </c>
      <c r="J3265">
        <v>130</v>
      </c>
      <c r="M3265" t="s">
        <v>3383</v>
      </c>
    </row>
    <row r="3266" spans="1:13" ht="15" customHeight="1">
      <c r="A3266" s="10">
        <v>46203</v>
      </c>
      <c r="B3266" t="s">
        <v>1</v>
      </c>
      <c r="C3266" t="s">
        <v>87</v>
      </c>
      <c r="D3266">
        <v>2</v>
      </c>
      <c r="E3266">
        <v>298</v>
      </c>
      <c r="I3266">
        <v>2</v>
      </c>
      <c r="J3266">
        <v>297</v>
      </c>
      <c r="M3266" t="s">
        <v>3384</v>
      </c>
    </row>
    <row r="3267" spans="1:13" ht="15" customHeight="1">
      <c r="A3267" s="10">
        <v>46203</v>
      </c>
      <c r="B3267" t="s">
        <v>1</v>
      </c>
      <c r="C3267" t="s">
        <v>88</v>
      </c>
      <c r="D3267">
        <v>1</v>
      </c>
      <c r="E3267">
        <v>220</v>
      </c>
      <c r="I3267">
        <v>1</v>
      </c>
      <c r="J3267">
        <v>218</v>
      </c>
      <c r="M3267" t="s">
        <v>3385</v>
      </c>
    </row>
    <row r="3268" spans="1:13" ht="15" customHeight="1">
      <c r="A3268" s="10">
        <v>46203</v>
      </c>
      <c r="B3268" t="s">
        <v>1</v>
      </c>
      <c r="C3268" t="s">
        <v>89</v>
      </c>
      <c r="D3268">
        <v>1</v>
      </c>
      <c r="E3268">
        <v>102</v>
      </c>
      <c r="I3268">
        <v>1</v>
      </c>
      <c r="J3268">
        <v>100</v>
      </c>
      <c r="M3268" t="s">
        <v>3386</v>
      </c>
    </row>
    <row r="3269" spans="1:13" ht="15" customHeight="1">
      <c r="A3269" s="10">
        <v>46203</v>
      </c>
      <c r="B3269" t="s">
        <v>1</v>
      </c>
      <c r="C3269" t="s">
        <v>90</v>
      </c>
      <c r="D3269">
        <v>1</v>
      </c>
      <c r="E3269">
        <v>671</v>
      </c>
      <c r="I3269">
        <v>1</v>
      </c>
      <c r="J3269">
        <v>671</v>
      </c>
      <c r="M3269" t="s">
        <v>3387</v>
      </c>
    </row>
    <row r="3270" spans="1:13" ht="15" customHeight="1">
      <c r="A3270" s="10">
        <v>46203</v>
      </c>
      <c r="B3270" t="s">
        <v>1</v>
      </c>
      <c r="C3270" t="s">
        <v>92</v>
      </c>
      <c r="D3270">
        <v>1</v>
      </c>
      <c r="E3270">
        <v>700</v>
      </c>
      <c r="I3270">
        <v>1</v>
      </c>
      <c r="J3270">
        <v>700</v>
      </c>
      <c r="M3270" t="s">
        <v>3388</v>
      </c>
    </row>
    <row r="3271" spans="1:13" ht="15" customHeight="1">
      <c r="A3271" s="10">
        <v>46203</v>
      </c>
      <c r="B3271" t="s">
        <v>1</v>
      </c>
      <c r="C3271" t="s">
        <v>94</v>
      </c>
      <c r="D3271">
        <v>3</v>
      </c>
      <c r="E3271">
        <v>52</v>
      </c>
      <c r="I3271">
        <v>3</v>
      </c>
      <c r="J3271">
        <v>71</v>
      </c>
      <c r="M3271" t="s">
        <v>3389</v>
      </c>
    </row>
    <row r="3272" spans="1:13" ht="15" customHeight="1">
      <c r="A3272" s="10">
        <v>46203</v>
      </c>
      <c r="B3272" t="s">
        <v>1</v>
      </c>
      <c r="C3272" t="s">
        <v>96</v>
      </c>
      <c r="D3272">
        <v>0</v>
      </c>
      <c r="E3272">
        <v>0</v>
      </c>
      <c r="I3272">
        <v>0</v>
      </c>
      <c r="J3272">
        <v>0</v>
      </c>
      <c r="M3272" t="s">
        <v>3390</v>
      </c>
    </row>
    <row r="3273" spans="1:13" ht="15" customHeight="1">
      <c r="A3273" s="10">
        <v>46203</v>
      </c>
      <c r="B3273" t="s">
        <v>1</v>
      </c>
      <c r="C3273" t="s">
        <v>98</v>
      </c>
      <c r="D3273">
        <v>0</v>
      </c>
      <c r="E3273">
        <v>0</v>
      </c>
      <c r="I3273">
        <v>0</v>
      </c>
      <c r="J3273">
        <v>0</v>
      </c>
      <c r="M3273" t="s">
        <v>3391</v>
      </c>
    </row>
    <row r="3274" spans="1:13" ht="15" customHeight="1">
      <c r="A3274" s="10">
        <v>46203</v>
      </c>
      <c r="B3274" t="s">
        <v>1</v>
      </c>
      <c r="C3274" t="s">
        <v>203</v>
      </c>
      <c r="D3274">
        <v>3</v>
      </c>
      <c r="E3274">
        <v>78</v>
      </c>
      <c r="I3274">
        <v>3</v>
      </c>
      <c r="J3274">
        <v>48</v>
      </c>
      <c r="M3274" t="s">
        <v>3392</v>
      </c>
    </row>
    <row r="3275" spans="1:13" ht="15" customHeight="1">
      <c r="A3275" s="10">
        <v>46203</v>
      </c>
      <c r="B3275" t="s">
        <v>1</v>
      </c>
      <c r="C3275" t="s">
        <v>100</v>
      </c>
      <c r="D3275">
        <v>0</v>
      </c>
      <c r="E3275">
        <v>0</v>
      </c>
      <c r="I3275">
        <v>0</v>
      </c>
      <c r="J3275">
        <v>0</v>
      </c>
      <c r="M3275" t="s">
        <v>3393</v>
      </c>
    </row>
    <row r="3276" spans="1:13" ht="15" customHeight="1">
      <c r="A3276" s="10">
        <v>46203</v>
      </c>
      <c r="B3276" t="s">
        <v>1</v>
      </c>
      <c r="C3276" t="s">
        <v>101</v>
      </c>
      <c r="D3276">
        <v>0</v>
      </c>
      <c r="E3276">
        <v>310</v>
      </c>
      <c r="I3276">
        <v>0</v>
      </c>
      <c r="J3276">
        <v>261</v>
      </c>
      <c r="M3276" t="s">
        <v>3394</v>
      </c>
    </row>
    <row r="3277" spans="1:13" ht="15" customHeight="1">
      <c r="A3277" s="10">
        <v>46203</v>
      </c>
      <c r="B3277" t="s">
        <v>1</v>
      </c>
      <c r="C3277" t="s">
        <v>103</v>
      </c>
      <c r="D3277">
        <v>0</v>
      </c>
      <c r="E3277">
        <v>4</v>
      </c>
      <c r="I3277">
        <v>0</v>
      </c>
      <c r="J3277">
        <v>2</v>
      </c>
      <c r="M3277" t="s">
        <v>3395</v>
      </c>
    </row>
    <row r="3278" spans="1:13" ht="15" customHeight="1">
      <c r="A3278" s="10">
        <v>46203</v>
      </c>
      <c r="B3278" t="s">
        <v>1</v>
      </c>
      <c r="C3278" t="s">
        <v>106</v>
      </c>
      <c r="D3278">
        <v>2</v>
      </c>
      <c r="E3278">
        <v>80</v>
      </c>
      <c r="I3278">
        <v>1</v>
      </c>
      <c r="J3278">
        <v>889</v>
      </c>
      <c r="M3278" t="s">
        <v>3396</v>
      </c>
    </row>
    <row r="3279" spans="1:13" ht="15" customHeight="1">
      <c r="A3279" s="10">
        <v>46203</v>
      </c>
      <c r="B3279" t="s">
        <v>1</v>
      </c>
      <c r="C3279" t="s">
        <v>108</v>
      </c>
      <c r="D3279">
        <v>1</v>
      </c>
      <c r="E3279">
        <v>410</v>
      </c>
      <c r="I3279">
        <v>1</v>
      </c>
      <c r="J3279">
        <v>256</v>
      </c>
      <c r="M3279" t="s">
        <v>3397</v>
      </c>
    </row>
    <row r="3280" spans="1:13" ht="15" customHeight="1">
      <c r="A3280" s="10">
        <v>46203</v>
      </c>
      <c r="B3280" t="s">
        <v>1</v>
      </c>
      <c r="C3280" t="s">
        <v>109</v>
      </c>
      <c r="D3280">
        <v>0</v>
      </c>
      <c r="E3280">
        <v>984</v>
      </c>
      <c r="I3280">
        <v>0</v>
      </c>
      <c r="J3280">
        <v>843</v>
      </c>
      <c r="M3280" t="s">
        <v>3398</v>
      </c>
    </row>
    <row r="3281" spans="1:13" ht="15" customHeight="1">
      <c r="A3281" s="10">
        <v>46203</v>
      </c>
      <c r="B3281" t="s">
        <v>1</v>
      </c>
      <c r="C3281" t="s">
        <v>112</v>
      </c>
      <c r="D3281">
        <v>1</v>
      </c>
      <c r="E3281">
        <v>29</v>
      </c>
      <c r="I3281">
        <v>1</v>
      </c>
      <c r="J3281">
        <v>29</v>
      </c>
      <c r="M3281" t="s">
        <v>3399</v>
      </c>
    </row>
    <row r="3282" spans="1:13" ht="15" customHeight="1">
      <c r="A3282" s="10">
        <v>46203</v>
      </c>
      <c r="B3282" t="s">
        <v>1</v>
      </c>
      <c r="C3282" t="s">
        <v>114</v>
      </c>
      <c r="D3282">
        <v>2</v>
      </c>
      <c r="E3282">
        <v>40</v>
      </c>
      <c r="I3282">
        <v>2</v>
      </c>
      <c r="J3282">
        <v>36</v>
      </c>
      <c r="M3282" t="s">
        <v>3400</v>
      </c>
    </row>
    <row r="3283" spans="1:13" ht="15" customHeight="1">
      <c r="A3283" s="10">
        <v>46203</v>
      </c>
      <c r="B3283" t="s">
        <v>1</v>
      </c>
      <c r="C3283" t="s">
        <v>115</v>
      </c>
      <c r="D3283">
        <v>1</v>
      </c>
      <c r="E3283">
        <v>17</v>
      </c>
      <c r="I3283">
        <v>1</v>
      </c>
      <c r="J3283">
        <v>11</v>
      </c>
      <c r="M3283" t="s">
        <v>3401</v>
      </c>
    </row>
    <row r="3284" spans="1:13" ht="15" customHeight="1">
      <c r="A3284" s="10">
        <v>46203</v>
      </c>
      <c r="B3284" t="s">
        <v>1</v>
      </c>
      <c r="C3284" t="s">
        <v>116</v>
      </c>
      <c r="D3284">
        <v>2</v>
      </c>
      <c r="E3284">
        <v>15</v>
      </c>
      <c r="I3284">
        <v>2</v>
      </c>
      <c r="J3284">
        <v>4</v>
      </c>
      <c r="M3284" t="s">
        <v>3402</v>
      </c>
    </row>
    <row r="3285" spans="1:13" ht="15" customHeight="1">
      <c r="A3285" s="10">
        <v>46203</v>
      </c>
      <c r="B3285" t="s">
        <v>1</v>
      </c>
      <c r="C3285" t="s">
        <v>119</v>
      </c>
      <c r="D3285">
        <v>2</v>
      </c>
      <c r="E3285">
        <v>0</v>
      </c>
      <c r="I3285">
        <v>2</v>
      </c>
      <c r="M3285" t="s">
        <v>3403</v>
      </c>
    </row>
    <row r="3286" spans="1:13" ht="15" customHeight="1">
      <c r="A3286" s="10">
        <v>46203</v>
      </c>
      <c r="B3286" t="s">
        <v>1</v>
      </c>
      <c r="C3286" t="s">
        <v>120</v>
      </c>
      <c r="D3286">
        <v>2</v>
      </c>
      <c r="E3286">
        <v>0</v>
      </c>
      <c r="I3286">
        <v>1</v>
      </c>
      <c r="M3286" t="s">
        <v>3404</v>
      </c>
    </row>
    <row r="3287" spans="1:13" ht="15" customHeight="1">
      <c r="A3287" s="10">
        <v>46203</v>
      </c>
      <c r="B3287" t="s">
        <v>1</v>
      </c>
      <c r="C3287" t="s">
        <v>121</v>
      </c>
      <c r="D3287">
        <v>2</v>
      </c>
      <c r="E3287">
        <v>0</v>
      </c>
      <c r="I3287">
        <v>1</v>
      </c>
      <c r="M3287" t="s">
        <v>3405</v>
      </c>
    </row>
    <row r="3288" spans="1:13" ht="15" customHeight="1">
      <c r="A3288" s="10">
        <v>46203</v>
      </c>
      <c r="B3288" t="s">
        <v>1</v>
      </c>
      <c r="C3288" t="s">
        <v>123</v>
      </c>
      <c r="D3288">
        <v>2</v>
      </c>
      <c r="E3288">
        <v>0</v>
      </c>
      <c r="I3288">
        <v>2</v>
      </c>
      <c r="M3288" t="s">
        <v>3406</v>
      </c>
    </row>
    <row r="3289" spans="1:13" ht="15" customHeight="1">
      <c r="A3289" s="10">
        <v>46203</v>
      </c>
      <c r="B3289" t="s">
        <v>1</v>
      </c>
      <c r="C3289" t="s">
        <v>124</v>
      </c>
      <c r="D3289">
        <v>1</v>
      </c>
      <c r="E3289">
        <v>0</v>
      </c>
      <c r="I3289">
        <v>1</v>
      </c>
      <c r="M3289" t="s">
        <v>3407</v>
      </c>
    </row>
    <row r="3290" spans="1:13" ht="15" customHeight="1">
      <c r="A3290" s="10">
        <v>46203</v>
      </c>
      <c r="B3290" t="s">
        <v>1</v>
      </c>
      <c r="C3290" t="s">
        <v>125</v>
      </c>
      <c r="D3290">
        <v>2</v>
      </c>
      <c r="E3290">
        <v>0</v>
      </c>
      <c r="I3290">
        <v>2</v>
      </c>
      <c r="M3290" t="s">
        <v>3408</v>
      </c>
    </row>
    <row r="3291" spans="1:13" ht="15" customHeight="1">
      <c r="A3291" s="10">
        <v>46203</v>
      </c>
      <c r="B3291" t="s">
        <v>1</v>
      </c>
      <c r="C3291" t="s">
        <v>126</v>
      </c>
      <c r="D3291">
        <v>2</v>
      </c>
      <c r="E3291">
        <v>0</v>
      </c>
      <c r="I3291">
        <v>2</v>
      </c>
      <c r="M3291" t="s">
        <v>3409</v>
      </c>
    </row>
    <row r="3292" spans="1:13" ht="15" customHeight="1">
      <c r="A3292" s="10">
        <v>46203</v>
      </c>
      <c r="B3292" t="s">
        <v>1</v>
      </c>
      <c r="C3292" t="s">
        <v>128</v>
      </c>
      <c r="D3292">
        <v>3</v>
      </c>
      <c r="E3292">
        <v>0</v>
      </c>
      <c r="I3292">
        <v>3</v>
      </c>
      <c r="M3292" t="s">
        <v>3410</v>
      </c>
    </row>
    <row r="3293" spans="1:13" ht="15" customHeight="1">
      <c r="A3293" s="10">
        <v>46203</v>
      </c>
      <c r="B3293" t="s">
        <v>1</v>
      </c>
      <c r="C3293" t="s">
        <v>130</v>
      </c>
      <c r="D3293">
        <v>3</v>
      </c>
      <c r="E3293">
        <v>0</v>
      </c>
      <c r="I3293">
        <v>3</v>
      </c>
      <c r="M3293" t="s">
        <v>3411</v>
      </c>
    </row>
    <row r="3294" spans="1:13" ht="15" customHeight="1">
      <c r="A3294" s="10">
        <v>46203</v>
      </c>
      <c r="B3294" t="s">
        <v>1</v>
      </c>
      <c r="C3294" t="s">
        <v>285</v>
      </c>
      <c r="D3294">
        <v>2</v>
      </c>
      <c r="E3294">
        <v>0</v>
      </c>
      <c r="I3294">
        <v>2</v>
      </c>
      <c r="M3294" t="s">
        <v>3412</v>
      </c>
    </row>
    <row r="3295" spans="1:13" ht="15" customHeight="1">
      <c r="A3295" s="10">
        <v>46203</v>
      </c>
      <c r="B3295" t="s">
        <v>1</v>
      </c>
      <c r="C3295" t="s">
        <v>287</v>
      </c>
      <c r="D3295">
        <v>2</v>
      </c>
      <c r="E3295">
        <v>0</v>
      </c>
      <c r="I3295">
        <v>2</v>
      </c>
      <c r="M3295" t="s">
        <v>3413</v>
      </c>
    </row>
    <row r="3296" spans="1:13" ht="15" customHeight="1">
      <c r="A3296" s="10">
        <v>46203</v>
      </c>
      <c r="B3296" t="s">
        <v>1</v>
      </c>
      <c r="C3296" t="s">
        <v>289</v>
      </c>
      <c r="D3296">
        <v>1</v>
      </c>
      <c r="E3296">
        <v>0</v>
      </c>
      <c r="I3296">
        <v>1</v>
      </c>
      <c r="M3296" t="s">
        <v>3414</v>
      </c>
    </row>
    <row r="3297" spans="1:13" ht="15" customHeight="1">
      <c r="A3297" s="10">
        <v>46203</v>
      </c>
      <c r="B3297" t="s">
        <v>1</v>
      </c>
      <c r="C3297" t="s">
        <v>291</v>
      </c>
      <c r="D3297">
        <v>2</v>
      </c>
      <c r="E3297">
        <v>0</v>
      </c>
      <c r="I3297">
        <v>2</v>
      </c>
      <c r="M3297" t="s">
        <v>3415</v>
      </c>
    </row>
    <row r="3298" spans="1:13" ht="15" customHeight="1">
      <c r="A3298" s="10">
        <v>46203</v>
      </c>
      <c r="B3298" t="s">
        <v>1</v>
      </c>
      <c r="C3298" t="s">
        <v>293</v>
      </c>
      <c r="D3298">
        <v>3</v>
      </c>
      <c r="E3298">
        <v>0</v>
      </c>
      <c r="I3298">
        <v>3</v>
      </c>
      <c r="M3298" t="s">
        <v>3416</v>
      </c>
    </row>
    <row r="3299" spans="1:13" ht="15" customHeight="1">
      <c r="A3299" s="10">
        <v>46203</v>
      </c>
      <c r="B3299" t="s">
        <v>1</v>
      </c>
      <c r="C3299" s="135" t="s">
        <v>138</v>
      </c>
      <c r="D3299">
        <v>0</v>
      </c>
      <c r="E3299">
        <v>47</v>
      </c>
      <c r="I3299">
        <v>0</v>
      </c>
      <c r="J3299">
        <v>40</v>
      </c>
      <c r="M3299" t="s">
        <v>3417</v>
      </c>
    </row>
    <row r="3300" spans="1:13" ht="15" customHeight="1">
      <c r="A3300" s="10">
        <v>46203</v>
      </c>
      <c r="B3300" t="s">
        <v>1</v>
      </c>
      <c r="C3300" s="135" t="s">
        <v>139</v>
      </c>
      <c r="D3300">
        <v>0</v>
      </c>
      <c r="E3300">
        <v>26</v>
      </c>
      <c r="I3300">
        <v>0</v>
      </c>
      <c r="J3300">
        <v>25</v>
      </c>
      <c r="M3300" t="s">
        <v>3418</v>
      </c>
    </row>
    <row r="3301" spans="1:13" ht="15" customHeight="1">
      <c r="A3301" s="10">
        <v>46203</v>
      </c>
      <c r="B3301" t="s">
        <v>1</v>
      </c>
      <c r="C3301" s="135" t="s">
        <v>140</v>
      </c>
      <c r="D3301">
        <v>0</v>
      </c>
      <c r="E3301">
        <v>36</v>
      </c>
      <c r="I3301">
        <v>0</v>
      </c>
      <c r="J3301">
        <v>36</v>
      </c>
      <c r="M3301" t="s">
        <v>3419</v>
      </c>
    </row>
    <row r="3302" spans="1:13" ht="15" customHeight="1">
      <c r="A3302" s="10">
        <v>46203</v>
      </c>
      <c r="B3302" t="s">
        <v>1</v>
      </c>
      <c r="C3302" s="135" t="s">
        <v>141</v>
      </c>
      <c r="D3302">
        <v>0</v>
      </c>
      <c r="E3302">
        <v>1</v>
      </c>
      <c r="I3302">
        <v>0</v>
      </c>
      <c r="J3302">
        <v>1</v>
      </c>
      <c r="M3302" t="s">
        <v>3420</v>
      </c>
    </row>
    <row r="3303" spans="1:13" ht="15" customHeight="1">
      <c r="A3303" s="10">
        <v>46203</v>
      </c>
      <c r="B3303" t="s">
        <v>1</v>
      </c>
      <c r="C3303" s="135" t="s">
        <v>143</v>
      </c>
      <c r="D3303">
        <v>0</v>
      </c>
      <c r="E3303">
        <v>51</v>
      </c>
      <c r="I3303">
        <v>0</v>
      </c>
      <c r="J3303">
        <v>50</v>
      </c>
      <c r="M3303" t="s">
        <v>3421</v>
      </c>
    </row>
    <row r="3304" spans="1:13" ht="15" customHeight="1">
      <c r="A3304" s="10">
        <v>46203</v>
      </c>
      <c r="B3304" t="s">
        <v>1</v>
      </c>
      <c r="C3304" s="135" t="s">
        <v>145</v>
      </c>
      <c r="D3304">
        <v>0</v>
      </c>
      <c r="E3304">
        <v>40</v>
      </c>
      <c r="I3304">
        <v>0</v>
      </c>
      <c r="J3304">
        <v>39</v>
      </c>
      <c r="M3304" t="s">
        <v>3422</v>
      </c>
    </row>
    <row r="3305" spans="1:13" ht="15" customHeight="1">
      <c r="A3305" s="10">
        <v>46203</v>
      </c>
      <c r="B3305" t="s">
        <v>1</v>
      </c>
      <c r="C3305" s="135" t="s">
        <v>147</v>
      </c>
      <c r="D3305">
        <v>0</v>
      </c>
      <c r="E3305">
        <v>27</v>
      </c>
      <c r="I3305">
        <v>0</v>
      </c>
      <c r="J3305">
        <v>27</v>
      </c>
      <c r="M3305" t="s">
        <v>3423</v>
      </c>
    </row>
    <row r="3306" spans="1:13" ht="15" customHeight="1">
      <c r="A3306" s="10">
        <v>46203</v>
      </c>
      <c r="B3306" t="s">
        <v>1</v>
      </c>
      <c r="C3306" t="s">
        <v>302</v>
      </c>
      <c r="D3306">
        <v>2</v>
      </c>
      <c r="E3306">
        <v>0</v>
      </c>
      <c r="I3306">
        <v>2</v>
      </c>
      <c r="M3306" t="s">
        <v>3424</v>
      </c>
    </row>
    <row r="3307" spans="1:13" ht="15" customHeight="1">
      <c r="A3307" s="10">
        <v>46203</v>
      </c>
      <c r="B3307" t="s">
        <v>1</v>
      </c>
      <c r="C3307" t="s">
        <v>150</v>
      </c>
      <c r="D3307">
        <v>2</v>
      </c>
      <c r="E3307">
        <v>0</v>
      </c>
      <c r="I3307">
        <v>2</v>
      </c>
      <c r="M3307" t="s">
        <v>3425</v>
      </c>
    </row>
    <row r="3308" spans="1:13" ht="15" customHeight="1">
      <c r="A3308" s="10">
        <v>46203</v>
      </c>
      <c r="B3308" t="s">
        <v>1</v>
      </c>
      <c r="C3308" t="s">
        <v>151</v>
      </c>
      <c r="D3308">
        <v>2</v>
      </c>
      <c r="E3308">
        <v>0</v>
      </c>
      <c r="I3308">
        <v>2</v>
      </c>
      <c r="M3308" t="s">
        <v>3426</v>
      </c>
    </row>
    <row r="3309" spans="1:13" ht="15" customHeight="1">
      <c r="A3309" s="10">
        <v>46203</v>
      </c>
      <c r="B3309" t="s">
        <v>1</v>
      </c>
      <c r="C3309" t="s">
        <v>152</v>
      </c>
      <c r="D3309">
        <v>2</v>
      </c>
      <c r="E3309">
        <v>0</v>
      </c>
      <c r="I3309">
        <v>2</v>
      </c>
      <c r="M3309" t="s">
        <v>3427</v>
      </c>
    </row>
    <row r="3310" spans="1:13" ht="15" customHeight="1">
      <c r="A3310" s="10">
        <v>46203</v>
      </c>
      <c r="B3310" t="s">
        <v>1</v>
      </c>
      <c r="C3310" t="s">
        <v>153</v>
      </c>
      <c r="D3310">
        <v>2</v>
      </c>
      <c r="E3310">
        <v>0</v>
      </c>
      <c r="I3310">
        <v>2</v>
      </c>
      <c r="M3310" t="s">
        <v>3428</v>
      </c>
    </row>
    <row r="3311" spans="1:13" ht="15" customHeight="1">
      <c r="A3311" s="10">
        <v>46203</v>
      </c>
      <c r="B3311" t="s">
        <v>1</v>
      </c>
      <c r="C3311" t="s">
        <v>308</v>
      </c>
      <c r="D3311">
        <v>0</v>
      </c>
      <c r="E3311">
        <v>2</v>
      </c>
      <c r="I3311">
        <v>0</v>
      </c>
      <c r="J3311">
        <v>2</v>
      </c>
      <c r="M3311" t="s">
        <v>3429</v>
      </c>
    </row>
    <row r="3312" spans="1:13" ht="15" customHeight="1">
      <c r="A3312" s="10">
        <v>46203</v>
      </c>
      <c r="B3312" t="s">
        <v>1</v>
      </c>
      <c r="C3312" t="s">
        <v>310</v>
      </c>
      <c r="D3312">
        <v>0</v>
      </c>
      <c r="E3312">
        <v>2</v>
      </c>
      <c r="I3312">
        <v>0</v>
      </c>
      <c r="J3312">
        <v>2</v>
      </c>
      <c r="M3312" t="s">
        <v>3430</v>
      </c>
    </row>
    <row r="3313" spans="1:13" ht="15" customHeight="1">
      <c r="A3313" s="10">
        <v>46203</v>
      </c>
      <c r="B3313" t="s">
        <v>1</v>
      </c>
      <c r="C3313" t="s">
        <v>312</v>
      </c>
      <c r="D3313">
        <v>0</v>
      </c>
      <c r="E3313">
        <v>2</v>
      </c>
      <c r="I3313">
        <v>0</v>
      </c>
      <c r="J3313">
        <v>2</v>
      </c>
      <c r="M3313" t="s">
        <v>3431</v>
      </c>
    </row>
    <row r="3314" spans="1:13" ht="15" customHeight="1">
      <c r="A3314" s="10">
        <v>46203</v>
      </c>
      <c r="B3314" t="s">
        <v>1</v>
      </c>
      <c r="C3314" t="s">
        <v>314</v>
      </c>
      <c r="D3314">
        <v>1</v>
      </c>
      <c r="E3314">
        <v>0</v>
      </c>
      <c r="I3314">
        <v>1</v>
      </c>
      <c r="M3314" t="s">
        <v>3432</v>
      </c>
    </row>
    <row r="3315" spans="1:13" ht="15" customHeight="1">
      <c r="A3315" s="10">
        <v>46203</v>
      </c>
      <c r="B3315" t="s">
        <v>1</v>
      </c>
      <c r="C3315" t="s">
        <v>316</v>
      </c>
      <c r="D3315">
        <v>1</v>
      </c>
      <c r="E3315">
        <v>0</v>
      </c>
      <c r="I3315">
        <v>1</v>
      </c>
      <c r="M3315" t="s">
        <v>3433</v>
      </c>
    </row>
    <row r="3316" spans="1:13" ht="15" customHeight="1">
      <c r="A3316" s="10">
        <v>46203</v>
      </c>
      <c r="B3316" t="s">
        <v>1</v>
      </c>
      <c r="C3316" t="s">
        <v>318</v>
      </c>
      <c r="D3316">
        <v>2</v>
      </c>
      <c r="E3316">
        <v>0</v>
      </c>
      <c r="I3316">
        <v>2</v>
      </c>
      <c r="M3316" t="s">
        <v>3434</v>
      </c>
    </row>
    <row r="3317" spans="1:13" ht="15" customHeight="1">
      <c r="A3317" s="10">
        <v>46203</v>
      </c>
      <c r="B3317" t="s">
        <v>1</v>
      </c>
      <c r="C3317" t="s">
        <v>320</v>
      </c>
      <c r="D3317">
        <v>1</v>
      </c>
      <c r="E3317">
        <v>0</v>
      </c>
      <c r="I3317">
        <v>1</v>
      </c>
      <c r="M3317" t="s">
        <v>3435</v>
      </c>
    </row>
    <row r="3318" spans="1:13" ht="15" customHeight="1">
      <c r="A3318" s="10">
        <v>46203</v>
      </c>
      <c r="B3318" t="s">
        <v>1</v>
      </c>
      <c r="C3318" t="s">
        <v>322</v>
      </c>
      <c r="D3318">
        <v>0</v>
      </c>
      <c r="E3318">
        <v>0</v>
      </c>
      <c r="I3318">
        <v>0</v>
      </c>
      <c r="M3318" t="s">
        <v>3436</v>
      </c>
    </row>
    <row r="3319" spans="1:13" ht="15" customHeight="1">
      <c r="A3319" s="10">
        <v>46203</v>
      </c>
      <c r="B3319" t="s">
        <v>1</v>
      </c>
      <c r="C3319" s="135" t="s">
        <v>168</v>
      </c>
      <c r="D3319">
        <v>1</v>
      </c>
      <c r="E3319">
        <v>0</v>
      </c>
      <c r="I3319">
        <v>1</v>
      </c>
      <c r="M3319" t="s">
        <v>3437</v>
      </c>
    </row>
    <row r="3320" spans="1:13" ht="15" customHeight="1">
      <c r="A3320" s="10">
        <v>46203</v>
      </c>
      <c r="B3320" t="s">
        <v>1</v>
      </c>
      <c r="C3320" s="135" t="s">
        <v>170</v>
      </c>
      <c r="D3320">
        <v>1</v>
      </c>
      <c r="E3320">
        <v>0</v>
      </c>
      <c r="I3320">
        <v>1</v>
      </c>
      <c r="M3320" t="s">
        <v>3438</v>
      </c>
    </row>
    <row r="3321" spans="1:13" ht="15" customHeight="1">
      <c r="A3321" s="10">
        <v>46203</v>
      </c>
      <c r="B3321" t="s">
        <v>1</v>
      </c>
      <c r="C3321" s="135" t="s">
        <v>171</v>
      </c>
      <c r="D3321">
        <v>2</v>
      </c>
      <c r="E3321">
        <v>0</v>
      </c>
      <c r="I3321">
        <v>2</v>
      </c>
      <c r="M3321" t="s">
        <v>3439</v>
      </c>
    </row>
    <row r="3322" spans="1:13" ht="15" customHeight="1">
      <c r="A3322" s="10">
        <v>46203</v>
      </c>
      <c r="B3322" t="s">
        <v>1</v>
      </c>
      <c r="C3322" s="135" t="s">
        <v>172</v>
      </c>
      <c r="D3322">
        <v>1</v>
      </c>
      <c r="E3322">
        <v>0</v>
      </c>
      <c r="I3322">
        <v>1</v>
      </c>
      <c r="M3322" t="s">
        <v>3440</v>
      </c>
    </row>
    <row r="3323" spans="1:13" ht="15" customHeight="1">
      <c r="A3323" s="10">
        <v>46203</v>
      </c>
      <c r="B3323" t="s">
        <v>1</v>
      </c>
      <c r="C3323" s="135" t="s">
        <v>173</v>
      </c>
      <c r="D3323">
        <v>0</v>
      </c>
      <c r="E3323">
        <v>0</v>
      </c>
      <c r="I3323">
        <v>0</v>
      </c>
      <c r="M3323" t="s">
        <v>3441</v>
      </c>
    </row>
    <row r="3324" spans="1:13" ht="15" customHeight="1">
      <c r="A3324" s="10">
        <v>46203</v>
      </c>
      <c r="B3324" t="s">
        <v>1</v>
      </c>
      <c r="C3324" t="s">
        <v>176</v>
      </c>
      <c r="D3324">
        <v>0</v>
      </c>
      <c r="E3324">
        <v>13</v>
      </c>
      <c r="I3324">
        <v>0</v>
      </c>
      <c r="J3324">
        <v>13</v>
      </c>
      <c r="M3324" t="s">
        <v>3442</v>
      </c>
    </row>
    <row r="3325" spans="1:13" ht="15" customHeight="1">
      <c r="A3325" s="10">
        <v>46203</v>
      </c>
      <c r="B3325" t="s">
        <v>1</v>
      </c>
      <c r="C3325" t="s">
        <v>178</v>
      </c>
      <c r="D3325">
        <v>0</v>
      </c>
      <c r="E3325">
        <v>11</v>
      </c>
      <c r="H3325">
        <v>2</v>
      </c>
      <c r="I3325">
        <v>0</v>
      </c>
      <c r="J3325">
        <v>9</v>
      </c>
      <c r="M3325" t="s">
        <v>3443</v>
      </c>
    </row>
    <row r="3326" spans="1:13" ht="15" customHeight="1">
      <c r="A3326" s="10">
        <v>46203</v>
      </c>
      <c r="B3326" t="s">
        <v>1</v>
      </c>
      <c r="C3326" t="s">
        <v>179</v>
      </c>
      <c r="D3326">
        <v>0</v>
      </c>
      <c r="E3326">
        <v>8</v>
      </c>
      <c r="I3326">
        <v>0</v>
      </c>
      <c r="J3326">
        <v>8</v>
      </c>
      <c r="M3326" t="s">
        <v>3444</v>
      </c>
    </row>
    <row r="3327" spans="1:13" ht="15" customHeight="1">
      <c r="A3327" s="10">
        <v>46203</v>
      </c>
      <c r="B3327" t="s">
        <v>1</v>
      </c>
      <c r="C3327" t="s">
        <v>180</v>
      </c>
      <c r="D3327">
        <v>0</v>
      </c>
      <c r="E3327">
        <v>21</v>
      </c>
      <c r="I3327">
        <v>0</v>
      </c>
      <c r="J3327">
        <v>21</v>
      </c>
      <c r="M3327" t="s">
        <v>3445</v>
      </c>
    </row>
    <row r="3328" spans="1:13" ht="15" customHeight="1">
      <c r="A3328" s="10">
        <v>46203</v>
      </c>
      <c r="B3328" t="s">
        <v>1</v>
      </c>
      <c r="C3328" s="135" t="s">
        <v>182</v>
      </c>
      <c r="D3328">
        <v>1</v>
      </c>
      <c r="E3328">
        <v>210</v>
      </c>
      <c r="I3328">
        <v>1</v>
      </c>
      <c r="J3328">
        <v>210</v>
      </c>
      <c r="M3328" t="s">
        <v>3446</v>
      </c>
    </row>
    <row r="3329" spans="1:13" ht="15" customHeight="1">
      <c r="A3329" s="10">
        <v>46203</v>
      </c>
      <c r="B3329" t="s">
        <v>1</v>
      </c>
      <c r="C3329" s="135" t="s">
        <v>184</v>
      </c>
      <c r="D3329">
        <v>0</v>
      </c>
      <c r="E3329">
        <v>65</v>
      </c>
      <c r="I3329">
        <v>0</v>
      </c>
      <c r="J3329">
        <v>65</v>
      </c>
      <c r="M3329" t="s">
        <v>3447</v>
      </c>
    </row>
    <row r="3330" spans="1:13" ht="15" customHeight="1">
      <c r="A3330" s="10">
        <v>46203</v>
      </c>
      <c r="B3330" t="s">
        <v>1</v>
      </c>
      <c r="C3330" s="135" t="s">
        <v>185</v>
      </c>
      <c r="D3330">
        <v>1</v>
      </c>
      <c r="E3330">
        <v>20</v>
      </c>
      <c r="I3330">
        <v>1</v>
      </c>
      <c r="J3330">
        <v>20</v>
      </c>
      <c r="M3330" t="s">
        <v>3448</v>
      </c>
    </row>
    <row r="3331" spans="1:13" ht="15" customHeight="1">
      <c r="A3331" s="10">
        <v>46203</v>
      </c>
      <c r="B3331" t="s">
        <v>1</v>
      </c>
      <c r="C3331" s="135" t="s">
        <v>186</v>
      </c>
      <c r="D3331">
        <v>0</v>
      </c>
      <c r="E3331">
        <v>795</v>
      </c>
      <c r="I3331">
        <v>0</v>
      </c>
      <c r="J3331">
        <v>795</v>
      </c>
      <c r="M3331" t="s">
        <v>3449</v>
      </c>
    </row>
    <row r="3332" spans="1:13" ht="15" customHeight="1">
      <c r="A3332" s="10">
        <v>46203</v>
      </c>
      <c r="B3332" t="s">
        <v>1</v>
      </c>
      <c r="C3332" t="s">
        <v>337</v>
      </c>
      <c r="D3332">
        <v>2</v>
      </c>
      <c r="E3332">
        <v>0</v>
      </c>
      <c r="I3332">
        <v>1</v>
      </c>
      <c r="J3332">
        <v>286</v>
      </c>
      <c r="M3332" t="s">
        <v>3450</v>
      </c>
    </row>
    <row r="3333" spans="1:13" ht="15" customHeight="1">
      <c r="A3333" s="10">
        <v>46203</v>
      </c>
      <c r="B3333" t="s">
        <v>1</v>
      </c>
      <c r="C3333" t="s">
        <v>339</v>
      </c>
      <c r="D3333">
        <v>0</v>
      </c>
      <c r="E3333">
        <v>0</v>
      </c>
      <c r="I3333">
        <v>0</v>
      </c>
      <c r="J3333">
        <v>0</v>
      </c>
      <c r="M3333" t="s">
        <v>3451</v>
      </c>
    </row>
    <row r="3334" spans="1:13" ht="15" customHeight="1">
      <c r="A3334" s="10">
        <v>46203</v>
      </c>
      <c r="B3334" t="s">
        <v>1</v>
      </c>
      <c r="C3334" s="135" t="s">
        <v>191</v>
      </c>
      <c r="D3334">
        <v>1</v>
      </c>
      <c r="E3334">
        <v>175</v>
      </c>
      <c r="I3334">
        <v>1</v>
      </c>
      <c r="J3334">
        <v>175</v>
      </c>
      <c r="M3334" t="s">
        <v>3452</v>
      </c>
    </row>
    <row r="3335" spans="1:13" ht="15" customHeight="1">
      <c r="A3335" s="10">
        <v>46203</v>
      </c>
      <c r="B3335" t="s">
        <v>1</v>
      </c>
      <c r="C3335" s="135" t="s">
        <v>193</v>
      </c>
      <c r="D3335">
        <v>1</v>
      </c>
      <c r="E3335">
        <v>144</v>
      </c>
      <c r="I3335">
        <v>1</v>
      </c>
      <c r="J3335">
        <v>144</v>
      </c>
      <c r="M3335" t="s">
        <v>3453</v>
      </c>
    </row>
    <row r="3336" spans="1:13" ht="15" customHeight="1">
      <c r="A3336" s="10">
        <v>46203</v>
      </c>
      <c r="B3336" t="s">
        <v>1</v>
      </c>
      <c r="C3336" s="135" t="s">
        <v>194</v>
      </c>
      <c r="D3336">
        <v>0</v>
      </c>
      <c r="E3336">
        <v>42</v>
      </c>
      <c r="I3336">
        <v>0</v>
      </c>
      <c r="J3336">
        <v>42</v>
      </c>
      <c r="M3336" t="s">
        <v>3454</v>
      </c>
    </row>
    <row r="3337" spans="1:13" ht="15" customHeight="1">
      <c r="A3337" s="10">
        <v>46203</v>
      </c>
      <c r="B3337" t="s">
        <v>1</v>
      </c>
      <c r="C3337" s="135" t="s">
        <v>196</v>
      </c>
      <c r="D3337">
        <v>0</v>
      </c>
      <c r="E3337">
        <v>175</v>
      </c>
      <c r="I3337">
        <v>0</v>
      </c>
      <c r="J3337">
        <v>175</v>
      </c>
      <c r="M3337" t="s">
        <v>3455</v>
      </c>
    </row>
    <row r="3338" spans="1:13" ht="15" customHeight="1">
      <c r="A3338" s="10">
        <v>46204</v>
      </c>
      <c r="B3338" t="s">
        <v>1</v>
      </c>
      <c r="C3338" t="s">
        <v>23</v>
      </c>
      <c r="D3338">
        <v>2</v>
      </c>
      <c r="E3338">
        <v>1067</v>
      </c>
      <c r="F3338">
        <v>3</v>
      </c>
      <c r="I3338">
        <v>5</v>
      </c>
      <c r="J3338">
        <v>165</v>
      </c>
      <c r="M3338" t="s">
        <v>3456</v>
      </c>
    </row>
    <row r="3339" spans="1:13" ht="15" customHeight="1">
      <c r="A3339" s="10">
        <v>46204</v>
      </c>
      <c r="B3339" t="s">
        <v>1</v>
      </c>
      <c r="C3339" t="s">
        <v>26</v>
      </c>
      <c r="D3339">
        <v>1</v>
      </c>
      <c r="E3339">
        <v>990</v>
      </c>
      <c r="G3339">
        <v>500</v>
      </c>
      <c r="I3339">
        <v>2</v>
      </c>
      <c r="J3339">
        <v>485</v>
      </c>
      <c r="M3339" t="s">
        <v>3457</v>
      </c>
    </row>
    <row r="3340" spans="1:13" ht="15" customHeight="1">
      <c r="A3340" s="10">
        <v>46204</v>
      </c>
      <c r="B3340" t="s">
        <v>1</v>
      </c>
      <c r="C3340" t="s">
        <v>27</v>
      </c>
      <c r="D3340">
        <v>0</v>
      </c>
      <c r="E3340">
        <v>1004</v>
      </c>
      <c r="F3340">
        <v>1</v>
      </c>
      <c r="I3340">
        <v>2</v>
      </c>
      <c r="J3340">
        <v>500</v>
      </c>
      <c r="M3340" t="s">
        <v>3458</v>
      </c>
    </row>
    <row r="3341" spans="1:13" ht="15" customHeight="1">
      <c r="A3341" s="10">
        <v>46204</v>
      </c>
      <c r="B3341" t="s">
        <v>1</v>
      </c>
      <c r="C3341" t="s">
        <v>28</v>
      </c>
      <c r="D3341">
        <v>0</v>
      </c>
      <c r="E3341">
        <v>0</v>
      </c>
      <c r="I3341">
        <v>0</v>
      </c>
      <c r="J3341">
        <v>0</v>
      </c>
      <c r="M3341" t="s">
        <v>3459</v>
      </c>
    </row>
    <row r="3342" spans="1:13" ht="15" customHeight="1">
      <c r="A3342" s="10">
        <v>46204</v>
      </c>
      <c r="B3342" t="s">
        <v>1</v>
      </c>
      <c r="C3342" t="s">
        <v>29</v>
      </c>
      <c r="D3342">
        <v>0</v>
      </c>
      <c r="E3342">
        <v>997</v>
      </c>
      <c r="I3342">
        <v>0</v>
      </c>
      <c r="J3342">
        <v>995</v>
      </c>
      <c r="M3342" t="s">
        <v>3460</v>
      </c>
    </row>
    <row r="3343" spans="1:13" ht="15" customHeight="1">
      <c r="A3343" s="10">
        <v>46204</v>
      </c>
      <c r="B3343" t="s">
        <v>1</v>
      </c>
      <c r="C3343" t="s">
        <v>30</v>
      </c>
      <c r="D3343">
        <v>1</v>
      </c>
      <c r="E3343">
        <v>1000</v>
      </c>
      <c r="I3343">
        <v>1</v>
      </c>
      <c r="J3343">
        <v>995</v>
      </c>
      <c r="M3343" t="s">
        <v>3461</v>
      </c>
    </row>
    <row r="3344" spans="1:13" ht="15" customHeight="1">
      <c r="A3344" s="10">
        <v>46204</v>
      </c>
      <c r="B3344" t="s">
        <v>1</v>
      </c>
      <c r="C3344" t="s">
        <v>31</v>
      </c>
      <c r="D3344">
        <v>1</v>
      </c>
      <c r="E3344">
        <v>122</v>
      </c>
      <c r="I3344">
        <v>2</v>
      </c>
      <c r="J3344">
        <v>120</v>
      </c>
      <c r="M3344" t="s">
        <v>3462</v>
      </c>
    </row>
    <row r="3345" spans="1:13" ht="15" customHeight="1">
      <c r="A3345" s="10">
        <v>46204</v>
      </c>
      <c r="B3345" t="s">
        <v>1</v>
      </c>
      <c r="C3345" t="s">
        <v>32</v>
      </c>
      <c r="D3345">
        <v>2</v>
      </c>
      <c r="E3345">
        <v>515</v>
      </c>
      <c r="I3345">
        <v>0</v>
      </c>
      <c r="J3345">
        <v>323</v>
      </c>
      <c r="M3345" t="s">
        <v>3463</v>
      </c>
    </row>
    <row r="3346" spans="1:13" ht="15" customHeight="1">
      <c r="A3346" s="10">
        <v>46204</v>
      </c>
      <c r="B3346" t="s">
        <v>1</v>
      </c>
      <c r="C3346" t="s">
        <v>223</v>
      </c>
      <c r="D3346">
        <v>3</v>
      </c>
      <c r="E3346">
        <v>311</v>
      </c>
      <c r="F3346">
        <v>2</v>
      </c>
      <c r="I3346">
        <v>4</v>
      </c>
      <c r="J3346">
        <v>617</v>
      </c>
      <c r="M3346" t="s">
        <v>3464</v>
      </c>
    </row>
    <row r="3347" spans="1:13" ht="15" customHeight="1">
      <c r="A3347" s="10">
        <v>46204</v>
      </c>
      <c r="B3347" t="s">
        <v>1</v>
      </c>
      <c r="C3347" t="s">
        <v>35</v>
      </c>
      <c r="D3347">
        <v>7</v>
      </c>
      <c r="E3347">
        <v>0</v>
      </c>
      <c r="H3347">
        <v>1</v>
      </c>
      <c r="I3347">
        <v>6</v>
      </c>
      <c r="M3347" t="s">
        <v>3465</v>
      </c>
    </row>
    <row r="3348" spans="1:13" ht="15" customHeight="1">
      <c r="A3348" s="10">
        <v>46204</v>
      </c>
      <c r="B3348" t="s">
        <v>1</v>
      </c>
      <c r="C3348" t="s">
        <v>37</v>
      </c>
      <c r="D3348">
        <v>3</v>
      </c>
      <c r="E3348">
        <v>0</v>
      </c>
      <c r="I3348">
        <v>3</v>
      </c>
      <c r="M3348" t="s">
        <v>3466</v>
      </c>
    </row>
    <row r="3349" spans="1:13" ht="15" customHeight="1">
      <c r="A3349" s="10">
        <v>46204</v>
      </c>
      <c r="B3349" t="s">
        <v>1</v>
      </c>
      <c r="C3349" t="s">
        <v>39</v>
      </c>
      <c r="D3349">
        <v>17</v>
      </c>
      <c r="E3349">
        <v>0</v>
      </c>
      <c r="I3349">
        <v>17</v>
      </c>
      <c r="J3349">
        <v>0</v>
      </c>
      <c r="M3349" t="s">
        <v>3467</v>
      </c>
    </row>
    <row r="3350" spans="1:13" ht="15" customHeight="1">
      <c r="A3350" s="10">
        <v>46204</v>
      </c>
      <c r="B3350" t="s">
        <v>1</v>
      </c>
      <c r="C3350" t="s">
        <v>41</v>
      </c>
      <c r="D3350">
        <v>13</v>
      </c>
      <c r="E3350">
        <v>0</v>
      </c>
      <c r="H3350">
        <v>1</v>
      </c>
      <c r="I3350">
        <v>12</v>
      </c>
      <c r="J3350">
        <v>0</v>
      </c>
      <c r="M3350" t="s">
        <v>3468</v>
      </c>
    </row>
    <row r="3351" spans="1:13" ht="15" customHeight="1">
      <c r="A3351" s="10">
        <v>46204</v>
      </c>
      <c r="B3351" t="s">
        <v>1</v>
      </c>
      <c r="C3351" t="s">
        <v>232</v>
      </c>
      <c r="D3351">
        <v>0</v>
      </c>
      <c r="E3351">
        <v>0</v>
      </c>
      <c r="I3351">
        <v>0</v>
      </c>
      <c r="J3351">
        <v>0</v>
      </c>
      <c r="M3351" t="s">
        <v>3469</v>
      </c>
    </row>
    <row r="3352" spans="1:13" ht="15" customHeight="1">
      <c r="A3352" s="10">
        <v>46204</v>
      </c>
      <c r="B3352" t="s">
        <v>1</v>
      </c>
      <c r="C3352" t="s">
        <v>234</v>
      </c>
      <c r="D3352">
        <v>56</v>
      </c>
      <c r="E3352">
        <v>0</v>
      </c>
      <c r="H3352">
        <v>6</v>
      </c>
      <c r="I3352">
        <v>50</v>
      </c>
      <c r="J3352">
        <v>0</v>
      </c>
      <c r="M3352" t="s">
        <v>3470</v>
      </c>
    </row>
    <row r="3353" spans="1:13" ht="15" customHeight="1">
      <c r="A3353" s="10">
        <v>46204</v>
      </c>
      <c r="B3353" t="s">
        <v>1</v>
      </c>
      <c r="C3353" t="s">
        <v>54</v>
      </c>
      <c r="D3353">
        <v>0</v>
      </c>
      <c r="E3353">
        <v>0</v>
      </c>
      <c r="I3353">
        <v>0</v>
      </c>
      <c r="J3353">
        <v>0</v>
      </c>
      <c r="M3353" t="s">
        <v>3471</v>
      </c>
    </row>
    <row r="3354" spans="1:13" ht="15" customHeight="1">
      <c r="A3354" s="10">
        <v>46204</v>
      </c>
      <c r="B3354" t="s">
        <v>1</v>
      </c>
      <c r="C3354" t="s">
        <v>237</v>
      </c>
      <c r="D3354">
        <v>7</v>
      </c>
      <c r="E3354">
        <v>0</v>
      </c>
      <c r="I3354">
        <v>7</v>
      </c>
      <c r="J3354">
        <v>0</v>
      </c>
      <c r="M3354" t="s">
        <v>3472</v>
      </c>
    </row>
    <row r="3355" spans="1:13" ht="15" customHeight="1">
      <c r="A3355" s="10">
        <v>46204</v>
      </c>
      <c r="B3355" t="s">
        <v>1</v>
      </c>
      <c r="C3355" s="135" t="s">
        <v>58</v>
      </c>
      <c r="D3355">
        <v>5</v>
      </c>
      <c r="E3355">
        <v>0</v>
      </c>
      <c r="H3355">
        <v>4</v>
      </c>
      <c r="I3355">
        <v>1</v>
      </c>
      <c r="J3355">
        <v>0</v>
      </c>
      <c r="M3355" t="s">
        <v>3473</v>
      </c>
    </row>
    <row r="3356" spans="1:13" ht="15" customHeight="1">
      <c r="A3356" s="10">
        <v>46204</v>
      </c>
      <c r="B3356" t="s">
        <v>1</v>
      </c>
      <c r="C3356" s="135" t="s">
        <v>60</v>
      </c>
      <c r="D3356">
        <v>10</v>
      </c>
      <c r="E3356">
        <v>0</v>
      </c>
      <c r="H3356">
        <v>4</v>
      </c>
      <c r="I3356">
        <v>6</v>
      </c>
      <c r="J3356">
        <v>0</v>
      </c>
      <c r="M3356" t="s">
        <v>3474</v>
      </c>
    </row>
    <row r="3357" spans="1:13" ht="15" customHeight="1">
      <c r="A3357" s="10">
        <v>46204</v>
      </c>
      <c r="B3357" t="s">
        <v>1</v>
      </c>
      <c r="C3357" s="135" t="s">
        <v>61</v>
      </c>
      <c r="D3357">
        <v>5</v>
      </c>
      <c r="E3357">
        <v>0</v>
      </c>
      <c r="I3357">
        <v>5</v>
      </c>
      <c r="J3357">
        <v>0</v>
      </c>
      <c r="M3357" t="s">
        <v>3475</v>
      </c>
    </row>
    <row r="3358" spans="1:13" ht="15" customHeight="1">
      <c r="A3358" s="10">
        <v>46204</v>
      </c>
      <c r="B3358" t="s">
        <v>1</v>
      </c>
      <c r="C3358" s="135" t="s">
        <v>62</v>
      </c>
      <c r="D3358">
        <v>8</v>
      </c>
      <c r="E3358">
        <v>0</v>
      </c>
      <c r="H3358">
        <v>2</v>
      </c>
      <c r="I3358">
        <v>6</v>
      </c>
      <c r="J3358">
        <v>0</v>
      </c>
      <c r="M3358" t="s">
        <v>3476</v>
      </c>
    </row>
    <row r="3359" spans="1:13" ht="15" customHeight="1">
      <c r="A3359" s="10">
        <v>46204</v>
      </c>
      <c r="B3359" t="s">
        <v>1</v>
      </c>
      <c r="C3359" s="135" t="s">
        <v>63</v>
      </c>
      <c r="D3359">
        <v>5</v>
      </c>
      <c r="E3359">
        <v>0</v>
      </c>
      <c r="H3359">
        <v>2</v>
      </c>
      <c r="I3359">
        <v>3</v>
      </c>
      <c r="J3359">
        <v>0</v>
      </c>
      <c r="M3359" t="s">
        <v>3477</v>
      </c>
    </row>
    <row r="3360" spans="1:13" ht="15" customHeight="1">
      <c r="A3360" s="10">
        <v>46204</v>
      </c>
      <c r="B3360" t="s">
        <v>1</v>
      </c>
      <c r="C3360" s="135" t="s">
        <v>64</v>
      </c>
      <c r="D3360">
        <v>0</v>
      </c>
      <c r="E3360">
        <v>0</v>
      </c>
      <c r="I3360">
        <v>0</v>
      </c>
      <c r="J3360">
        <v>0</v>
      </c>
      <c r="M3360" t="s">
        <v>3478</v>
      </c>
    </row>
    <row r="3361" spans="1:13" ht="15" customHeight="1">
      <c r="A3361" s="10">
        <v>46204</v>
      </c>
      <c r="B3361" t="s">
        <v>1</v>
      </c>
      <c r="C3361" t="s">
        <v>66</v>
      </c>
      <c r="D3361">
        <v>4</v>
      </c>
      <c r="E3361">
        <v>0</v>
      </c>
      <c r="I3361">
        <v>4</v>
      </c>
      <c r="J3361">
        <v>0</v>
      </c>
      <c r="M3361" t="s">
        <v>3479</v>
      </c>
    </row>
    <row r="3362" spans="1:13" ht="15" customHeight="1">
      <c r="A3362" s="10">
        <v>46204</v>
      </c>
      <c r="B3362" t="s">
        <v>1</v>
      </c>
      <c r="C3362" t="s">
        <v>67</v>
      </c>
      <c r="D3362">
        <v>7</v>
      </c>
      <c r="E3362">
        <v>0</v>
      </c>
      <c r="I3362">
        <v>7</v>
      </c>
      <c r="J3362">
        <v>0</v>
      </c>
      <c r="M3362" t="s">
        <v>3480</v>
      </c>
    </row>
    <row r="3363" spans="1:13" ht="15" customHeight="1">
      <c r="A3363" s="10">
        <v>46204</v>
      </c>
      <c r="B3363" t="s">
        <v>1</v>
      </c>
      <c r="C3363" t="s">
        <v>68</v>
      </c>
      <c r="D3363">
        <v>0</v>
      </c>
      <c r="E3363">
        <v>0</v>
      </c>
      <c r="I3363">
        <v>0</v>
      </c>
      <c r="J3363">
        <v>0</v>
      </c>
      <c r="M3363" t="s">
        <v>3481</v>
      </c>
    </row>
    <row r="3364" spans="1:13" ht="15" customHeight="1">
      <c r="A3364" s="10">
        <v>46204</v>
      </c>
      <c r="B3364" t="s">
        <v>1</v>
      </c>
      <c r="C3364" t="s">
        <v>71</v>
      </c>
      <c r="D3364">
        <v>0</v>
      </c>
      <c r="E3364">
        <v>779</v>
      </c>
      <c r="F3364">
        <v>1</v>
      </c>
      <c r="I3364">
        <v>1</v>
      </c>
      <c r="J3364">
        <v>744</v>
      </c>
      <c r="M3364" t="s">
        <v>3482</v>
      </c>
    </row>
    <row r="3365" spans="1:13" ht="15" customHeight="1">
      <c r="A3365" s="10">
        <v>46204</v>
      </c>
      <c r="B3365" t="s">
        <v>1</v>
      </c>
      <c r="C3365" t="s">
        <v>73</v>
      </c>
      <c r="D3365">
        <v>2</v>
      </c>
      <c r="E3365">
        <v>220</v>
      </c>
      <c r="I3365">
        <v>2</v>
      </c>
      <c r="J3365">
        <v>220</v>
      </c>
      <c r="M3365" t="s">
        <v>3483</v>
      </c>
    </row>
    <row r="3366" spans="1:13" ht="15" customHeight="1">
      <c r="A3366" s="10">
        <v>46204</v>
      </c>
      <c r="B3366" t="s">
        <v>1</v>
      </c>
      <c r="C3366" t="s">
        <v>75</v>
      </c>
      <c r="D3366">
        <v>1</v>
      </c>
      <c r="E3366">
        <v>194</v>
      </c>
      <c r="I3366">
        <v>1</v>
      </c>
      <c r="J3366">
        <v>194</v>
      </c>
      <c r="M3366" t="s">
        <v>3484</v>
      </c>
    </row>
    <row r="3367" spans="1:13" ht="15" customHeight="1">
      <c r="A3367" s="10">
        <v>46204</v>
      </c>
      <c r="B3367" t="s">
        <v>1</v>
      </c>
      <c r="C3367" t="s">
        <v>77</v>
      </c>
      <c r="D3367">
        <v>0</v>
      </c>
      <c r="E3367">
        <v>770</v>
      </c>
      <c r="I3367">
        <v>0</v>
      </c>
      <c r="J3367">
        <v>770</v>
      </c>
      <c r="M3367" t="s">
        <v>3485</v>
      </c>
    </row>
    <row r="3368" spans="1:13" ht="15" customHeight="1">
      <c r="A3368" s="10">
        <v>46204</v>
      </c>
      <c r="B3368" t="s">
        <v>1</v>
      </c>
      <c r="C3368" t="s">
        <v>79</v>
      </c>
      <c r="D3368">
        <v>0</v>
      </c>
      <c r="E3368">
        <v>1498</v>
      </c>
      <c r="F3368">
        <v>1</v>
      </c>
      <c r="I3368">
        <v>1</v>
      </c>
      <c r="J3368">
        <v>1358</v>
      </c>
      <c r="M3368" t="s">
        <v>3486</v>
      </c>
    </row>
    <row r="3369" spans="1:13" ht="15" customHeight="1">
      <c r="A3369" s="10">
        <v>46204</v>
      </c>
      <c r="B3369" t="s">
        <v>1</v>
      </c>
      <c r="C3369" t="s">
        <v>81</v>
      </c>
      <c r="D3369">
        <v>1</v>
      </c>
      <c r="E3369">
        <v>152</v>
      </c>
      <c r="I3369">
        <v>1</v>
      </c>
      <c r="J3369">
        <v>152</v>
      </c>
      <c r="M3369" t="s">
        <v>3487</v>
      </c>
    </row>
    <row r="3370" spans="1:13" ht="15" customHeight="1">
      <c r="A3370" s="10">
        <v>46204</v>
      </c>
      <c r="B3370" t="s">
        <v>1</v>
      </c>
      <c r="C3370" t="s">
        <v>83</v>
      </c>
      <c r="D3370">
        <v>1</v>
      </c>
      <c r="E3370">
        <v>70</v>
      </c>
      <c r="I3370">
        <v>1</v>
      </c>
      <c r="J3370">
        <v>70</v>
      </c>
      <c r="M3370" t="s">
        <v>3488</v>
      </c>
    </row>
    <row r="3371" spans="1:13" ht="15" customHeight="1">
      <c r="A3371" s="10">
        <v>46204</v>
      </c>
      <c r="B3371" t="s">
        <v>1</v>
      </c>
      <c r="C3371" t="s">
        <v>84</v>
      </c>
      <c r="D3371">
        <v>1</v>
      </c>
      <c r="E3371">
        <v>67</v>
      </c>
      <c r="I3371">
        <v>1</v>
      </c>
      <c r="J3371">
        <v>67</v>
      </c>
      <c r="M3371" t="s">
        <v>3489</v>
      </c>
    </row>
    <row r="3372" spans="1:13" ht="15" customHeight="1">
      <c r="A3372" s="10">
        <v>46204</v>
      </c>
      <c r="B3372" t="s">
        <v>1</v>
      </c>
      <c r="C3372" t="s">
        <v>85</v>
      </c>
      <c r="D3372">
        <v>0</v>
      </c>
      <c r="E3372">
        <v>130</v>
      </c>
      <c r="I3372">
        <v>0</v>
      </c>
      <c r="J3372">
        <v>130</v>
      </c>
      <c r="M3372" t="s">
        <v>3490</v>
      </c>
    </row>
    <row r="3373" spans="1:13" ht="15" customHeight="1">
      <c r="A3373" s="10">
        <v>46204</v>
      </c>
      <c r="B3373" t="s">
        <v>1</v>
      </c>
      <c r="C3373" t="s">
        <v>87</v>
      </c>
      <c r="D3373">
        <v>2</v>
      </c>
      <c r="E3373">
        <v>297</v>
      </c>
      <c r="I3373">
        <v>2</v>
      </c>
      <c r="J3373">
        <v>295</v>
      </c>
      <c r="M3373" t="s">
        <v>3491</v>
      </c>
    </row>
    <row r="3374" spans="1:13" ht="15" customHeight="1">
      <c r="A3374" s="10">
        <v>46204</v>
      </c>
      <c r="B3374" t="s">
        <v>1</v>
      </c>
      <c r="C3374" t="s">
        <v>88</v>
      </c>
      <c r="D3374">
        <v>1</v>
      </c>
      <c r="E3374">
        <v>218</v>
      </c>
      <c r="I3374">
        <v>1</v>
      </c>
      <c r="J3374">
        <v>215</v>
      </c>
      <c r="M3374" t="s">
        <v>3492</v>
      </c>
    </row>
    <row r="3375" spans="1:13" ht="15" customHeight="1">
      <c r="A3375" s="10">
        <v>46204</v>
      </c>
      <c r="B3375" t="s">
        <v>1</v>
      </c>
      <c r="C3375" t="s">
        <v>89</v>
      </c>
      <c r="D3375">
        <v>1</v>
      </c>
      <c r="E3375">
        <v>100</v>
      </c>
      <c r="I3375">
        <v>1</v>
      </c>
      <c r="J3375">
        <v>100</v>
      </c>
      <c r="M3375" t="s">
        <v>3493</v>
      </c>
    </row>
    <row r="3376" spans="1:13" ht="15" customHeight="1">
      <c r="A3376" s="10">
        <v>46204</v>
      </c>
      <c r="B3376" t="s">
        <v>1</v>
      </c>
      <c r="C3376" t="s">
        <v>90</v>
      </c>
      <c r="D3376">
        <v>1</v>
      </c>
      <c r="E3376">
        <v>671</v>
      </c>
      <c r="I3376">
        <v>1</v>
      </c>
      <c r="J3376">
        <v>617</v>
      </c>
      <c r="M3376" t="s">
        <v>3494</v>
      </c>
    </row>
    <row r="3377" spans="1:13" ht="15" customHeight="1">
      <c r="A3377" s="10">
        <v>46204</v>
      </c>
      <c r="B3377" t="s">
        <v>1</v>
      </c>
      <c r="C3377" t="s">
        <v>92</v>
      </c>
      <c r="D3377">
        <v>1</v>
      </c>
      <c r="E3377">
        <v>700</v>
      </c>
      <c r="I3377">
        <v>1</v>
      </c>
      <c r="J3377">
        <v>700</v>
      </c>
      <c r="M3377" t="s">
        <v>3495</v>
      </c>
    </row>
    <row r="3378" spans="1:13" ht="15" customHeight="1">
      <c r="A3378" s="10">
        <v>46204</v>
      </c>
      <c r="B3378" t="s">
        <v>1</v>
      </c>
      <c r="C3378" t="s">
        <v>94</v>
      </c>
      <c r="D3378">
        <v>3</v>
      </c>
      <c r="E3378">
        <v>71</v>
      </c>
      <c r="F3378">
        <v>1</v>
      </c>
      <c r="I3378">
        <v>3</v>
      </c>
      <c r="J3378">
        <v>76</v>
      </c>
      <c r="M3378" t="s">
        <v>3496</v>
      </c>
    </row>
    <row r="3379" spans="1:13" ht="15" customHeight="1">
      <c r="A3379" s="10">
        <v>46204</v>
      </c>
      <c r="B3379" t="s">
        <v>1</v>
      </c>
      <c r="C3379" t="s">
        <v>203</v>
      </c>
      <c r="D3379">
        <v>3</v>
      </c>
      <c r="E3379">
        <v>48</v>
      </c>
      <c r="I3379">
        <v>2</v>
      </c>
      <c r="J3379">
        <v>112</v>
      </c>
      <c r="K3379">
        <v>171</v>
      </c>
      <c r="M3379" t="s">
        <v>3497</v>
      </c>
    </row>
    <row r="3380" spans="1:13" ht="15" customHeight="1">
      <c r="A3380" s="10">
        <v>46204</v>
      </c>
      <c r="B3380" t="s">
        <v>1</v>
      </c>
      <c r="C3380" t="s">
        <v>101</v>
      </c>
      <c r="D3380">
        <v>0</v>
      </c>
      <c r="E3380">
        <v>261</v>
      </c>
      <c r="F3380">
        <v>1</v>
      </c>
      <c r="I3380">
        <v>1</v>
      </c>
      <c r="J3380">
        <v>221</v>
      </c>
      <c r="M3380" t="s">
        <v>3498</v>
      </c>
    </row>
    <row r="3381" spans="1:13" ht="15" customHeight="1">
      <c r="A3381" s="10">
        <v>46204</v>
      </c>
      <c r="B3381" t="s">
        <v>1</v>
      </c>
      <c r="C3381" t="s">
        <v>103</v>
      </c>
      <c r="D3381">
        <v>0</v>
      </c>
      <c r="E3381">
        <v>2</v>
      </c>
      <c r="I3381">
        <v>0</v>
      </c>
      <c r="J3381">
        <v>1</v>
      </c>
      <c r="M3381" t="s">
        <v>3499</v>
      </c>
    </row>
    <row r="3382" spans="1:13" ht="15" customHeight="1">
      <c r="A3382" s="10">
        <v>46204</v>
      </c>
      <c r="B3382" t="s">
        <v>1</v>
      </c>
      <c r="C3382" t="s">
        <v>106</v>
      </c>
      <c r="D3382">
        <v>1</v>
      </c>
      <c r="E3382">
        <v>889</v>
      </c>
      <c r="I3382">
        <v>1</v>
      </c>
      <c r="J3382">
        <v>829</v>
      </c>
      <c r="M3382" t="s">
        <v>3500</v>
      </c>
    </row>
    <row r="3383" spans="1:13" ht="15" customHeight="1">
      <c r="A3383" s="10">
        <v>46204</v>
      </c>
      <c r="B3383" t="s">
        <v>1</v>
      </c>
      <c r="C3383" t="s">
        <v>108</v>
      </c>
      <c r="D3383">
        <v>1</v>
      </c>
      <c r="E3383">
        <v>256</v>
      </c>
      <c r="I3383">
        <v>1</v>
      </c>
      <c r="J3383">
        <v>341</v>
      </c>
      <c r="M3383" t="s">
        <v>3501</v>
      </c>
    </row>
    <row r="3384" spans="1:13" ht="15" customHeight="1">
      <c r="A3384" s="10">
        <v>46204</v>
      </c>
      <c r="B3384" t="s">
        <v>1</v>
      </c>
      <c r="C3384" t="s">
        <v>109</v>
      </c>
      <c r="D3384">
        <v>0</v>
      </c>
      <c r="E3384">
        <v>843</v>
      </c>
      <c r="I3384">
        <v>0</v>
      </c>
      <c r="J3384">
        <v>833</v>
      </c>
      <c r="M3384" t="s">
        <v>3502</v>
      </c>
    </row>
    <row r="3385" spans="1:13" ht="15" customHeight="1">
      <c r="A3385" s="10">
        <v>46204</v>
      </c>
      <c r="B3385" t="s">
        <v>1</v>
      </c>
      <c r="C3385" t="s">
        <v>112</v>
      </c>
      <c r="D3385">
        <v>1</v>
      </c>
      <c r="E3385">
        <v>29</v>
      </c>
      <c r="I3385">
        <v>1</v>
      </c>
      <c r="J3385">
        <v>28</v>
      </c>
      <c r="M3385" t="s">
        <v>3503</v>
      </c>
    </row>
    <row r="3386" spans="1:13" ht="15" customHeight="1">
      <c r="A3386" s="10">
        <v>46204</v>
      </c>
      <c r="B3386" t="s">
        <v>1</v>
      </c>
      <c r="C3386" t="s">
        <v>114</v>
      </c>
      <c r="D3386">
        <v>2</v>
      </c>
      <c r="E3386">
        <v>36</v>
      </c>
      <c r="I3386">
        <v>2</v>
      </c>
      <c r="J3386">
        <v>35</v>
      </c>
      <c r="M3386" t="s">
        <v>3504</v>
      </c>
    </row>
    <row r="3387" spans="1:13" ht="15" customHeight="1">
      <c r="A3387" s="10">
        <v>46204</v>
      </c>
      <c r="B3387" t="s">
        <v>1</v>
      </c>
      <c r="C3387" t="s">
        <v>115</v>
      </c>
      <c r="D3387">
        <v>1</v>
      </c>
      <c r="E3387">
        <v>11</v>
      </c>
      <c r="I3387">
        <v>1</v>
      </c>
      <c r="J3387">
        <v>6</v>
      </c>
      <c r="M3387" t="s">
        <v>3505</v>
      </c>
    </row>
    <row r="3388" spans="1:13" ht="15" customHeight="1">
      <c r="A3388" s="10">
        <v>46204</v>
      </c>
      <c r="B3388" t="s">
        <v>1</v>
      </c>
      <c r="C3388" t="s">
        <v>116</v>
      </c>
      <c r="D3388">
        <v>2</v>
      </c>
      <c r="E3388">
        <v>4</v>
      </c>
      <c r="I3388">
        <v>1</v>
      </c>
      <c r="J3388">
        <v>47</v>
      </c>
      <c r="M3388" t="s">
        <v>3506</v>
      </c>
    </row>
    <row r="3389" spans="1:13" ht="15" customHeight="1">
      <c r="A3389" s="10">
        <v>46204</v>
      </c>
      <c r="B3389" t="s">
        <v>1</v>
      </c>
      <c r="C3389" t="s">
        <v>119</v>
      </c>
      <c r="D3389">
        <v>2</v>
      </c>
      <c r="E3389">
        <v>0</v>
      </c>
      <c r="I3389">
        <v>2</v>
      </c>
      <c r="M3389" t="s">
        <v>3507</v>
      </c>
    </row>
    <row r="3390" spans="1:13" ht="15" customHeight="1">
      <c r="A3390" s="10">
        <v>46204</v>
      </c>
      <c r="B3390" t="s">
        <v>1</v>
      </c>
      <c r="C3390" t="s">
        <v>120</v>
      </c>
      <c r="D3390">
        <v>1</v>
      </c>
      <c r="E3390">
        <v>0</v>
      </c>
      <c r="I3390">
        <v>1</v>
      </c>
      <c r="M3390" t="s">
        <v>3508</v>
      </c>
    </row>
    <row r="3391" spans="1:13" ht="15" customHeight="1">
      <c r="A3391" s="10">
        <v>46204</v>
      </c>
      <c r="B3391" t="s">
        <v>1</v>
      </c>
      <c r="C3391" t="s">
        <v>121</v>
      </c>
      <c r="D3391">
        <v>1</v>
      </c>
      <c r="E3391">
        <v>0</v>
      </c>
      <c r="I3391">
        <v>1</v>
      </c>
      <c r="M3391" t="s">
        <v>3509</v>
      </c>
    </row>
    <row r="3392" spans="1:13" ht="15" customHeight="1">
      <c r="A3392" s="10">
        <v>46204</v>
      </c>
      <c r="B3392" t="s">
        <v>1</v>
      </c>
      <c r="C3392" t="s">
        <v>123</v>
      </c>
      <c r="D3392">
        <v>2</v>
      </c>
      <c r="E3392">
        <v>0</v>
      </c>
      <c r="I3392">
        <v>2</v>
      </c>
      <c r="M3392" t="s">
        <v>3510</v>
      </c>
    </row>
    <row r="3393" spans="1:13" ht="15" customHeight="1">
      <c r="A3393" s="10">
        <v>46204</v>
      </c>
      <c r="B3393" t="s">
        <v>1</v>
      </c>
      <c r="C3393" t="s">
        <v>124</v>
      </c>
      <c r="D3393">
        <v>1</v>
      </c>
      <c r="E3393">
        <v>0</v>
      </c>
      <c r="F3393">
        <v>1</v>
      </c>
      <c r="I3393">
        <v>2</v>
      </c>
      <c r="M3393" t="s">
        <v>3511</v>
      </c>
    </row>
    <row r="3394" spans="1:13" ht="15" customHeight="1">
      <c r="A3394" s="10">
        <v>46204</v>
      </c>
      <c r="B3394" t="s">
        <v>1</v>
      </c>
      <c r="C3394" t="s">
        <v>125</v>
      </c>
      <c r="D3394">
        <v>2</v>
      </c>
      <c r="E3394">
        <v>0</v>
      </c>
      <c r="I3394">
        <v>2</v>
      </c>
      <c r="M3394" t="s">
        <v>3512</v>
      </c>
    </row>
    <row r="3395" spans="1:13" ht="15" customHeight="1">
      <c r="A3395" s="10">
        <v>46204</v>
      </c>
      <c r="B3395" t="s">
        <v>1</v>
      </c>
      <c r="C3395" t="s">
        <v>126</v>
      </c>
      <c r="D3395">
        <v>2</v>
      </c>
      <c r="E3395">
        <v>0</v>
      </c>
      <c r="I3395">
        <v>2</v>
      </c>
      <c r="M3395" t="s">
        <v>3513</v>
      </c>
    </row>
    <row r="3396" spans="1:13" ht="15" customHeight="1">
      <c r="A3396" s="10">
        <v>46204</v>
      </c>
      <c r="B3396" t="s">
        <v>1</v>
      </c>
      <c r="C3396" t="s">
        <v>128</v>
      </c>
      <c r="D3396">
        <v>3</v>
      </c>
      <c r="E3396">
        <v>0</v>
      </c>
      <c r="I3396">
        <v>3</v>
      </c>
      <c r="M3396" t="s">
        <v>3514</v>
      </c>
    </row>
    <row r="3397" spans="1:13" ht="15" customHeight="1">
      <c r="A3397" s="10">
        <v>46204</v>
      </c>
      <c r="B3397" t="s">
        <v>1</v>
      </c>
      <c r="C3397" t="s">
        <v>130</v>
      </c>
      <c r="D3397">
        <v>3</v>
      </c>
      <c r="E3397">
        <v>0</v>
      </c>
      <c r="F3397">
        <v>2</v>
      </c>
      <c r="I3397">
        <v>5</v>
      </c>
      <c r="M3397" t="s">
        <v>3515</v>
      </c>
    </row>
    <row r="3398" spans="1:13" ht="15" customHeight="1">
      <c r="A3398" s="10">
        <v>46204</v>
      </c>
      <c r="B3398" t="s">
        <v>1</v>
      </c>
      <c r="C3398" t="s">
        <v>285</v>
      </c>
      <c r="D3398">
        <v>2</v>
      </c>
      <c r="E3398">
        <v>0</v>
      </c>
      <c r="I3398">
        <v>2</v>
      </c>
      <c r="M3398" t="s">
        <v>3516</v>
      </c>
    </row>
    <row r="3399" spans="1:13" ht="15" customHeight="1">
      <c r="A3399" s="10">
        <v>46204</v>
      </c>
      <c r="B3399" t="s">
        <v>1</v>
      </c>
      <c r="C3399" t="s">
        <v>287</v>
      </c>
      <c r="D3399">
        <v>2</v>
      </c>
      <c r="E3399">
        <v>0</v>
      </c>
      <c r="I3399">
        <v>2</v>
      </c>
      <c r="M3399" t="s">
        <v>3517</v>
      </c>
    </row>
    <row r="3400" spans="1:13" ht="15" customHeight="1">
      <c r="A3400" s="10">
        <v>46204</v>
      </c>
      <c r="B3400" t="s">
        <v>1</v>
      </c>
      <c r="C3400" t="s">
        <v>289</v>
      </c>
      <c r="D3400">
        <v>1</v>
      </c>
      <c r="E3400">
        <v>0</v>
      </c>
      <c r="F3400">
        <v>1</v>
      </c>
      <c r="I3400">
        <v>2</v>
      </c>
      <c r="M3400" t="s">
        <v>3518</v>
      </c>
    </row>
    <row r="3401" spans="1:13" ht="15" customHeight="1">
      <c r="A3401" s="10">
        <v>46204</v>
      </c>
      <c r="B3401" t="s">
        <v>1</v>
      </c>
      <c r="C3401" t="s">
        <v>291</v>
      </c>
      <c r="D3401">
        <v>2</v>
      </c>
      <c r="E3401">
        <v>0</v>
      </c>
      <c r="I3401">
        <v>2</v>
      </c>
      <c r="M3401" t="s">
        <v>3519</v>
      </c>
    </row>
    <row r="3402" spans="1:13" ht="15" customHeight="1">
      <c r="A3402" s="10">
        <v>46204</v>
      </c>
      <c r="B3402" t="s">
        <v>1</v>
      </c>
      <c r="C3402" t="s">
        <v>293</v>
      </c>
      <c r="D3402">
        <v>3</v>
      </c>
      <c r="E3402">
        <v>0</v>
      </c>
      <c r="I3402">
        <v>3</v>
      </c>
      <c r="M3402" t="s">
        <v>3520</v>
      </c>
    </row>
    <row r="3403" spans="1:13" ht="15" customHeight="1">
      <c r="A3403" s="10">
        <v>46204</v>
      </c>
      <c r="B3403" t="s">
        <v>1</v>
      </c>
      <c r="C3403" s="135" t="s">
        <v>138</v>
      </c>
      <c r="D3403">
        <v>0</v>
      </c>
      <c r="E3403">
        <v>40</v>
      </c>
      <c r="I3403">
        <v>0</v>
      </c>
      <c r="J3403">
        <v>40</v>
      </c>
      <c r="M3403" t="s">
        <v>3521</v>
      </c>
    </row>
    <row r="3404" spans="1:13" ht="15" customHeight="1">
      <c r="A3404" s="10">
        <v>46204</v>
      </c>
      <c r="B3404" t="s">
        <v>1</v>
      </c>
      <c r="C3404" s="135" t="s">
        <v>139</v>
      </c>
      <c r="D3404">
        <v>0</v>
      </c>
      <c r="E3404">
        <v>25</v>
      </c>
      <c r="I3404">
        <v>0</v>
      </c>
      <c r="J3404">
        <v>25</v>
      </c>
      <c r="M3404" t="s">
        <v>3522</v>
      </c>
    </row>
    <row r="3405" spans="1:13" ht="15" customHeight="1">
      <c r="A3405" s="10">
        <v>46204</v>
      </c>
      <c r="B3405" t="s">
        <v>1</v>
      </c>
      <c r="C3405" s="135" t="s">
        <v>140</v>
      </c>
      <c r="D3405">
        <v>0</v>
      </c>
      <c r="E3405">
        <v>36</v>
      </c>
      <c r="I3405">
        <v>0</v>
      </c>
      <c r="J3405">
        <v>36</v>
      </c>
      <c r="M3405" t="s">
        <v>3523</v>
      </c>
    </row>
    <row r="3406" spans="1:13" ht="15" customHeight="1">
      <c r="A3406" s="10">
        <v>46204</v>
      </c>
      <c r="B3406" t="s">
        <v>1</v>
      </c>
      <c r="C3406" s="135" t="s">
        <v>141</v>
      </c>
      <c r="D3406">
        <v>0</v>
      </c>
      <c r="E3406">
        <v>1</v>
      </c>
      <c r="I3406">
        <v>0</v>
      </c>
      <c r="J3406">
        <v>1</v>
      </c>
      <c r="M3406" t="s">
        <v>3524</v>
      </c>
    </row>
    <row r="3407" spans="1:13" ht="15" customHeight="1">
      <c r="A3407" s="10">
        <v>46204</v>
      </c>
      <c r="B3407" t="s">
        <v>1</v>
      </c>
      <c r="C3407" s="135" t="s">
        <v>143</v>
      </c>
      <c r="D3407">
        <v>0</v>
      </c>
      <c r="E3407">
        <v>50</v>
      </c>
      <c r="I3407">
        <v>0</v>
      </c>
      <c r="J3407">
        <v>50</v>
      </c>
      <c r="M3407" t="s">
        <v>3525</v>
      </c>
    </row>
    <row r="3408" spans="1:13" ht="15" customHeight="1">
      <c r="A3408" s="10">
        <v>46204</v>
      </c>
      <c r="B3408" t="s">
        <v>1</v>
      </c>
      <c r="C3408" s="135" t="s">
        <v>145</v>
      </c>
      <c r="D3408">
        <v>0</v>
      </c>
      <c r="E3408">
        <v>39</v>
      </c>
      <c r="I3408">
        <v>0</v>
      </c>
      <c r="J3408">
        <v>39</v>
      </c>
      <c r="M3408" t="s">
        <v>3526</v>
      </c>
    </row>
    <row r="3409" spans="1:13" ht="15" customHeight="1">
      <c r="A3409" s="10">
        <v>46204</v>
      </c>
      <c r="B3409" t="s">
        <v>1</v>
      </c>
      <c r="C3409" s="135" t="s">
        <v>147</v>
      </c>
      <c r="D3409">
        <v>0</v>
      </c>
      <c r="E3409">
        <v>27</v>
      </c>
      <c r="I3409">
        <v>0</v>
      </c>
      <c r="J3409">
        <v>27</v>
      </c>
      <c r="M3409" t="s">
        <v>3527</v>
      </c>
    </row>
    <row r="3410" spans="1:13" ht="15" customHeight="1">
      <c r="A3410" s="10">
        <v>46204</v>
      </c>
      <c r="B3410" t="s">
        <v>1</v>
      </c>
      <c r="C3410" t="s">
        <v>302</v>
      </c>
      <c r="D3410">
        <v>2</v>
      </c>
      <c r="E3410">
        <v>0</v>
      </c>
      <c r="I3410">
        <v>2</v>
      </c>
      <c r="M3410" t="s">
        <v>3528</v>
      </c>
    </row>
    <row r="3411" spans="1:13" ht="15" customHeight="1">
      <c r="A3411" s="10">
        <v>46204</v>
      </c>
      <c r="B3411" t="s">
        <v>1</v>
      </c>
      <c r="C3411" t="s">
        <v>150</v>
      </c>
      <c r="D3411">
        <v>2</v>
      </c>
      <c r="E3411">
        <v>0</v>
      </c>
      <c r="I3411">
        <v>2</v>
      </c>
      <c r="M3411" t="s">
        <v>3529</v>
      </c>
    </row>
    <row r="3412" spans="1:13" ht="15" customHeight="1">
      <c r="A3412" s="10">
        <v>46204</v>
      </c>
      <c r="B3412" t="s">
        <v>1</v>
      </c>
      <c r="C3412" t="s">
        <v>151</v>
      </c>
      <c r="D3412">
        <v>2</v>
      </c>
      <c r="E3412">
        <v>0</v>
      </c>
      <c r="I3412">
        <v>2</v>
      </c>
      <c r="M3412" t="s">
        <v>3530</v>
      </c>
    </row>
    <row r="3413" spans="1:13" ht="15" customHeight="1">
      <c r="A3413" s="10">
        <v>46204</v>
      </c>
      <c r="B3413" t="s">
        <v>1</v>
      </c>
      <c r="C3413" t="s">
        <v>152</v>
      </c>
      <c r="D3413">
        <v>2</v>
      </c>
      <c r="E3413">
        <v>0</v>
      </c>
      <c r="I3413">
        <v>2</v>
      </c>
      <c r="M3413" t="s">
        <v>3531</v>
      </c>
    </row>
    <row r="3414" spans="1:13" ht="15" customHeight="1">
      <c r="A3414" s="10">
        <v>46204</v>
      </c>
      <c r="B3414" t="s">
        <v>1</v>
      </c>
      <c r="C3414" t="s">
        <v>153</v>
      </c>
      <c r="D3414">
        <v>2</v>
      </c>
      <c r="E3414">
        <v>0</v>
      </c>
      <c r="I3414">
        <v>2</v>
      </c>
      <c r="M3414" t="s">
        <v>3532</v>
      </c>
    </row>
    <row r="3415" spans="1:13" ht="15" customHeight="1">
      <c r="A3415" s="10">
        <v>46204</v>
      </c>
      <c r="B3415" t="s">
        <v>1</v>
      </c>
      <c r="C3415" t="s">
        <v>308</v>
      </c>
      <c r="D3415">
        <v>0</v>
      </c>
      <c r="E3415">
        <v>2</v>
      </c>
      <c r="G3415">
        <v>2</v>
      </c>
      <c r="I3415">
        <v>0</v>
      </c>
      <c r="J3415">
        <v>4</v>
      </c>
      <c r="M3415" t="s">
        <v>3533</v>
      </c>
    </row>
    <row r="3416" spans="1:13" ht="15" customHeight="1">
      <c r="A3416" s="10">
        <v>46204</v>
      </c>
      <c r="B3416" t="s">
        <v>1</v>
      </c>
      <c r="C3416" t="s">
        <v>310</v>
      </c>
      <c r="D3416">
        <v>0</v>
      </c>
      <c r="E3416">
        <v>2</v>
      </c>
      <c r="I3416">
        <v>0</v>
      </c>
      <c r="J3416">
        <v>2</v>
      </c>
      <c r="M3416" t="s">
        <v>3534</v>
      </c>
    </row>
    <row r="3417" spans="1:13" ht="15" customHeight="1">
      <c r="A3417" s="10">
        <v>46204</v>
      </c>
      <c r="B3417" t="s">
        <v>1</v>
      </c>
      <c r="C3417" t="s">
        <v>312</v>
      </c>
      <c r="D3417">
        <v>0</v>
      </c>
      <c r="E3417">
        <v>2</v>
      </c>
      <c r="I3417">
        <v>0</v>
      </c>
      <c r="J3417">
        <v>2</v>
      </c>
      <c r="M3417" t="s">
        <v>3535</v>
      </c>
    </row>
    <row r="3418" spans="1:13" ht="15" customHeight="1">
      <c r="A3418" s="10">
        <v>46204</v>
      </c>
      <c r="B3418" t="s">
        <v>1</v>
      </c>
      <c r="C3418" t="s">
        <v>314</v>
      </c>
      <c r="D3418">
        <v>1</v>
      </c>
      <c r="E3418">
        <v>0</v>
      </c>
      <c r="I3418">
        <v>1</v>
      </c>
      <c r="M3418" t="s">
        <v>3536</v>
      </c>
    </row>
    <row r="3419" spans="1:13" ht="15" customHeight="1">
      <c r="A3419" s="10">
        <v>46204</v>
      </c>
      <c r="B3419" t="s">
        <v>1</v>
      </c>
      <c r="C3419" t="s">
        <v>316</v>
      </c>
      <c r="D3419">
        <v>1</v>
      </c>
      <c r="E3419">
        <v>0</v>
      </c>
      <c r="I3419">
        <v>1</v>
      </c>
      <c r="M3419" t="s">
        <v>3537</v>
      </c>
    </row>
    <row r="3420" spans="1:13" ht="15" customHeight="1">
      <c r="A3420" s="10">
        <v>46204</v>
      </c>
      <c r="B3420" t="s">
        <v>1</v>
      </c>
      <c r="C3420" t="s">
        <v>318</v>
      </c>
      <c r="D3420">
        <v>2</v>
      </c>
      <c r="E3420">
        <v>0</v>
      </c>
      <c r="F3420">
        <v>2</v>
      </c>
      <c r="I3420">
        <v>4</v>
      </c>
      <c r="M3420" t="s">
        <v>3538</v>
      </c>
    </row>
    <row r="3421" spans="1:13" ht="15" customHeight="1">
      <c r="A3421" s="10">
        <v>46204</v>
      </c>
      <c r="B3421" t="s">
        <v>1</v>
      </c>
      <c r="C3421" t="s">
        <v>320</v>
      </c>
      <c r="D3421">
        <v>1</v>
      </c>
      <c r="E3421">
        <v>0</v>
      </c>
      <c r="I3421">
        <v>1</v>
      </c>
      <c r="M3421" t="s">
        <v>3539</v>
      </c>
    </row>
    <row r="3422" spans="1:13" ht="15" customHeight="1">
      <c r="A3422" s="10">
        <v>46204</v>
      </c>
      <c r="B3422" t="s">
        <v>1</v>
      </c>
      <c r="C3422" t="s">
        <v>322</v>
      </c>
      <c r="D3422">
        <v>0</v>
      </c>
      <c r="E3422">
        <v>0</v>
      </c>
      <c r="I3422">
        <v>0</v>
      </c>
      <c r="M3422" t="s">
        <v>3540</v>
      </c>
    </row>
    <row r="3423" spans="1:13" ht="15" customHeight="1">
      <c r="A3423" s="10">
        <v>46204</v>
      </c>
      <c r="B3423" t="s">
        <v>1</v>
      </c>
      <c r="C3423" s="135" t="s">
        <v>168</v>
      </c>
      <c r="D3423">
        <v>1</v>
      </c>
      <c r="E3423">
        <v>0</v>
      </c>
      <c r="I3423">
        <v>1</v>
      </c>
      <c r="M3423" t="s">
        <v>3541</v>
      </c>
    </row>
    <row r="3424" spans="1:13" ht="15" customHeight="1">
      <c r="A3424" s="10">
        <v>46204</v>
      </c>
      <c r="B3424" t="s">
        <v>1</v>
      </c>
      <c r="C3424" s="135" t="s">
        <v>170</v>
      </c>
      <c r="D3424">
        <v>1</v>
      </c>
      <c r="E3424">
        <v>0</v>
      </c>
      <c r="I3424">
        <v>1</v>
      </c>
      <c r="M3424" t="s">
        <v>3542</v>
      </c>
    </row>
    <row r="3425" spans="1:13" ht="15" customHeight="1">
      <c r="A3425" s="10">
        <v>46204</v>
      </c>
      <c r="B3425" t="s">
        <v>1</v>
      </c>
      <c r="C3425" s="135" t="s">
        <v>171</v>
      </c>
      <c r="D3425">
        <v>2</v>
      </c>
      <c r="E3425">
        <v>0</v>
      </c>
      <c r="I3425">
        <v>2</v>
      </c>
      <c r="M3425" t="s">
        <v>3543</v>
      </c>
    </row>
    <row r="3426" spans="1:13" ht="15" customHeight="1">
      <c r="A3426" s="10">
        <v>46204</v>
      </c>
      <c r="B3426" t="s">
        <v>1</v>
      </c>
      <c r="C3426" s="135" t="s">
        <v>172</v>
      </c>
      <c r="D3426">
        <v>1</v>
      </c>
      <c r="E3426">
        <v>0</v>
      </c>
      <c r="I3426">
        <v>1</v>
      </c>
      <c r="M3426" t="s">
        <v>3544</v>
      </c>
    </row>
    <row r="3427" spans="1:13" ht="15" customHeight="1">
      <c r="A3427" s="10">
        <v>46204</v>
      </c>
      <c r="B3427" t="s">
        <v>1</v>
      </c>
      <c r="C3427" s="135" t="s">
        <v>173</v>
      </c>
      <c r="D3427">
        <v>0</v>
      </c>
      <c r="E3427">
        <v>0</v>
      </c>
      <c r="I3427">
        <v>0</v>
      </c>
      <c r="M3427" t="s">
        <v>3545</v>
      </c>
    </row>
    <row r="3428" spans="1:13" ht="15" customHeight="1">
      <c r="A3428" s="10">
        <v>46204</v>
      </c>
      <c r="B3428" t="s">
        <v>1</v>
      </c>
      <c r="C3428" t="s">
        <v>176</v>
      </c>
      <c r="D3428">
        <v>0</v>
      </c>
      <c r="E3428">
        <v>13</v>
      </c>
      <c r="I3428">
        <v>0</v>
      </c>
      <c r="J3428">
        <v>13</v>
      </c>
      <c r="M3428" t="s">
        <v>3546</v>
      </c>
    </row>
    <row r="3429" spans="1:13" ht="15" customHeight="1">
      <c r="A3429" s="10">
        <v>46204</v>
      </c>
      <c r="B3429" t="s">
        <v>1</v>
      </c>
      <c r="C3429" t="s">
        <v>178</v>
      </c>
      <c r="D3429">
        <v>0</v>
      </c>
      <c r="E3429">
        <v>9</v>
      </c>
      <c r="H3429">
        <v>1</v>
      </c>
      <c r="I3429">
        <v>0</v>
      </c>
      <c r="J3429">
        <v>8</v>
      </c>
      <c r="M3429" t="s">
        <v>3547</v>
      </c>
    </row>
    <row r="3430" spans="1:13" ht="15" customHeight="1">
      <c r="A3430" s="10">
        <v>46204</v>
      </c>
      <c r="B3430" t="s">
        <v>1</v>
      </c>
      <c r="C3430" t="s">
        <v>179</v>
      </c>
      <c r="D3430">
        <v>0</v>
      </c>
      <c r="E3430">
        <v>8</v>
      </c>
      <c r="I3430">
        <v>0</v>
      </c>
      <c r="J3430">
        <v>8</v>
      </c>
      <c r="M3430" t="s">
        <v>3548</v>
      </c>
    </row>
    <row r="3431" spans="1:13" ht="15" customHeight="1">
      <c r="A3431" s="10">
        <v>46204</v>
      </c>
      <c r="B3431" t="s">
        <v>1</v>
      </c>
      <c r="C3431" t="s">
        <v>180</v>
      </c>
      <c r="D3431">
        <v>0</v>
      </c>
      <c r="E3431">
        <v>21</v>
      </c>
      <c r="I3431">
        <v>0</v>
      </c>
      <c r="J3431">
        <v>21</v>
      </c>
      <c r="M3431" t="s">
        <v>3549</v>
      </c>
    </row>
    <row r="3432" spans="1:13" ht="15" customHeight="1">
      <c r="A3432" s="10">
        <v>46204</v>
      </c>
      <c r="B3432" t="s">
        <v>1</v>
      </c>
      <c r="C3432" s="135" t="s">
        <v>182</v>
      </c>
      <c r="D3432">
        <v>1</v>
      </c>
      <c r="E3432">
        <v>210</v>
      </c>
      <c r="I3432">
        <v>1</v>
      </c>
      <c r="J3432">
        <v>210</v>
      </c>
      <c r="M3432" t="s">
        <v>3550</v>
      </c>
    </row>
    <row r="3433" spans="1:13" ht="15" customHeight="1">
      <c r="A3433" s="10">
        <v>46204</v>
      </c>
      <c r="B3433" t="s">
        <v>1</v>
      </c>
      <c r="C3433" s="135" t="s">
        <v>184</v>
      </c>
      <c r="D3433">
        <v>0</v>
      </c>
      <c r="E3433">
        <v>65</v>
      </c>
      <c r="F3433">
        <v>1</v>
      </c>
      <c r="I3433">
        <v>1</v>
      </c>
      <c r="J3433">
        <v>65</v>
      </c>
      <c r="M3433" t="s">
        <v>3551</v>
      </c>
    </row>
    <row r="3434" spans="1:13" ht="15" customHeight="1">
      <c r="A3434" s="10">
        <v>46204</v>
      </c>
      <c r="B3434" t="s">
        <v>1</v>
      </c>
      <c r="C3434" s="135" t="s">
        <v>185</v>
      </c>
      <c r="D3434">
        <v>1</v>
      </c>
      <c r="E3434">
        <v>20</v>
      </c>
      <c r="I3434">
        <v>1</v>
      </c>
      <c r="J3434">
        <v>20</v>
      </c>
      <c r="M3434" t="s">
        <v>3552</v>
      </c>
    </row>
    <row r="3435" spans="1:13" ht="15" customHeight="1">
      <c r="A3435" s="10">
        <v>46204</v>
      </c>
      <c r="B3435" t="s">
        <v>1</v>
      </c>
      <c r="C3435" s="135" t="s">
        <v>186</v>
      </c>
      <c r="D3435">
        <v>0</v>
      </c>
      <c r="E3435">
        <v>795</v>
      </c>
      <c r="I3435">
        <v>0</v>
      </c>
      <c r="J3435">
        <v>795</v>
      </c>
      <c r="M3435" t="s">
        <v>3553</v>
      </c>
    </row>
    <row r="3436" spans="1:13" ht="15" customHeight="1">
      <c r="A3436" s="10">
        <v>46204</v>
      </c>
      <c r="B3436" t="s">
        <v>1</v>
      </c>
      <c r="C3436" t="s">
        <v>337</v>
      </c>
      <c r="D3436">
        <v>1</v>
      </c>
      <c r="E3436">
        <v>286</v>
      </c>
      <c r="I3436">
        <v>1</v>
      </c>
      <c r="J3436">
        <v>366</v>
      </c>
      <c r="M3436" t="s">
        <v>3554</v>
      </c>
    </row>
    <row r="3437" spans="1:13" ht="15" customHeight="1">
      <c r="A3437" s="10">
        <v>46204</v>
      </c>
      <c r="B3437" t="s">
        <v>1</v>
      </c>
      <c r="C3437" t="s">
        <v>339</v>
      </c>
      <c r="D3437">
        <v>0</v>
      </c>
      <c r="E3437">
        <v>0</v>
      </c>
      <c r="I3437">
        <v>0</v>
      </c>
      <c r="J3437">
        <v>0</v>
      </c>
      <c r="M3437" t="s">
        <v>3555</v>
      </c>
    </row>
    <row r="3438" spans="1:13" ht="15" customHeight="1">
      <c r="A3438" s="10">
        <v>46204</v>
      </c>
      <c r="B3438" t="s">
        <v>1</v>
      </c>
      <c r="C3438" s="135" t="s">
        <v>191</v>
      </c>
      <c r="D3438">
        <v>1</v>
      </c>
      <c r="E3438">
        <v>175</v>
      </c>
      <c r="I3438">
        <v>1</v>
      </c>
      <c r="J3438">
        <v>175</v>
      </c>
      <c r="M3438" t="s">
        <v>3556</v>
      </c>
    </row>
    <row r="3439" spans="1:13" ht="15" customHeight="1">
      <c r="A3439" s="10">
        <v>46204</v>
      </c>
      <c r="B3439" t="s">
        <v>1</v>
      </c>
      <c r="C3439" s="135" t="s">
        <v>193</v>
      </c>
      <c r="D3439">
        <v>1</v>
      </c>
      <c r="E3439">
        <v>144</v>
      </c>
      <c r="I3439">
        <v>1</v>
      </c>
      <c r="J3439">
        <v>124</v>
      </c>
      <c r="M3439" t="s">
        <v>3557</v>
      </c>
    </row>
    <row r="3440" spans="1:13" ht="15" customHeight="1">
      <c r="A3440" s="10">
        <v>46204</v>
      </c>
      <c r="B3440" t="s">
        <v>1</v>
      </c>
      <c r="C3440" s="135" t="s">
        <v>194</v>
      </c>
      <c r="D3440">
        <v>0</v>
      </c>
      <c r="E3440">
        <v>42</v>
      </c>
      <c r="F3440">
        <v>1</v>
      </c>
      <c r="I3440">
        <v>1</v>
      </c>
      <c r="J3440">
        <v>42</v>
      </c>
      <c r="M3440" t="s">
        <v>3558</v>
      </c>
    </row>
    <row r="3441" spans="1:13" ht="15" customHeight="1">
      <c r="A3441" s="10">
        <v>46204</v>
      </c>
      <c r="B3441" t="s">
        <v>1</v>
      </c>
      <c r="C3441" s="135" t="s">
        <v>196</v>
      </c>
      <c r="D3441">
        <v>0</v>
      </c>
      <c r="E3441">
        <v>175</v>
      </c>
      <c r="F3441">
        <v>1</v>
      </c>
      <c r="I3441">
        <v>1</v>
      </c>
      <c r="J3441">
        <v>175</v>
      </c>
      <c r="M3441" t="s">
        <v>3559</v>
      </c>
    </row>
    <row r="3442" spans="1:13" ht="15" customHeight="1">
      <c r="A3442" s="10">
        <v>46205</v>
      </c>
      <c r="B3442" t="s">
        <v>1</v>
      </c>
      <c r="C3442" t="s">
        <v>23</v>
      </c>
      <c r="D3442">
        <v>5</v>
      </c>
      <c r="E3442">
        <v>165</v>
      </c>
      <c r="F3442">
        <v>2</v>
      </c>
      <c r="I3442">
        <v>5</v>
      </c>
      <c r="J3442">
        <v>1100</v>
      </c>
      <c r="M3442" t="s">
        <v>3560</v>
      </c>
    </row>
    <row r="3443" spans="1:13" ht="15" customHeight="1">
      <c r="A3443" s="10">
        <v>46205</v>
      </c>
      <c r="B3443" t="s">
        <v>1</v>
      </c>
      <c r="C3443" t="s">
        <v>26</v>
      </c>
      <c r="D3443">
        <v>2</v>
      </c>
      <c r="E3443">
        <v>485</v>
      </c>
      <c r="I3443">
        <v>2</v>
      </c>
      <c r="J3443">
        <v>335</v>
      </c>
      <c r="M3443" t="s">
        <v>3561</v>
      </c>
    </row>
    <row r="3444" spans="1:13" ht="15" customHeight="1">
      <c r="A3444" s="10">
        <v>46205</v>
      </c>
      <c r="B3444" t="s">
        <v>1</v>
      </c>
      <c r="C3444" t="s">
        <v>27</v>
      </c>
      <c r="D3444">
        <v>2</v>
      </c>
      <c r="E3444">
        <v>500</v>
      </c>
      <c r="I3444">
        <v>2</v>
      </c>
      <c r="J3444">
        <v>495</v>
      </c>
      <c r="M3444" t="s">
        <v>3562</v>
      </c>
    </row>
    <row r="3445" spans="1:13" ht="15" customHeight="1">
      <c r="A3445" s="10">
        <v>46205</v>
      </c>
      <c r="B3445" t="s">
        <v>1</v>
      </c>
      <c r="C3445" t="s">
        <v>28</v>
      </c>
      <c r="D3445">
        <v>0</v>
      </c>
      <c r="E3445">
        <v>0</v>
      </c>
      <c r="I3445">
        <v>0</v>
      </c>
      <c r="J3445">
        <v>0</v>
      </c>
      <c r="M3445" t="s">
        <v>3563</v>
      </c>
    </row>
    <row r="3446" spans="1:13" ht="15" customHeight="1">
      <c r="A3446" s="10">
        <v>46205</v>
      </c>
      <c r="B3446" t="s">
        <v>1</v>
      </c>
      <c r="C3446" t="s">
        <v>29</v>
      </c>
      <c r="D3446">
        <v>0</v>
      </c>
      <c r="E3446">
        <v>995</v>
      </c>
      <c r="I3446">
        <v>0</v>
      </c>
      <c r="J3446">
        <v>905</v>
      </c>
      <c r="M3446" t="s">
        <v>3564</v>
      </c>
    </row>
    <row r="3447" spans="1:13" ht="15" customHeight="1">
      <c r="A3447" s="10">
        <v>46205</v>
      </c>
      <c r="B3447" t="s">
        <v>1</v>
      </c>
      <c r="C3447" t="s">
        <v>30</v>
      </c>
      <c r="D3447">
        <v>1</v>
      </c>
      <c r="E3447">
        <v>995</v>
      </c>
      <c r="I3447">
        <v>1</v>
      </c>
      <c r="J3447">
        <v>915</v>
      </c>
      <c r="M3447" t="s">
        <v>3565</v>
      </c>
    </row>
    <row r="3448" spans="1:13" ht="15" customHeight="1">
      <c r="A3448" s="10">
        <v>46205</v>
      </c>
      <c r="B3448" t="s">
        <v>1</v>
      </c>
      <c r="C3448" t="s">
        <v>31</v>
      </c>
      <c r="D3448">
        <v>2</v>
      </c>
      <c r="E3448">
        <v>120</v>
      </c>
      <c r="I3448">
        <v>2</v>
      </c>
      <c r="J3448">
        <v>20</v>
      </c>
      <c r="M3448" t="s">
        <v>3566</v>
      </c>
    </row>
    <row r="3449" spans="1:13" ht="15" customHeight="1">
      <c r="A3449" s="10">
        <v>46205</v>
      </c>
      <c r="B3449" t="s">
        <v>1</v>
      </c>
      <c r="C3449" t="s">
        <v>32</v>
      </c>
      <c r="D3449">
        <v>0</v>
      </c>
      <c r="E3449">
        <v>323</v>
      </c>
      <c r="I3449">
        <v>0</v>
      </c>
      <c r="J3449">
        <v>320</v>
      </c>
      <c r="M3449" t="s">
        <v>3567</v>
      </c>
    </row>
    <row r="3450" spans="1:13" ht="15" customHeight="1">
      <c r="A3450" s="10">
        <v>46205</v>
      </c>
      <c r="B3450" t="s">
        <v>1</v>
      </c>
      <c r="C3450" t="s">
        <v>223</v>
      </c>
      <c r="D3450">
        <v>4</v>
      </c>
      <c r="E3450">
        <v>617</v>
      </c>
      <c r="I3450">
        <v>4</v>
      </c>
      <c r="J3450">
        <v>567</v>
      </c>
      <c r="M3450" t="s">
        <v>3568</v>
      </c>
    </row>
    <row r="3451" spans="1:13" ht="15" customHeight="1">
      <c r="A3451" s="10">
        <v>46205</v>
      </c>
      <c r="B3451" t="s">
        <v>1</v>
      </c>
      <c r="C3451" t="s">
        <v>35</v>
      </c>
      <c r="D3451">
        <v>6</v>
      </c>
      <c r="E3451">
        <v>0</v>
      </c>
      <c r="H3451">
        <v>1</v>
      </c>
      <c r="I3451">
        <v>0</v>
      </c>
      <c r="K3451">
        <v>5</v>
      </c>
      <c r="M3451" t="s">
        <v>3569</v>
      </c>
    </row>
    <row r="3452" spans="1:13" ht="15" customHeight="1">
      <c r="A3452" s="10">
        <v>46205</v>
      </c>
      <c r="B3452" t="s">
        <v>1</v>
      </c>
      <c r="C3452" t="s">
        <v>37</v>
      </c>
      <c r="D3452">
        <v>3</v>
      </c>
      <c r="E3452">
        <v>0</v>
      </c>
      <c r="I3452">
        <v>0</v>
      </c>
      <c r="K3452">
        <v>3</v>
      </c>
      <c r="M3452" t="s">
        <v>3570</v>
      </c>
    </row>
    <row r="3453" spans="1:13" ht="15" customHeight="1">
      <c r="A3453" s="10">
        <v>46205</v>
      </c>
      <c r="B3453" t="s">
        <v>1</v>
      </c>
      <c r="C3453" t="s">
        <v>39</v>
      </c>
      <c r="D3453">
        <v>17</v>
      </c>
      <c r="E3453">
        <v>0</v>
      </c>
      <c r="I3453">
        <v>17</v>
      </c>
      <c r="J3453">
        <v>0</v>
      </c>
      <c r="M3453" t="s">
        <v>3571</v>
      </c>
    </row>
    <row r="3454" spans="1:13" ht="15" customHeight="1">
      <c r="A3454" s="10">
        <v>46205</v>
      </c>
      <c r="B3454" t="s">
        <v>1</v>
      </c>
      <c r="C3454" t="s">
        <v>41</v>
      </c>
      <c r="D3454">
        <v>12</v>
      </c>
      <c r="E3454">
        <v>0</v>
      </c>
      <c r="H3454">
        <v>2</v>
      </c>
      <c r="I3454">
        <v>10</v>
      </c>
      <c r="J3454">
        <v>0</v>
      </c>
      <c r="M3454" t="s">
        <v>3572</v>
      </c>
    </row>
    <row r="3455" spans="1:13" ht="15" customHeight="1">
      <c r="A3455" s="10">
        <v>46205</v>
      </c>
      <c r="B3455" t="s">
        <v>1</v>
      </c>
      <c r="C3455" t="s">
        <v>232</v>
      </c>
      <c r="D3455">
        <v>0</v>
      </c>
      <c r="E3455">
        <v>0</v>
      </c>
      <c r="H3455">
        <v>0</v>
      </c>
      <c r="I3455">
        <v>0</v>
      </c>
      <c r="J3455">
        <v>0</v>
      </c>
      <c r="M3455" t="s">
        <v>3573</v>
      </c>
    </row>
    <row r="3456" spans="1:13" ht="15" customHeight="1">
      <c r="A3456" s="10">
        <v>46205</v>
      </c>
      <c r="B3456" t="s">
        <v>1</v>
      </c>
      <c r="C3456" t="s">
        <v>234</v>
      </c>
      <c r="D3456">
        <v>50</v>
      </c>
      <c r="E3456">
        <v>0</v>
      </c>
      <c r="H3456">
        <v>1</v>
      </c>
      <c r="I3456">
        <v>49</v>
      </c>
      <c r="J3456">
        <v>0</v>
      </c>
      <c r="M3456" t="s">
        <v>3574</v>
      </c>
    </row>
    <row r="3457" spans="1:13" ht="15" customHeight="1">
      <c r="A3457" s="10">
        <v>46205</v>
      </c>
      <c r="B3457" t="s">
        <v>1</v>
      </c>
      <c r="C3457" t="s">
        <v>54</v>
      </c>
      <c r="D3457">
        <v>0</v>
      </c>
      <c r="E3457">
        <v>0</v>
      </c>
      <c r="I3457">
        <v>0</v>
      </c>
      <c r="J3457">
        <v>0</v>
      </c>
      <c r="M3457" t="s">
        <v>3575</v>
      </c>
    </row>
    <row r="3458" spans="1:13" ht="15" customHeight="1">
      <c r="A3458" s="10">
        <v>46205</v>
      </c>
      <c r="B3458" t="s">
        <v>1</v>
      </c>
      <c r="C3458" t="s">
        <v>237</v>
      </c>
      <c r="D3458">
        <v>7</v>
      </c>
      <c r="E3458">
        <v>0</v>
      </c>
      <c r="I3458">
        <v>7</v>
      </c>
      <c r="J3458">
        <v>0</v>
      </c>
      <c r="M3458" t="s">
        <v>3576</v>
      </c>
    </row>
    <row r="3459" spans="1:13" ht="15" customHeight="1">
      <c r="A3459" s="10">
        <v>46205</v>
      </c>
      <c r="B3459" t="s">
        <v>1</v>
      </c>
      <c r="C3459" s="135" t="s">
        <v>58</v>
      </c>
      <c r="D3459">
        <v>1</v>
      </c>
      <c r="E3459">
        <v>0</v>
      </c>
      <c r="H3459">
        <v>1</v>
      </c>
      <c r="I3459">
        <v>0</v>
      </c>
      <c r="J3459">
        <v>0</v>
      </c>
      <c r="M3459" t="s">
        <v>3577</v>
      </c>
    </row>
    <row r="3460" spans="1:13" ht="15" customHeight="1">
      <c r="A3460" s="10">
        <v>46205</v>
      </c>
      <c r="B3460" t="s">
        <v>1</v>
      </c>
      <c r="C3460" s="135" t="s">
        <v>60</v>
      </c>
      <c r="D3460">
        <v>6</v>
      </c>
      <c r="E3460">
        <v>0</v>
      </c>
      <c r="H3460">
        <v>1</v>
      </c>
      <c r="I3460">
        <v>5</v>
      </c>
      <c r="J3460">
        <v>0</v>
      </c>
      <c r="M3460" t="s">
        <v>3578</v>
      </c>
    </row>
    <row r="3461" spans="1:13" ht="15" customHeight="1">
      <c r="A3461" s="10">
        <v>46205</v>
      </c>
      <c r="B3461" t="s">
        <v>1</v>
      </c>
      <c r="C3461" s="135" t="s">
        <v>61</v>
      </c>
      <c r="D3461">
        <v>5</v>
      </c>
      <c r="E3461">
        <v>0</v>
      </c>
      <c r="I3461">
        <v>5</v>
      </c>
      <c r="J3461">
        <v>0</v>
      </c>
      <c r="M3461" t="s">
        <v>3579</v>
      </c>
    </row>
    <row r="3462" spans="1:13" ht="15" customHeight="1">
      <c r="A3462" s="10">
        <v>46205</v>
      </c>
      <c r="B3462" t="s">
        <v>1</v>
      </c>
      <c r="C3462" s="135" t="s">
        <v>62</v>
      </c>
      <c r="D3462">
        <v>6</v>
      </c>
      <c r="E3462">
        <v>0</v>
      </c>
      <c r="H3462">
        <v>2</v>
      </c>
      <c r="I3462">
        <v>4</v>
      </c>
      <c r="J3462">
        <v>0</v>
      </c>
      <c r="M3462" t="s">
        <v>3580</v>
      </c>
    </row>
    <row r="3463" spans="1:13" ht="15" customHeight="1">
      <c r="A3463" s="10">
        <v>46205</v>
      </c>
      <c r="B3463" t="s">
        <v>1</v>
      </c>
      <c r="C3463" s="135" t="s">
        <v>63</v>
      </c>
      <c r="D3463">
        <v>3</v>
      </c>
      <c r="E3463">
        <v>0</v>
      </c>
      <c r="I3463">
        <v>3</v>
      </c>
      <c r="J3463">
        <v>0</v>
      </c>
      <c r="M3463" t="s">
        <v>3581</v>
      </c>
    </row>
    <row r="3464" spans="1:13" ht="15" customHeight="1">
      <c r="A3464" s="10">
        <v>46205</v>
      </c>
      <c r="B3464" t="s">
        <v>1</v>
      </c>
      <c r="C3464" s="135" t="s">
        <v>64</v>
      </c>
      <c r="D3464">
        <v>0</v>
      </c>
      <c r="E3464">
        <v>0</v>
      </c>
      <c r="I3464">
        <v>0</v>
      </c>
      <c r="J3464">
        <v>0</v>
      </c>
      <c r="M3464" t="s">
        <v>3582</v>
      </c>
    </row>
    <row r="3465" spans="1:13" ht="15" customHeight="1">
      <c r="A3465" s="10">
        <v>46205</v>
      </c>
      <c r="B3465" t="s">
        <v>1</v>
      </c>
      <c r="C3465" t="s">
        <v>66</v>
      </c>
      <c r="D3465">
        <v>4</v>
      </c>
      <c r="E3465">
        <v>0</v>
      </c>
      <c r="I3465">
        <v>4</v>
      </c>
      <c r="J3465">
        <v>0</v>
      </c>
      <c r="M3465" t="s">
        <v>3583</v>
      </c>
    </row>
    <row r="3466" spans="1:13" ht="15" customHeight="1">
      <c r="A3466" s="10">
        <v>46205</v>
      </c>
      <c r="B3466" t="s">
        <v>1</v>
      </c>
      <c r="C3466" t="s">
        <v>67</v>
      </c>
      <c r="D3466">
        <v>7</v>
      </c>
      <c r="E3466">
        <v>0</v>
      </c>
      <c r="I3466">
        <v>7</v>
      </c>
      <c r="J3466">
        <v>0</v>
      </c>
      <c r="M3466" t="s">
        <v>3584</v>
      </c>
    </row>
    <row r="3467" spans="1:13" ht="15" customHeight="1">
      <c r="A3467" s="10">
        <v>46205</v>
      </c>
      <c r="B3467" t="s">
        <v>1</v>
      </c>
      <c r="C3467" t="s">
        <v>68</v>
      </c>
      <c r="D3467">
        <v>0</v>
      </c>
      <c r="E3467">
        <v>0</v>
      </c>
      <c r="I3467">
        <v>0</v>
      </c>
      <c r="J3467">
        <v>0</v>
      </c>
      <c r="M3467" t="s">
        <v>3585</v>
      </c>
    </row>
    <row r="3468" spans="1:13" ht="15" customHeight="1">
      <c r="A3468" s="10">
        <v>46205</v>
      </c>
      <c r="B3468" t="s">
        <v>1</v>
      </c>
      <c r="C3468" t="s">
        <v>71</v>
      </c>
      <c r="D3468">
        <v>1</v>
      </c>
      <c r="E3468">
        <v>744</v>
      </c>
      <c r="I3468">
        <v>1</v>
      </c>
      <c r="J3468">
        <v>724</v>
      </c>
      <c r="M3468" t="s">
        <v>3586</v>
      </c>
    </row>
    <row r="3469" spans="1:13" ht="15" customHeight="1">
      <c r="A3469" s="10">
        <v>46205</v>
      </c>
      <c r="B3469" t="s">
        <v>1</v>
      </c>
      <c r="C3469" t="s">
        <v>73</v>
      </c>
      <c r="D3469">
        <v>2</v>
      </c>
      <c r="E3469">
        <v>220</v>
      </c>
      <c r="I3469">
        <v>0</v>
      </c>
      <c r="J3469">
        <v>220</v>
      </c>
      <c r="M3469" t="s">
        <v>3587</v>
      </c>
    </row>
    <row r="3470" spans="1:13" ht="15" customHeight="1">
      <c r="A3470" s="10">
        <v>46205</v>
      </c>
      <c r="B3470" t="s">
        <v>1</v>
      </c>
      <c r="C3470" t="s">
        <v>75</v>
      </c>
      <c r="D3470">
        <v>1</v>
      </c>
      <c r="E3470">
        <v>194</v>
      </c>
      <c r="I3470">
        <v>0</v>
      </c>
      <c r="J3470">
        <v>184</v>
      </c>
      <c r="M3470" t="s">
        <v>3588</v>
      </c>
    </row>
    <row r="3471" spans="1:13" ht="15" customHeight="1">
      <c r="A3471" s="10">
        <v>46205</v>
      </c>
      <c r="B3471" t="s">
        <v>1</v>
      </c>
      <c r="C3471" t="s">
        <v>77</v>
      </c>
      <c r="D3471">
        <v>0</v>
      </c>
      <c r="E3471">
        <v>770</v>
      </c>
      <c r="I3471">
        <v>0</v>
      </c>
      <c r="J3471">
        <v>770</v>
      </c>
      <c r="M3471" t="s">
        <v>3589</v>
      </c>
    </row>
    <row r="3472" spans="1:13" ht="15" customHeight="1">
      <c r="A3472" s="10">
        <v>46205</v>
      </c>
      <c r="B3472" t="s">
        <v>1</v>
      </c>
      <c r="C3472" t="s">
        <v>79</v>
      </c>
      <c r="D3472">
        <v>1</v>
      </c>
      <c r="E3472">
        <v>1358</v>
      </c>
      <c r="I3472">
        <v>1</v>
      </c>
      <c r="J3472">
        <v>938</v>
      </c>
      <c r="M3472" t="s">
        <v>3590</v>
      </c>
    </row>
    <row r="3473" spans="1:13" ht="15" customHeight="1">
      <c r="A3473" s="10">
        <v>46205</v>
      </c>
      <c r="B3473" t="s">
        <v>1</v>
      </c>
      <c r="C3473" t="s">
        <v>81</v>
      </c>
      <c r="D3473">
        <v>1</v>
      </c>
      <c r="E3473">
        <v>152</v>
      </c>
      <c r="I3473">
        <v>1</v>
      </c>
      <c r="J3473">
        <v>152</v>
      </c>
      <c r="M3473" t="s">
        <v>3591</v>
      </c>
    </row>
    <row r="3474" spans="1:13" ht="15" customHeight="1">
      <c r="A3474" s="10">
        <v>46205</v>
      </c>
      <c r="B3474" t="s">
        <v>1</v>
      </c>
      <c r="C3474" t="s">
        <v>83</v>
      </c>
      <c r="D3474">
        <v>1</v>
      </c>
      <c r="E3474">
        <v>70</v>
      </c>
      <c r="I3474">
        <v>1</v>
      </c>
      <c r="J3474">
        <v>70</v>
      </c>
      <c r="M3474" t="s">
        <v>3592</v>
      </c>
    </row>
    <row r="3475" spans="1:13" ht="15" customHeight="1">
      <c r="A3475" s="10">
        <v>46205</v>
      </c>
      <c r="B3475" t="s">
        <v>1</v>
      </c>
      <c r="C3475" t="s">
        <v>84</v>
      </c>
      <c r="D3475">
        <v>1</v>
      </c>
      <c r="E3475">
        <v>67</v>
      </c>
      <c r="I3475">
        <v>1</v>
      </c>
      <c r="J3475">
        <v>67</v>
      </c>
      <c r="M3475" t="s">
        <v>3593</v>
      </c>
    </row>
    <row r="3476" spans="1:13" ht="15" customHeight="1">
      <c r="A3476" s="10">
        <v>46205</v>
      </c>
      <c r="B3476" t="s">
        <v>1</v>
      </c>
      <c r="C3476" t="s">
        <v>85</v>
      </c>
      <c r="D3476">
        <v>0</v>
      </c>
      <c r="E3476">
        <v>130</v>
      </c>
      <c r="I3476">
        <v>0</v>
      </c>
      <c r="J3476">
        <v>120</v>
      </c>
      <c r="M3476" t="s">
        <v>3594</v>
      </c>
    </row>
    <row r="3477" spans="1:13" ht="15" customHeight="1">
      <c r="A3477" s="10">
        <v>46205</v>
      </c>
      <c r="B3477" t="s">
        <v>1</v>
      </c>
      <c r="C3477" t="s">
        <v>87</v>
      </c>
      <c r="D3477">
        <v>2</v>
      </c>
      <c r="E3477">
        <v>295</v>
      </c>
      <c r="I3477">
        <v>2</v>
      </c>
      <c r="J3477">
        <v>285</v>
      </c>
      <c r="M3477" t="s">
        <v>3595</v>
      </c>
    </row>
    <row r="3478" spans="1:13" ht="15" customHeight="1">
      <c r="A3478" s="10">
        <v>46205</v>
      </c>
      <c r="B3478" t="s">
        <v>1</v>
      </c>
      <c r="C3478" t="s">
        <v>88</v>
      </c>
      <c r="D3478">
        <v>1</v>
      </c>
      <c r="E3478">
        <v>215</v>
      </c>
      <c r="I3478">
        <v>1</v>
      </c>
      <c r="J3478">
        <v>210</v>
      </c>
      <c r="M3478" t="s">
        <v>3596</v>
      </c>
    </row>
    <row r="3479" spans="1:13" ht="15" customHeight="1">
      <c r="A3479" s="10">
        <v>46205</v>
      </c>
      <c r="B3479" t="s">
        <v>1</v>
      </c>
      <c r="C3479" t="s">
        <v>89</v>
      </c>
      <c r="D3479">
        <v>1</v>
      </c>
      <c r="E3479">
        <v>100</v>
      </c>
      <c r="I3479">
        <v>1</v>
      </c>
      <c r="J3479">
        <v>95</v>
      </c>
      <c r="M3479" t="s">
        <v>3597</v>
      </c>
    </row>
    <row r="3480" spans="1:13" ht="15" customHeight="1">
      <c r="A3480" s="10">
        <v>46205</v>
      </c>
      <c r="B3480" t="s">
        <v>1</v>
      </c>
      <c r="C3480" t="s">
        <v>90</v>
      </c>
      <c r="D3480">
        <v>1</v>
      </c>
      <c r="E3480">
        <v>617</v>
      </c>
      <c r="I3480">
        <v>1</v>
      </c>
      <c r="J3480">
        <v>587</v>
      </c>
      <c r="M3480" t="s">
        <v>3598</v>
      </c>
    </row>
    <row r="3481" spans="1:13" ht="15" customHeight="1">
      <c r="A3481" s="10">
        <v>46205</v>
      </c>
      <c r="B3481" t="s">
        <v>1</v>
      </c>
      <c r="C3481" t="s">
        <v>92</v>
      </c>
      <c r="D3481">
        <v>1</v>
      </c>
      <c r="E3481">
        <v>700</v>
      </c>
      <c r="I3481">
        <v>1</v>
      </c>
      <c r="J3481">
        <v>700</v>
      </c>
      <c r="M3481" t="s">
        <v>3599</v>
      </c>
    </row>
    <row r="3482" spans="1:13" ht="15" customHeight="1">
      <c r="A3482" s="10">
        <v>46205</v>
      </c>
      <c r="B3482" t="s">
        <v>1</v>
      </c>
      <c r="C3482" t="s">
        <v>94</v>
      </c>
      <c r="D3482">
        <v>3</v>
      </c>
      <c r="E3482">
        <v>76</v>
      </c>
      <c r="I3482">
        <v>2</v>
      </c>
      <c r="J3482">
        <v>87</v>
      </c>
      <c r="M3482" t="s">
        <v>3600</v>
      </c>
    </row>
    <row r="3483" spans="1:13" ht="15" customHeight="1">
      <c r="A3483" s="10">
        <v>46205</v>
      </c>
      <c r="B3483" t="s">
        <v>1</v>
      </c>
      <c r="C3483" t="s">
        <v>96</v>
      </c>
      <c r="D3483">
        <v>0</v>
      </c>
      <c r="E3483">
        <v>0</v>
      </c>
      <c r="I3483">
        <v>0</v>
      </c>
      <c r="J3483">
        <v>0</v>
      </c>
      <c r="M3483" t="s">
        <v>3601</v>
      </c>
    </row>
    <row r="3484" spans="1:13" ht="15" customHeight="1">
      <c r="A3484" s="10">
        <v>46205</v>
      </c>
      <c r="B3484" t="s">
        <v>1</v>
      </c>
      <c r="C3484" t="s">
        <v>98</v>
      </c>
      <c r="D3484">
        <v>0</v>
      </c>
      <c r="E3484">
        <v>0</v>
      </c>
      <c r="I3484">
        <v>0</v>
      </c>
      <c r="J3484">
        <v>0</v>
      </c>
      <c r="M3484" t="s">
        <v>3602</v>
      </c>
    </row>
    <row r="3485" spans="1:13" ht="15" customHeight="1">
      <c r="A3485" s="10">
        <v>46205</v>
      </c>
      <c r="B3485" t="s">
        <v>1</v>
      </c>
      <c r="C3485" t="s">
        <v>203</v>
      </c>
      <c r="D3485">
        <v>2</v>
      </c>
      <c r="E3485">
        <v>112</v>
      </c>
      <c r="I3485">
        <v>1</v>
      </c>
      <c r="J3485">
        <v>330</v>
      </c>
      <c r="M3485" t="s">
        <v>3603</v>
      </c>
    </row>
    <row r="3486" spans="1:13" ht="15" customHeight="1">
      <c r="A3486" s="10">
        <v>46205</v>
      </c>
      <c r="B3486" t="s">
        <v>1</v>
      </c>
      <c r="C3486" t="s">
        <v>100</v>
      </c>
      <c r="D3486">
        <v>0</v>
      </c>
      <c r="E3486">
        <v>0</v>
      </c>
      <c r="I3486">
        <v>0</v>
      </c>
      <c r="J3486">
        <v>0</v>
      </c>
      <c r="M3486" t="s">
        <v>3604</v>
      </c>
    </row>
    <row r="3487" spans="1:13" ht="15" customHeight="1">
      <c r="A3487" s="10">
        <v>46205</v>
      </c>
      <c r="B3487" t="s">
        <v>1</v>
      </c>
      <c r="C3487" t="s">
        <v>101</v>
      </c>
      <c r="D3487">
        <v>1</v>
      </c>
      <c r="E3487">
        <v>221</v>
      </c>
      <c r="I3487">
        <v>1</v>
      </c>
      <c r="J3487">
        <v>106</v>
      </c>
      <c r="M3487" t="s">
        <v>3605</v>
      </c>
    </row>
    <row r="3488" spans="1:13" ht="15" customHeight="1">
      <c r="A3488" s="10">
        <v>46205</v>
      </c>
      <c r="B3488" t="s">
        <v>1</v>
      </c>
      <c r="C3488" t="s">
        <v>103</v>
      </c>
      <c r="D3488">
        <v>0</v>
      </c>
      <c r="E3488">
        <v>1</v>
      </c>
      <c r="I3488">
        <v>0</v>
      </c>
      <c r="J3488">
        <v>0</v>
      </c>
      <c r="M3488" t="s">
        <v>3606</v>
      </c>
    </row>
    <row r="3489" spans="1:13" ht="15" customHeight="1">
      <c r="A3489" s="10">
        <v>46205</v>
      </c>
      <c r="B3489" t="s">
        <v>1</v>
      </c>
      <c r="C3489" t="s">
        <v>106</v>
      </c>
      <c r="D3489">
        <v>1</v>
      </c>
      <c r="E3489">
        <v>829</v>
      </c>
      <c r="I3489">
        <v>1</v>
      </c>
      <c r="J3489">
        <v>784</v>
      </c>
      <c r="M3489" t="s">
        <v>3607</v>
      </c>
    </row>
    <row r="3490" spans="1:13" ht="15" customHeight="1">
      <c r="A3490" s="10">
        <v>46205</v>
      </c>
      <c r="B3490" t="s">
        <v>1</v>
      </c>
      <c r="C3490" t="s">
        <v>108</v>
      </c>
      <c r="D3490">
        <v>1</v>
      </c>
      <c r="E3490">
        <v>341</v>
      </c>
      <c r="I3490">
        <v>1</v>
      </c>
      <c r="J3490">
        <v>221</v>
      </c>
      <c r="M3490" t="s">
        <v>3608</v>
      </c>
    </row>
    <row r="3491" spans="1:13" ht="15" customHeight="1">
      <c r="A3491" s="10">
        <v>46205</v>
      </c>
      <c r="B3491" t="s">
        <v>1</v>
      </c>
      <c r="C3491" t="s">
        <v>109</v>
      </c>
      <c r="D3491">
        <v>0</v>
      </c>
      <c r="E3491">
        <v>833</v>
      </c>
      <c r="I3491">
        <v>0</v>
      </c>
      <c r="J3491">
        <v>798</v>
      </c>
      <c r="M3491" t="s">
        <v>3609</v>
      </c>
    </row>
    <row r="3492" spans="1:13" ht="15" customHeight="1">
      <c r="A3492" s="10">
        <v>46205</v>
      </c>
      <c r="B3492" t="s">
        <v>1</v>
      </c>
      <c r="C3492" t="s">
        <v>112</v>
      </c>
      <c r="D3492">
        <v>1</v>
      </c>
      <c r="E3492">
        <v>28</v>
      </c>
      <c r="I3492">
        <v>1</v>
      </c>
      <c r="J3492">
        <v>26</v>
      </c>
      <c r="M3492" t="s">
        <v>3610</v>
      </c>
    </row>
    <row r="3493" spans="1:13" ht="15" customHeight="1">
      <c r="A3493" s="10">
        <v>46205</v>
      </c>
      <c r="B3493" t="s">
        <v>1</v>
      </c>
      <c r="C3493" t="s">
        <v>114</v>
      </c>
      <c r="D3493">
        <v>2</v>
      </c>
      <c r="E3493">
        <v>35</v>
      </c>
      <c r="I3493">
        <v>2</v>
      </c>
      <c r="J3493">
        <v>30</v>
      </c>
      <c r="M3493" t="s">
        <v>3611</v>
      </c>
    </row>
    <row r="3494" spans="1:13" ht="15" customHeight="1">
      <c r="A3494" s="10">
        <v>46205</v>
      </c>
      <c r="B3494" t="s">
        <v>1</v>
      </c>
      <c r="C3494" t="s">
        <v>115</v>
      </c>
      <c r="D3494">
        <v>1</v>
      </c>
      <c r="E3494">
        <v>6</v>
      </c>
      <c r="I3494">
        <v>0</v>
      </c>
      <c r="J3494">
        <v>50</v>
      </c>
      <c r="M3494" t="s">
        <v>3612</v>
      </c>
    </row>
    <row r="3495" spans="1:13" ht="15" customHeight="1">
      <c r="A3495" s="10">
        <v>46205</v>
      </c>
      <c r="B3495" t="s">
        <v>1</v>
      </c>
      <c r="C3495" t="s">
        <v>116</v>
      </c>
      <c r="D3495">
        <v>1</v>
      </c>
      <c r="E3495">
        <v>47</v>
      </c>
      <c r="I3495">
        <v>1</v>
      </c>
      <c r="J3495">
        <v>46</v>
      </c>
      <c r="M3495" t="s">
        <v>3613</v>
      </c>
    </row>
    <row r="3496" spans="1:13" ht="15" customHeight="1">
      <c r="A3496" s="10">
        <v>46205</v>
      </c>
      <c r="B3496" t="s">
        <v>1</v>
      </c>
      <c r="C3496" t="s">
        <v>119</v>
      </c>
      <c r="D3496">
        <v>2</v>
      </c>
      <c r="E3496">
        <v>0</v>
      </c>
      <c r="I3496">
        <v>2</v>
      </c>
      <c r="M3496" t="s">
        <v>3614</v>
      </c>
    </row>
    <row r="3497" spans="1:13" ht="15" customHeight="1">
      <c r="A3497" s="10">
        <v>46205</v>
      </c>
      <c r="B3497" t="s">
        <v>1</v>
      </c>
      <c r="C3497" t="s">
        <v>120</v>
      </c>
      <c r="D3497">
        <v>1</v>
      </c>
      <c r="E3497">
        <v>0</v>
      </c>
      <c r="I3497">
        <v>1</v>
      </c>
      <c r="M3497" t="s">
        <v>3615</v>
      </c>
    </row>
    <row r="3498" spans="1:13" ht="15" customHeight="1">
      <c r="A3498" s="10">
        <v>46205</v>
      </c>
      <c r="B3498" t="s">
        <v>1</v>
      </c>
      <c r="C3498" t="s">
        <v>121</v>
      </c>
      <c r="D3498">
        <v>1</v>
      </c>
      <c r="E3498">
        <v>0</v>
      </c>
      <c r="I3498">
        <v>1</v>
      </c>
      <c r="M3498" t="s">
        <v>3616</v>
      </c>
    </row>
    <row r="3499" spans="1:13" ht="15" customHeight="1">
      <c r="A3499" s="10">
        <v>46205</v>
      </c>
      <c r="B3499" t="s">
        <v>1</v>
      </c>
      <c r="C3499" t="s">
        <v>123</v>
      </c>
      <c r="D3499">
        <v>2</v>
      </c>
      <c r="E3499">
        <v>0</v>
      </c>
      <c r="I3499">
        <v>1</v>
      </c>
      <c r="M3499" t="s">
        <v>3617</v>
      </c>
    </row>
    <row r="3500" spans="1:13" ht="15" customHeight="1">
      <c r="A3500" s="10">
        <v>46205</v>
      </c>
      <c r="B3500" t="s">
        <v>1</v>
      </c>
      <c r="C3500" t="s">
        <v>124</v>
      </c>
      <c r="D3500">
        <v>2</v>
      </c>
      <c r="E3500">
        <v>0</v>
      </c>
      <c r="I3500">
        <v>2</v>
      </c>
      <c r="M3500" t="s">
        <v>3618</v>
      </c>
    </row>
    <row r="3501" spans="1:13" ht="15" customHeight="1">
      <c r="A3501" s="10">
        <v>46205</v>
      </c>
      <c r="B3501" t="s">
        <v>1</v>
      </c>
      <c r="C3501" t="s">
        <v>125</v>
      </c>
      <c r="D3501">
        <v>2</v>
      </c>
      <c r="E3501">
        <v>0</v>
      </c>
      <c r="I3501">
        <v>2</v>
      </c>
      <c r="M3501" t="s">
        <v>3619</v>
      </c>
    </row>
    <row r="3502" spans="1:13" ht="15" customHeight="1">
      <c r="A3502" s="10">
        <v>46205</v>
      </c>
      <c r="B3502" t="s">
        <v>1</v>
      </c>
      <c r="C3502" t="s">
        <v>126</v>
      </c>
      <c r="D3502">
        <v>2</v>
      </c>
      <c r="E3502">
        <v>0</v>
      </c>
      <c r="I3502">
        <v>2</v>
      </c>
      <c r="M3502" t="s">
        <v>3620</v>
      </c>
    </row>
    <row r="3503" spans="1:13" ht="15" customHeight="1">
      <c r="A3503" s="10">
        <v>46205</v>
      </c>
      <c r="B3503" t="s">
        <v>1</v>
      </c>
      <c r="C3503" t="s">
        <v>128</v>
      </c>
      <c r="D3503">
        <v>3</v>
      </c>
      <c r="E3503">
        <v>0</v>
      </c>
      <c r="I3503">
        <v>3</v>
      </c>
      <c r="M3503" t="s">
        <v>3621</v>
      </c>
    </row>
    <row r="3504" spans="1:13" ht="15" customHeight="1">
      <c r="A3504" s="10">
        <v>46205</v>
      </c>
      <c r="B3504" t="s">
        <v>1</v>
      </c>
      <c r="C3504" t="s">
        <v>130</v>
      </c>
      <c r="D3504">
        <v>5</v>
      </c>
      <c r="E3504">
        <v>0</v>
      </c>
      <c r="I3504">
        <v>5</v>
      </c>
      <c r="M3504" t="s">
        <v>3622</v>
      </c>
    </row>
    <row r="3505" spans="1:13" ht="15" customHeight="1">
      <c r="A3505" s="10">
        <v>46205</v>
      </c>
      <c r="B3505" t="s">
        <v>1</v>
      </c>
      <c r="C3505" t="s">
        <v>285</v>
      </c>
      <c r="D3505">
        <v>2</v>
      </c>
      <c r="E3505">
        <v>0</v>
      </c>
      <c r="I3505">
        <v>2</v>
      </c>
      <c r="M3505" t="s">
        <v>3623</v>
      </c>
    </row>
    <row r="3506" spans="1:13" ht="15" customHeight="1">
      <c r="A3506" s="10">
        <v>46205</v>
      </c>
      <c r="B3506" t="s">
        <v>1</v>
      </c>
      <c r="C3506" t="s">
        <v>287</v>
      </c>
      <c r="D3506">
        <v>2</v>
      </c>
      <c r="E3506">
        <v>0</v>
      </c>
      <c r="I3506">
        <v>2</v>
      </c>
      <c r="M3506" t="s">
        <v>3624</v>
      </c>
    </row>
    <row r="3507" spans="1:13" ht="15" customHeight="1">
      <c r="A3507" s="10">
        <v>46205</v>
      </c>
      <c r="B3507" t="s">
        <v>1</v>
      </c>
      <c r="C3507" t="s">
        <v>289</v>
      </c>
      <c r="D3507">
        <v>2</v>
      </c>
      <c r="E3507">
        <v>0</v>
      </c>
      <c r="I3507">
        <v>2</v>
      </c>
      <c r="M3507" t="s">
        <v>3625</v>
      </c>
    </row>
    <row r="3508" spans="1:13" ht="15" customHeight="1">
      <c r="A3508" s="10">
        <v>46205</v>
      </c>
      <c r="B3508" t="s">
        <v>1</v>
      </c>
      <c r="C3508" t="s">
        <v>291</v>
      </c>
      <c r="D3508">
        <v>2</v>
      </c>
      <c r="E3508">
        <v>0</v>
      </c>
      <c r="I3508">
        <v>2</v>
      </c>
      <c r="M3508" t="s">
        <v>3626</v>
      </c>
    </row>
    <row r="3509" spans="1:13" ht="15" customHeight="1">
      <c r="A3509" s="10">
        <v>46205</v>
      </c>
      <c r="B3509" t="s">
        <v>1</v>
      </c>
      <c r="C3509" t="s">
        <v>293</v>
      </c>
      <c r="D3509">
        <v>3</v>
      </c>
      <c r="E3509">
        <v>0</v>
      </c>
      <c r="I3509">
        <v>3</v>
      </c>
      <c r="M3509" t="s">
        <v>3627</v>
      </c>
    </row>
    <row r="3510" spans="1:13" ht="15" customHeight="1">
      <c r="A3510" s="10">
        <v>46205</v>
      </c>
      <c r="B3510" t="s">
        <v>1</v>
      </c>
      <c r="C3510" s="135" t="s">
        <v>138</v>
      </c>
      <c r="D3510">
        <v>0</v>
      </c>
      <c r="E3510">
        <v>40</v>
      </c>
      <c r="I3510">
        <v>0</v>
      </c>
      <c r="J3510">
        <v>39</v>
      </c>
      <c r="M3510" t="s">
        <v>3628</v>
      </c>
    </row>
    <row r="3511" spans="1:13" ht="15" customHeight="1">
      <c r="A3511" s="10">
        <v>46205</v>
      </c>
      <c r="B3511" t="s">
        <v>1</v>
      </c>
      <c r="C3511" s="135" t="s">
        <v>139</v>
      </c>
      <c r="D3511">
        <v>0</v>
      </c>
      <c r="E3511">
        <v>25</v>
      </c>
      <c r="I3511">
        <v>0</v>
      </c>
      <c r="J3511">
        <v>20</v>
      </c>
      <c r="M3511" t="s">
        <v>3629</v>
      </c>
    </row>
    <row r="3512" spans="1:13" ht="15" customHeight="1">
      <c r="A3512" s="10">
        <v>46205</v>
      </c>
      <c r="B3512" t="s">
        <v>1</v>
      </c>
      <c r="C3512" s="135" t="s">
        <v>140</v>
      </c>
      <c r="D3512">
        <v>0</v>
      </c>
      <c r="E3512">
        <v>36</v>
      </c>
      <c r="I3512">
        <v>0</v>
      </c>
      <c r="J3512">
        <v>34</v>
      </c>
      <c r="M3512" t="s">
        <v>3630</v>
      </c>
    </row>
    <row r="3513" spans="1:13" ht="15" customHeight="1">
      <c r="A3513" s="10">
        <v>46205</v>
      </c>
      <c r="B3513" t="s">
        <v>1</v>
      </c>
      <c r="C3513" s="135" t="s">
        <v>141</v>
      </c>
      <c r="D3513">
        <v>0</v>
      </c>
      <c r="E3513">
        <v>1</v>
      </c>
      <c r="I3513">
        <v>0</v>
      </c>
      <c r="J3513">
        <v>1</v>
      </c>
      <c r="M3513" t="s">
        <v>3631</v>
      </c>
    </row>
    <row r="3514" spans="1:13" ht="15" customHeight="1">
      <c r="A3514" s="10">
        <v>46205</v>
      </c>
      <c r="B3514" t="s">
        <v>1</v>
      </c>
      <c r="C3514" s="135" t="s">
        <v>143</v>
      </c>
      <c r="D3514">
        <v>0</v>
      </c>
      <c r="E3514">
        <v>50</v>
      </c>
      <c r="I3514">
        <v>0</v>
      </c>
      <c r="J3514">
        <v>50</v>
      </c>
      <c r="M3514" t="s">
        <v>3632</v>
      </c>
    </row>
    <row r="3515" spans="1:13" ht="15" customHeight="1">
      <c r="A3515" s="10">
        <v>46205</v>
      </c>
      <c r="B3515" t="s">
        <v>1</v>
      </c>
      <c r="C3515" s="135" t="s">
        <v>145</v>
      </c>
      <c r="D3515">
        <v>0</v>
      </c>
      <c r="E3515">
        <v>39</v>
      </c>
      <c r="I3515">
        <v>0</v>
      </c>
      <c r="J3515">
        <v>39</v>
      </c>
      <c r="M3515" t="s">
        <v>3633</v>
      </c>
    </row>
    <row r="3516" spans="1:13" ht="15" customHeight="1">
      <c r="A3516" s="10">
        <v>46205</v>
      </c>
      <c r="B3516" t="s">
        <v>1</v>
      </c>
      <c r="C3516" s="135" t="s">
        <v>147</v>
      </c>
      <c r="D3516">
        <v>0</v>
      </c>
      <c r="E3516">
        <v>27</v>
      </c>
      <c r="I3516">
        <v>0</v>
      </c>
      <c r="J3516">
        <v>27</v>
      </c>
      <c r="M3516" t="s">
        <v>3634</v>
      </c>
    </row>
    <row r="3517" spans="1:13" ht="15" customHeight="1">
      <c r="A3517" s="10">
        <v>46205</v>
      </c>
      <c r="B3517" t="s">
        <v>1</v>
      </c>
      <c r="C3517" t="s">
        <v>302</v>
      </c>
      <c r="D3517">
        <v>2</v>
      </c>
      <c r="E3517">
        <v>0</v>
      </c>
      <c r="I3517">
        <v>2</v>
      </c>
      <c r="M3517" t="s">
        <v>3635</v>
      </c>
    </row>
    <row r="3518" spans="1:13" ht="15" customHeight="1">
      <c r="A3518" s="10">
        <v>46205</v>
      </c>
      <c r="B3518" t="s">
        <v>1</v>
      </c>
      <c r="C3518" t="s">
        <v>150</v>
      </c>
      <c r="D3518">
        <v>2</v>
      </c>
      <c r="E3518">
        <v>0</v>
      </c>
      <c r="I3518">
        <v>2</v>
      </c>
      <c r="M3518" t="s">
        <v>3636</v>
      </c>
    </row>
    <row r="3519" spans="1:13" ht="15" customHeight="1">
      <c r="A3519" s="10">
        <v>46205</v>
      </c>
      <c r="B3519" t="s">
        <v>1</v>
      </c>
      <c r="C3519" t="s">
        <v>151</v>
      </c>
      <c r="D3519">
        <v>2</v>
      </c>
      <c r="E3519">
        <v>0</v>
      </c>
      <c r="I3519">
        <v>2</v>
      </c>
      <c r="M3519" t="s">
        <v>3637</v>
      </c>
    </row>
    <row r="3520" spans="1:13" ht="15" customHeight="1">
      <c r="A3520" s="10">
        <v>46205</v>
      </c>
      <c r="B3520" t="s">
        <v>1</v>
      </c>
      <c r="C3520" t="s">
        <v>152</v>
      </c>
      <c r="D3520">
        <v>2</v>
      </c>
      <c r="E3520">
        <v>0</v>
      </c>
      <c r="I3520">
        <v>2</v>
      </c>
      <c r="M3520" t="s">
        <v>3638</v>
      </c>
    </row>
    <row r="3521" spans="1:13" ht="15" customHeight="1">
      <c r="A3521" s="10">
        <v>46205</v>
      </c>
      <c r="B3521" t="s">
        <v>1</v>
      </c>
      <c r="C3521" t="s">
        <v>153</v>
      </c>
      <c r="D3521">
        <v>2</v>
      </c>
      <c r="E3521">
        <v>0</v>
      </c>
      <c r="I3521">
        <v>2</v>
      </c>
      <c r="M3521" t="s">
        <v>3639</v>
      </c>
    </row>
    <row r="3522" spans="1:13" ht="15" customHeight="1">
      <c r="A3522" s="10">
        <v>46205</v>
      </c>
      <c r="B3522" t="s">
        <v>1</v>
      </c>
      <c r="C3522" t="s">
        <v>308</v>
      </c>
      <c r="D3522">
        <v>0</v>
      </c>
      <c r="E3522">
        <v>4</v>
      </c>
      <c r="I3522">
        <v>0</v>
      </c>
      <c r="J3522">
        <v>3</v>
      </c>
      <c r="M3522" t="s">
        <v>3640</v>
      </c>
    </row>
    <row r="3523" spans="1:13" ht="15" customHeight="1">
      <c r="A3523" s="10">
        <v>46205</v>
      </c>
      <c r="B3523" t="s">
        <v>1</v>
      </c>
      <c r="C3523" t="s">
        <v>310</v>
      </c>
      <c r="D3523">
        <v>0</v>
      </c>
      <c r="E3523">
        <v>2</v>
      </c>
      <c r="I3523">
        <v>0</v>
      </c>
      <c r="J3523">
        <v>2</v>
      </c>
      <c r="M3523" t="s">
        <v>3641</v>
      </c>
    </row>
    <row r="3524" spans="1:13" ht="15" customHeight="1">
      <c r="A3524" s="10">
        <v>46205</v>
      </c>
      <c r="B3524" t="s">
        <v>1</v>
      </c>
      <c r="C3524" t="s">
        <v>312</v>
      </c>
      <c r="D3524">
        <v>0</v>
      </c>
      <c r="E3524">
        <v>2</v>
      </c>
      <c r="I3524">
        <v>0</v>
      </c>
      <c r="J3524">
        <v>2</v>
      </c>
      <c r="M3524" t="s">
        <v>3642</v>
      </c>
    </row>
    <row r="3525" spans="1:13" ht="15" customHeight="1">
      <c r="A3525" s="10">
        <v>46205</v>
      </c>
      <c r="B3525" t="s">
        <v>1</v>
      </c>
      <c r="C3525" t="s">
        <v>314</v>
      </c>
      <c r="D3525">
        <v>1</v>
      </c>
      <c r="E3525">
        <v>0</v>
      </c>
      <c r="I3525">
        <v>1</v>
      </c>
      <c r="M3525" t="s">
        <v>3643</v>
      </c>
    </row>
    <row r="3526" spans="1:13" ht="15" customHeight="1">
      <c r="A3526" s="10">
        <v>46205</v>
      </c>
      <c r="B3526" t="s">
        <v>1</v>
      </c>
      <c r="C3526" t="s">
        <v>316</v>
      </c>
      <c r="D3526">
        <v>1</v>
      </c>
      <c r="E3526">
        <v>0</v>
      </c>
      <c r="I3526">
        <v>1</v>
      </c>
      <c r="M3526" t="s">
        <v>3644</v>
      </c>
    </row>
    <row r="3527" spans="1:13" ht="15" customHeight="1">
      <c r="A3527" s="10">
        <v>46205</v>
      </c>
      <c r="B3527" t="s">
        <v>1</v>
      </c>
      <c r="C3527" t="s">
        <v>318</v>
      </c>
      <c r="D3527">
        <v>4</v>
      </c>
      <c r="E3527">
        <v>0</v>
      </c>
      <c r="I3527">
        <v>2</v>
      </c>
      <c r="M3527" t="s">
        <v>3645</v>
      </c>
    </row>
    <row r="3528" spans="1:13" ht="15" customHeight="1">
      <c r="A3528" s="10">
        <v>46205</v>
      </c>
      <c r="B3528" t="s">
        <v>1</v>
      </c>
      <c r="C3528" t="s">
        <v>320</v>
      </c>
      <c r="D3528">
        <v>1</v>
      </c>
      <c r="E3528">
        <v>0</v>
      </c>
      <c r="I3528">
        <v>1</v>
      </c>
      <c r="M3528" t="s">
        <v>3646</v>
      </c>
    </row>
    <row r="3529" spans="1:13" ht="15" customHeight="1">
      <c r="A3529" s="10">
        <v>46205</v>
      </c>
      <c r="B3529" t="s">
        <v>1</v>
      </c>
      <c r="C3529" t="s">
        <v>322</v>
      </c>
      <c r="D3529">
        <v>0</v>
      </c>
      <c r="E3529">
        <v>0</v>
      </c>
      <c r="I3529">
        <v>0</v>
      </c>
      <c r="M3529" t="s">
        <v>3647</v>
      </c>
    </row>
    <row r="3530" spans="1:13" ht="15" customHeight="1">
      <c r="A3530" s="10">
        <v>46205</v>
      </c>
      <c r="B3530" t="s">
        <v>1</v>
      </c>
      <c r="C3530" s="135" t="s">
        <v>168</v>
      </c>
      <c r="D3530">
        <v>1</v>
      </c>
      <c r="E3530">
        <v>0</v>
      </c>
      <c r="I3530">
        <v>1</v>
      </c>
      <c r="M3530" t="s">
        <v>3648</v>
      </c>
    </row>
    <row r="3531" spans="1:13" ht="15" customHeight="1">
      <c r="A3531" s="10">
        <v>46205</v>
      </c>
      <c r="B3531" t="s">
        <v>1</v>
      </c>
      <c r="C3531" s="135" t="s">
        <v>170</v>
      </c>
      <c r="D3531">
        <v>1</v>
      </c>
      <c r="E3531">
        <v>0</v>
      </c>
      <c r="I3531">
        <v>1</v>
      </c>
      <c r="M3531" t="s">
        <v>3649</v>
      </c>
    </row>
    <row r="3532" spans="1:13" ht="15" customHeight="1">
      <c r="A3532" s="10">
        <v>46205</v>
      </c>
      <c r="B3532" t="s">
        <v>1</v>
      </c>
      <c r="C3532" s="135" t="s">
        <v>171</v>
      </c>
      <c r="D3532">
        <v>2</v>
      </c>
      <c r="E3532">
        <v>0</v>
      </c>
      <c r="I3532">
        <v>2</v>
      </c>
      <c r="M3532" t="s">
        <v>3650</v>
      </c>
    </row>
    <row r="3533" spans="1:13" ht="15" customHeight="1">
      <c r="A3533" s="10">
        <v>46205</v>
      </c>
      <c r="B3533" t="s">
        <v>1</v>
      </c>
      <c r="C3533" s="135" t="s">
        <v>172</v>
      </c>
      <c r="D3533">
        <v>1</v>
      </c>
      <c r="E3533">
        <v>0</v>
      </c>
      <c r="I3533">
        <v>1</v>
      </c>
      <c r="M3533" t="s">
        <v>3651</v>
      </c>
    </row>
    <row r="3534" spans="1:13" ht="15" customHeight="1">
      <c r="A3534" s="10">
        <v>46205</v>
      </c>
      <c r="B3534" t="s">
        <v>1</v>
      </c>
      <c r="C3534" s="135" t="s">
        <v>173</v>
      </c>
      <c r="D3534">
        <v>0</v>
      </c>
      <c r="E3534">
        <v>0</v>
      </c>
      <c r="I3534">
        <v>0</v>
      </c>
      <c r="M3534" t="s">
        <v>3652</v>
      </c>
    </row>
    <row r="3535" spans="1:13" ht="15" customHeight="1">
      <c r="A3535" s="10">
        <v>46205</v>
      </c>
      <c r="B3535" t="s">
        <v>1</v>
      </c>
      <c r="C3535" t="s">
        <v>176</v>
      </c>
      <c r="D3535">
        <v>0</v>
      </c>
      <c r="E3535">
        <v>13</v>
      </c>
      <c r="I3535">
        <v>0</v>
      </c>
      <c r="J3535">
        <v>13</v>
      </c>
      <c r="M3535" t="s">
        <v>3653</v>
      </c>
    </row>
    <row r="3536" spans="1:13" ht="15" customHeight="1">
      <c r="A3536" s="10">
        <v>46205</v>
      </c>
      <c r="B3536" t="s">
        <v>1</v>
      </c>
      <c r="C3536" t="s">
        <v>178</v>
      </c>
      <c r="D3536">
        <v>0</v>
      </c>
      <c r="E3536">
        <v>8</v>
      </c>
      <c r="I3536">
        <v>0</v>
      </c>
      <c r="J3536">
        <v>8</v>
      </c>
      <c r="M3536" t="s">
        <v>3654</v>
      </c>
    </row>
    <row r="3537" spans="1:13" ht="15" customHeight="1">
      <c r="A3537" s="10">
        <v>46205</v>
      </c>
      <c r="B3537" t="s">
        <v>1</v>
      </c>
      <c r="C3537" t="s">
        <v>179</v>
      </c>
      <c r="D3537">
        <v>0</v>
      </c>
      <c r="E3537">
        <v>8</v>
      </c>
      <c r="I3537">
        <v>0</v>
      </c>
      <c r="J3537">
        <v>8</v>
      </c>
      <c r="M3537" t="s">
        <v>3655</v>
      </c>
    </row>
    <row r="3538" spans="1:13" ht="15" customHeight="1">
      <c r="A3538" s="10">
        <v>46205</v>
      </c>
      <c r="B3538" t="s">
        <v>1</v>
      </c>
      <c r="C3538" t="s">
        <v>180</v>
      </c>
      <c r="D3538">
        <v>0</v>
      </c>
      <c r="E3538">
        <v>21</v>
      </c>
      <c r="I3538">
        <v>0</v>
      </c>
      <c r="J3538">
        <v>21</v>
      </c>
      <c r="M3538" t="s">
        <v>3656</v>
      </c>
    </row>
    <row r="3539" spans="1:13" ht="15" customHeight="1">
      <c r="A3539" s="10">
        <v>46205</v>
      </c>
      <c r="B3539" t="s">
        <v>1</v>
      </c>
      <c r="C3539" s="135" t="s">
        <v>182</v>
      </c>
      <c r="D3539">
        <v>1</v>
      </c>
      <c r="E3539">
        <v>210</v>
      </c>
      <c r="I3539">
        <v>1</v>
      </c>
      <c r="J3539">
        <v>210</v>
      </c>
      <c r="M3539" t="s">
        <v>3657</v>
      </c>
    </row>
    <row r="3540" spans="1:13" ht="15" customHeight="1">
      <c r="A3540" s="10">
        <v>46205</v>
      </c>
      <c r="B3540" t="s">
        <v>1</v>
      </c>
      <c r="C3540" s="135" t="s">
        <v>184</v>
      </c>
      <c r="D3540">
        <v>1</v>
      </c>
      <c r="E3540">
        <v>65</v>
      </c>
      <c r="I3540">
        <v>1</v>
      </c>
      <c r="J3540">
        <v>165</v>
      </c>
      <c r="M3540" t="s">
        <v>3658</v>
      </c>
    </row>
    <row r="3541" spans="1:13" ht="15" customHeight="1">
      <c r="A3541" s="10">
        <v>46205</v>
      </c>
      <c r="B3541" t="s">
        <v>1</v>
      </c>
      <c r="C3541" s="135" t="s">
        <v>185</v>
      </c>
      <c r="D3541">
        <v>1</v>
      </c>
      <c r="E3541">
        <v>20</v>
      </c>
      <c r="I3541">
        <v>1</v>
      </c>
      <c r="J3541">
        <v>20</v>
      </c>
      <c r="M3541" t="s">
        <v>3659</v>
      </c>
    </row>
    <row r="3542" spans="1:13" ht="15" customHeight="1">
      <c r="A3542" s="10">
        <v>46205</v>
      </c>
      <c r="B3542" t="s">
        <v>1</v>
      </c>
      <c r="C3542" s="135" t="s">
        <v>186</v>
      </c>
      <c r="D3542">
        <v>0</v>
      </c>
      <c r="E3542">
        <v>795</v>
      </c>
      <c r="I3542">
        <v>0</v>
      </c>
      <c r="J3542">
        <v>795</v>
      </c>
      <c r="M3542" t="s">
        <v>3660</v>
      </c>
    </row>
    <row r="3543" spans="1:13" ht="15" customHeight="1">
      <c r="A3543" s="10">
        <v>46205</v>
      </c>
      <c r="B3543" t="s">
        <v>1</v>
      </c>
      <c r="C3543" t="s">
        <v>337</v>
      </c>
      <c r="D3543">
        <v>1</v>
      </c>
      <c r="E3543">
        <v>366</v>
      </c>
      <c r="I3543">
        <v>1</v>
      </c>
      <c r="J3543">
        <v>336</v>
      </c>
      <c r="M3543" t="s">
        <v>3661</v>
      </c>
    </row>
    <row r="3544" spans="1:13" ht="15" customHeight="1">
      <c r="A3544" s="10">
        <v>46205</v>
      </c>
      <c r="B3544" t="s">
        <v>1</v>
      </c>
      <c r="C3544" t="s">
        <v>339</v>
      </c>
      <c r="D3544">
        <v>0</v>
      </c>
      <c r="E3544">
        <v>0</v>
      </c>
      <c r="I3544">
        <v>0</v>
      </c>
      <c r="J3544">
        <v>0</v>
      </c>
      <c r="M3544" t="s">
        <v>3662</v>
      </c>
    </row>
    <row r="3545" spans="1:13" ht="15" customHeight="1">
      <c r="A3545" s="10">
        <v>46205</v>
      </c>
      <c r="B3545" t="s">
        <v>1</v>
      </c>
      <c r="C3545" s="135" t="s">
        <v>191</v>
      </c>
      <c r="D3545">
        <v>1</v>
      </c>
      <c r="E3545">
        <v>175</v>
      </c>
      <c r="I3545">
        <v>1</v>
      </c>
      <c r="J3545">
        <v>175</v>
      </c>
      <c r="M3545" t="s">
        <v>3663</v>
      </c>
    </row>
    <row r="3546" spans="1:13" ht="15" customHeight="1">
      <c r="A3546" s="10">
        <v>46205</v>
      </c>
      <c r="B3546" t="s">
        <v>1</v>
      </c>
      <c r="C3546" s="135" t="s">
        <v>193</v>
      </c>
      <c r="D3546">
        <v>1</v>
      </c>
      <c r="E3546">
        <v>124</v>
      </c>
      <c r="I3546">
        <v>1</v>
      </c>
      <c r="J3546">
        <v>124</v>
      </c>
      <c r="M3546" t="s">
        <v>3664</v>
      </c>
    </row>
    <row r="3547" spans="1:13" ht="15" customHeight="1">
      <c r="A3547" s="10">
        <v>46205</v>
      </c>
      <c r="B3547" t="s">
        <v>1</v>
      </c>
      <c r="C3547" s="135" t="s">
        <v>194</v>
      </c>
      <c r="D3547">
        <v>1</v>
      </c>
      <c r="E3547">
        <v>42</v>
      </c>
      <c r="I3547">
        <v>1</v>
      </c>
      <c r="J3547">
        <v>39</v>
      </c>
      <c r="M3547" t="s">
        <v>3665</v>
      </c>
    </row>
    <row r="3548" spans="1:13" ht="15" customHeight="1">
      <c r="A3548" s="10">
        <v>46205</v>
      </c>
      <c r="B3548" t="s">
        <v>1</v>
      </c>
      <c r="C3548" s="135" t="s">
        <v>196</v>
      </c>
      <c r="D3548">
        <v>1</v>
      </c>
      <c r="E3548">
        <v>175</v>
      </c>
      <c r="I3548">
        <v>1</v>
      </c>
      <c r="J3548">
        <v>155</v>
      </c>
      <c r="M3548" t="s">
        <v>3666</v>
      </c>
    </row>
    <row r="3549" spans="1:13" ht="15" customHeight="1">
      <c r="A3549" s="10">
        <v>46206</v>
      </c>
      <c r="B3549" t="s">
        <v>1</v>
      </c>
      <c r="C3549" t="s">
        <v>23</v>
      </c>
      <c r="D3549">
        <v>5</v>
      </c>
      <c r="E3549">
        <v>1100</v>
      </c>
      <c r="I3549">
        <v>4</v>
      </c>
      <c r="J3549">
        <v>180</v>
      </c>
      <c r="M3549" t="s">
        <v>3667</v>
      </c>
    </row>
    <row r="3550" spans="1:13" ht="15" customHeight="1">
      <c r="A3550" s="10">
        <v>46206</v>
      </c>
      <c r="B3550" t="s">
        <v>1</v>
      </c>
      <c r="C3550" t="s">
        <v>26</v>
      </c>
      <c r="D3550">
        <v>2</v>
      </c>
      <c r="E3550">
        <v>335</v>
      </c>
      <c r="I3550">
        <v>2</v>
      </c>
      <c r="J3550">
        <v>185</v>
      </c>
      <c r="M3550" t="s">
        <v>3668</v>
      </c>
    </row>
    <row r="3551" spans="1:13" ht="15" customHeight="1">
      <c r="A3551" s="10">
        <v>46206</v>
      </c>
      <c r="B3551" t="s">
        <v>1</v>
      </c>
      <c r="C3551" t="s">
        <v>27</v>
      </c>
      <c r="D3551">
        <v>2</v>
      </c>
      <c r="E3551">
        <v>495</v>
      </c>
      <c r="I3551">
        <v>2</v>
      </c>
      <c r="J3551">
        <v>415</v>
      </c>
      <c r="M3551" t="s">
        <v>3669</v>
      </c>
    </row>
    <row r="3552" spans="1:13" ht="15" customHeight="1">
      <c r="A3552" s="10">
        <v>46206</v>
      </c>
      <c r="B3552" t="s">
        <v>1</v>
      </c>
      <c r="C3552" t="s">
        <v>28</v>
      </c>
      <c r="D3552">
        <v>0</v>
      </c>
      <c r="E3552">
        <v>0</v>
      </c>
      <c r="I3552">
        <v>0</v>
      </c>
      <c r="J3552">
        <v>0</v>
      </c>
      <c r="M3552" t="s">
        <v>3670</v>
      </c>
    </row>
    <row r="3553" spans="1:13" ht="15" customHeight="1">
      <c r="A3553" s="10">
        <v>46206</v>
      </c>
      <c r="B3553" t="s">
        <v>1</v>
      </c>
      <c r="C3553" t="s">
        <v>29</v>
      </c>
      <c r="D3553">
        <v>0</v>
      </c>
      <c r="E3553">
        <v>905</v>
      </c>
      <c r="I3553">
        <v>0</v>
      </c>
      <c r="J3553">
        <v>455</v>
      </c>
      <c r="M3553" t="s">
        <v>3671</v>
      </c>
    </row>
    <row r="3554" spans="1:13" ht="15" customHeight="1">
      <c r="A3554" s="10">
        <v>46206</v>
      </c>
      <c r="B3554" t="s">
        <v>1</v>
      </c>
      <c r="C3554" t="s">
        <v>30</v>
      </c>
      <c r="D3554">
        <v>1</v>
      </c>
      <c r="E3554">
        <v>915</v>
      </c>
      <c r="I3554">
        <v>1</v>
      </c>
      <c r="J3554">
        <v>675</v>
      </c>
      <c r="M3554" t="s">
        <v>3672</v>
      </c>
    </row>
    <row r="3555" spans="1:13" ht="15" customHeight="1">
      <c r="A3555" s="10">
        <v>46206</v>
      </c>
      <c r="B3555" t="s">
        <v>1</v>
      </c>
      <c r="C3555" t="s">
        <v>31</v>
      </c>
      <c r="D3555">
        <v>2</v>
      </c>
      <c r="E3555">
        <v>20</v>
      </c>
      <c r="I3555">
        <v>1</v>
      </c>
      <c r="J3555">
        <v>558</v>
      </c>
      <c r="M3555" t="s">
        <v>3673</v>
      </c>
    </row>
    <row r="3556" spans="1:13" ht="15" customHeight="1">
      <c r="A3556" s="10">
        <v>46206</v>
      </c>
      <c r="B3556" t="s">
        <v>1</v>
      </c>
      <c r="C3556" t="s">
        <v>32</v>
      </c>
      <c r="D3556">
        <v>0</v>
      </c>
      <c r="E3556">
        <v>320</v>
      </c>
      <c r="I3556">
        <v>0</v>
      </c>
      <c r="J3556">
        <v>130</v>
      </c>
      <c r="M3556" t="s">
        <v>3674</v>
      </c>
    </row>
    <row r="3557" spans="1:13" ht="15" customHeight="1">
      <c r="A3557" s="10">
        <v>46206</v>
      </c>
      <c r="B3557" t="s">
        <v>1</v>
      </c>
      <c r="C3557" t="s">
        <v>223</v>
      </c>
      <c r="D3557">
        <v>4</v>
      </c>
      <c r="E3557">
        <v>567</v>
      </c>
      <c r="I3557">
        <v>4</v>
      </c>
      <c r="J3557">
        <v>467</v>
      </c>
      <c r="M3557" t="s">
        <v>3675</v>
      </c>
    </row>
    <row r="3558" spans="1:13" ht="15" customHeight="1">
      <c r="A3558" s="10">
        <v>46206</v>
      </c>
      <c r="B3558" t="s">
        <v>1</v>
      </c>
      <c r="C3558" t="s">
        <v>35</v>
      </c>
      <c r="D3558">
        <v>0</v>
      </c>
      <c r="E3558">
        <v>0</v>
      </c>
      <c r="I3558">
        <v>0</v>
      </c>
      <c r="M3558" t="s">
        <v>3676</v>
      </c>
    </row>
    <row r="3559" spans="1:13" ht="15" customHeight="1">
      <c r="A3559" s="10">
        <v>46206</v>
      </c>
      <c r="B3559" t="s">
        <v>1</v>
      </c>
      <c r="C3559" t="s">
        <v>37</v>
      </c>
      <c r="D3559">
        <v>0</v>
      </c>
      <c r="E3559">
        <v>0</v>
      </c>
      <c r="I3559">
        <v>0</v>
      </c>
      <c r="M3559" t="s">
        <v>3677</v>
      </c>
    </row>
    <row r="3560" spans="1:13" ht="15" customHeight="1">
      <c r="A3560" s="10">
        <v>46206</v>
      </c>
      <c r="B3560" t="s">
        <v>1</v>
      </c>
      <c r="C3560" t="s">
        <v>39</v>
      </c>
      <c r="D3560">
        <v>17</v>
      </c>
      <c r="E3560">
        <v>0</v>
      </c>
      <c r="I3560">
        <v>17</v>
      </c>
      <c r="J3560">
        <v>0</v>
      </c>
      <c r="M3560" t="s">
        <v>3678</v>
      </c>
    </row>
    <row r="3561" spans="1:13" ht="15" customHeight="1">
      <c r="A3561" s="10">
        <v>46206</v>
      </c>
      <c r="B3561" t="s">
        <v>1</v>
      </c>
      <c r="C3561" t="s">
        <v>41</v>
      </c>
      <c r="D3561">
        <v>10</v>
      </c>
      <c r="E3561">
        <v>0</v>
      </c>
      <c r="H3561">
        <v>1</v>
      </c>
      <c r="I3561">
        <v>9</v>
      </c>
      <c r="J3561">
        <v>0</v>
      </c>
      <c r="M3561" t="s">
        <v>3679</v>
      </c>
    </row>
    <row r="3562" spans="1:13" ht="15" customHeight="1">
      <c r="A3562" s="10">
        <v>46206</v>
      </c>
      <c r="B3562" t="s">
        <v>1</v>
      </c>
      <c r="C3562" t="s">
        <v>232</v>
      </c>
      <c r="D3562">
        <v>0</v>
      </c>
      <c r="E3562">
        <v>0</v>
      </c>
      <c r="I3562">
        <v>0</v>
      </c>
      <c r="J3562">
        <v>0</v>
      </c>
      <c r="M3562" t="s">
        <v>3680</v>
      </c>
    </row>
    <row r="3563" spans="1:13" ht="15" customHeight="1">
      <c r="A3563" s="10">
        <v>46206</v>
      </c>
      <c r="B3563" t="s">
        <v>1</v>
      </c>
      <c r="C3563" t="s">
        <v>234</v>
      </c>
      <c r="D3563">
        <v>49</v>
      </c>
      <c r="E3563">
        <v>0</v>
      </c>
      <c r="H3563">
        <v>2</v>
      </c>
      <c r="I3563">
        <v>47</v>
      </c>
      <c r="J3563">
        <v>0</v>
      </c>
      <c r="M3563" t="s">
        <v>3681</v>
      </c>
    </row>
    <row r="3564" spans="1:13" ht="15" customHeight="1">
      <c r="A3564" s="10">
        <v>46206</v>
      </c>
      <c r="B3564" t="s">
        <v>1</v>
      </c>
      <c r="C3564" t="s">
        <v>54</v>
      </c>
      <c r="D3564">
        <v>0</v>
      </c>
      <c r="E3564">
        <v>0</v>
      </c>
      <c r="I3564">
        <v>0</v>
      </c>
      <c r="J3564">
        <v>0</v>
      </c>
      <c r="M3564" t="s">
        <v>3682</v>
      </c>
    </row>
    <row r="3565" spans="1:13" ht="15" customHeight="1">
      <c r="A3565" s="10">
        <v>46206</v>
      </c>
      <c r="B3565" t="s">
        <v>1</v>
      </c>
      <c r="C3565" t="s">
        <v>237</v>
      </c>
      <c r="D3565">
        <v>7</v>
      </c>
      <c r="E3565">
        <v>0</v>
      </c>
      <c r="I3565">
        <v>7</v>
      </c>
      <c r="J3565">
        <v>0</v>
      </c>
      <c r="M3565" t="s">
        <v>3683</v>
      </c>
    </row>
    <row r="3566" spans="1:13" ht="15" customHeight="1">
      <c r="A3566" s="10">
        <v>46206</v>
      </c>
      <c r="B3566" t="s">
        <v>1</v>
      </c>
      <c r="C3566" s="135" t="s">
        <v>58</v>
      </c>
      <c r="D3566">
        <v>0</v>
      </c>
      <c r="E3566">
        <v>0</v>
      </c>
      <c r="I3566">
        <v>0</v>
      </c>
      <c r="J3566">
        <v>0</v>
      </c>
      <c r="M3566" t="s">
        <v>3684</v>
      </c>
    </row>
    <row r="3567" spans="1:13" ht="15" customHeight="1">
      <c r="A3567" s="10">
        <v>46206</v>
      </c>
      <c r="B3567" t="s">
        <v>1</v>
      </c>
      <c r="C3567" s="135" t="s">
        <v>60</v>
      </c>
      <c r="D3567">
        <v>5</v>
      </c>
      <c r="E3567">
        <v>0</v>
      </c>
      <c r="H3567">
        <v>1</v>
      </c>
      <c r="I3567">
        <v>4</v>
      </c>
      <c r="J3567">
        <v>0</v>
      </c>
      <c r="M3567" t="s">
        <v>3685</v>
      </c>
    </row>
    <row r="3568" spans="1:13" ht="15" customHeight="1">
      <c r="A3568" s="10">
        <v>46206</v>
      </c>
      <c r="B3568" t="s">
        <v>1</v>
      </c>
      <c r="C3568" s="135" t="s">
        <v>61</v>
      </c>
      <c r="D3568">
        <v>5</v>
      </c>
      <c r="E3568">
        <v>0</v>
      </c>
      <c r="I3568">
        <v>0</v>
      </c>
      <c r="J3568">
        <v>0</v>
      </c>
      <c r="K3568">
        <v>5</v>
      </c>
      <c r="M3568" t="s">
        <v>3686</v>
      </c>
    </row>
    <row r="3569" spans="1:13" ht="15" customHeight="1">
      <c r="A3569" s="10">
        <v>46206</v>
      </c>
      <c r="B3569" t="s">
        <v>1</v>
      </c>
      <c r="C3569" s="135" t="s">
        <v>62</v>
      </c>
      <c r="D3569">
        <v>4</v>
      </c>
      <c r="E3569">
        <v>0</v>
      </c>
      <c r="I3569">
        <v>0</v>
      </c>
      <c r="J3569">
        <v>0</v>
      </c>
      <c r="K3569">
        <v>3</v>
      </c>
      <c r="M3569" t="s">
        <v>3687</v>
      </c>
    </row>
    <row r="3570" spans="1:13" ht="15" customHeight="1">
      <c r="A3570" s="10">
        <v>46206</v>
      </c>
      <c r="B3570" t="s">
        <v>1</v>
      </c>
      <c r="C3570" s="135" t="s">
        <v>63</v>
      </c>
      <c r="D3570">
        <v>3</v>
      </c>
      <c r="E3570">
        <v>0</v>
      </c>
      <c r="I3570">
        <v>3</v>
      </c>
      <c r="J3570">
        <v>0</v>
      </c>
      <c r="M3570" t="s">
        <v>3688</v>
      </c>
    </row>
    <row r="3571" spans="1:13" ht="15" customHeight="1">
      <c r="A3571" s="10">
        <v>46206</v>
      </c>
      <c r="B3571" t="s">
        <v>1</v>
      </c>
      <c r="C3571" s="135" t="s">
        <v>64</v>
      </c>
      <c r="D3571">
        <v>0</v>
      </c>
      <c r="E3571">
        <v>0</v>
      </c>
      <c r="I3571">
        <v>0</v>
      </c>
      <c r="J3571">
        <v>0</v>
      </c>
      <c r="M3571" t="s">
        <v>3689</v>
      </c>
    </row>
    <row r="3572" spans="1:13" ht="15" customHeight="1">
      <c r="A3572" s="10">
        <v>46206</v>
      </c>
      <c r="B3572" t="s">
        <v>1</v>
      </c>
      <c r="C3572" t="s">
        <v>66</v>
      </c>
      <c r="D3572">
        <v>4</v>
      </c>
      <c r="E3572">
        <v>0</v>
      </c>
      <c r="I3572">
        <v>4</v>
      </c>
      <c r="J3572">
        <v>0</v>
      </c>
      <c r="M3572" t="s">
        <v>3690</v>
      </c>
    </row>
    <row r="3573" spans="1:13" ht="15" customHeight="1">
      <c r="A3573" s="10">
        <v>46206</v>
      </c>
      <c r="B3573" t="s">
        <v>1</v>
      </c>
      <c r="C3573" t="s">
        <v>67</v>
      </c>
      <c r="D3573">
        <v>7</v>
      </c>
      <c r="E3573">
        <v>0</v>
      </c>
      <c r="I3573">
        <v>7</v>
      </c>
      <c r="J3573">
        <v>0</v>
      </c>
      <c r="M3573" t="s">
        <v>3691</v>
      </c>
    </row>
    <row r="3574" spans="1:13" ht="15" customHeight="1">
      <c r="A3574" s="10">
        <v>46206</v>
      </c>
      <c r="B3574" t="s">
        <v>1</v>
      </c>
      <c r="C3574" t="s">
        <v>68</v>
      </c>
      <c r="D3574">
        <v>0</v>
      </c>
      <c r="E3574">
        <v>0</v>
      </c>
      <c r="I3574">
        <v>0</v>
      </c>
      <c r="J3574">
        <v>0</v>
      </c>
      <c r="M3574" t="s">
        <v>3692</v>
      </c>
    </row>
    <row r="3575" spans="1:13" ht="15" customHeight="1">
      <c r="A3575" s="10">
        <v>46206</v>
      </c>
      <c r="B3575" t="s">
        <v>1</v>
      </c>
      <c r="C3575" t="s">
        <v>71</v>
      </c>
      <c r="D3575">
        <v>1</v>
      </c>
      <c r="E3575">
        <v>724</v>
      </c>
      <c r="I3575">
        <v>1</v>
      </c>
      <c r="J3575">
        <v>608</v>
      </c>
      <c r="M3575" t="s">
        <v>3693</v>
      </c>
    </row>
    <row r="3576" spans="1:13" ht="15" customHeight="1">
      <c r="A3576" s="10">
        <v>46206</v>
      </c>
      <c r="B3576" t="s">
        <v>1</v>
      </c>
      <c r="C3576" t="s">
        <v>73</v>
      </c>
      <c r="D3576">
        <v>0</v>
      </c>
      <c r="E3576">
        <v>220</v>
      </c>
      <c r="I3576">
        <v>0</v>
      </c>
      <c r="J3576">
        <v>220</v>
      </c>
      <c r="M3576" t="s">
        <v>3694</v>
      </c>
    </row>
    <row r="3577" spans="1:13" ht="15" customHeight="1">
      <c r="A3577" s="10">
        <v>46206</v>
      </c>
      <c r="B3577" t="s">
        <v>1</v>
      </c>
      <c r="C3577" t="s">
        <v>75</v>
      </c>
      <c r="D3577">
        <v>0</v>
      </c>
      <c r="E3577">
        <v>184</v>
      </c>
      <c r="I3577">
        <v>0</v>
      </c>
      <c r="J3577">
        <v>160</v>
      </c>
      <c r="M3577" t="s">
        <v>3695</v>
      </c>
    </row>
    <row r="3578" spans="1:13" ht="15" customHeight="1">
      <c r="A3578" s="10">
        <v>46206</v>
      </c>
      <c r="B3578" t="s">
        <v>1</v>
      </c>
      <c r="C3578" t="s">
        <v>77</v>
      </c>
      <c r="D3578">
        <v>0</v>
      </c>
      <c r="E3578">
        <v>770</v>
      </c>
      <c r="I3578">
        <v>0</v>
      </c>
      <c r="J3578">
        <v>745</v>
      </c>
      <c r="M3578" t="s">
        <v>3696</v>
      </c>
    </row>
    <row r="3579" spans="1:13" ht="15" customHeight="1">
      <c r="A3579" s="10">
        <v>46206</v>
      </c>
      <c r="B3579" t="s">
        <v>1</v>
      </c>
      <c r="C3579" t="s">
        <v>79</v>
      </c>
      <c r="D3579">
        <v>1</v>
      </c>
      <c r="E3579">
        <v>938</v>
      </c>
      <c r="I3579">
        <v>1</v>
      </c>
      <c r="J3579">
        <v>890</v>
      </c>
      <c r="M3579" t="s">
        <v>3697</v>
      </c>
    </row>
    <row r="3580" spans="1:13" ht="15" customHeight="1">
      <c r="A3580" s="10">
        <v>46206</v>
      </c>
      <c r="B3580" t="s">
        <v>1</v>
      </c>
      <c r="C3580" t="s">
        <v>81</v>
      </c>
      <c r="D3580">
        <v>1</v>
      </c>
      <c r="E3580">
        <v>152</v>
      </c>
      <c r="I3580">
        <v>1</v>
      </c>
      <c r="J3580">
        <v>137</v>
      </c>
      <c r="M3580" t="s">
        <v>3698</v>
      </c>
    </row>
    <row r="3581" spans="1:13" ht="15" customHeight="1">
      <c r="A3581" s="10">
        <v>46206</v>
      </c>
      <c r="B3581" t="s">
        <v>1</v>
      </c>
      <c r="C3581" t="s">
        <v>83</v>
      </c>
      <c r="D3581">
        <v>1</v>
      </c>
      <c r="E3581">
        <v>70</v>
      </c>
      <c r="I3581">
        <v>1</v>
      </c>
      <c r="J3581">
        <v>55</v>
      </c>
      <c r="M3581" t="s">
        <v>3699</v>
      </c>
    </row>
    <row r="3582" spans="1:13" ht="15" customHeight="1">
      <c r="A3582" s="10">
        <v>46206</v>
      </c>
      <c r="B3582" t="s">
        <v>1</v>
      </c>
      <c r="C3582" t="s">
        <v>84</v>
      </c>
      <c r="D3582">
        <v>1</v>
      </c>
      <c r="E3582">
        <v>67</v>
      </c>
      <c r="I3582">
        <v>1</v>
      </c>
      <c r="J3582">
        <v>52</v>
      </c>
      <c r="M3582" t="s">
        <v>3700</v>
      </c>
    </row>
    <row r="3583" spans="1:13" ht="15" customHeight="1">
      <c r="A3583" s="10">
        <v>46206</v>
      </c>
      <c r="B3583" t="s">
        <v>1</v>
      </c>
      <c r="C3583" t="s">
        <v>85</v>
      </c>
      <c r="D3583">
        <v>0</v>
      </c>
      <c r="E3583">
        <v>120</v>
      </c>
      <c r="I3583">
        <v>0</v>
      </c>
      <c r="J3583">
        <v>120</v>
      </c>
      <c r="M3583" t="s">
        <v>3701</v>
      </c>
    </row>
    <row r="3584" spans="1:13" ht="15" customHeight="1">
      <c r="A3584" s="10">
        <v>46206</v>
      </c>
      <c r="B3584" t="s">
        <v>1</v>
      </c>
      <c r="C3584" t="s">
        <v>87</v>
      </c>
      <c r="D3584">
        <v>2</v>
      </c>
      <c r="E3584">
        <v>285</v>
      </c>
      <c r="I3584">
        <v>2</v>
      </c>
      <c r="J3584">
        <v>280</v>
      </c>
      <c r="M3584" t="s">
        <v>3702</v>
      </c>
    </row>
    <row r="3585" spans="1:13" ht="15" customHeight="1">
      <c r="A3585" s="10">
        <v>46206</v>
      </c>
      <c r="B3585" t="s">
        <v>1</v>
      </c>
      <c r="C3585" t="s">
        <v>88</v>
      </c>
      <c r="D3585">
        <v>1</v>
      </c>
      <c r="E3585">
        <v>210</v>
      </c>
      <c r="I3585">
        <v>1</v>
      </c>
      <c r="J3585">
        <v>210</v>
      </c>
      <c r="M3585" t="s">
        <v>3703</v>
      </c>
    </row>
    <row r="3586" spans="1:13" ht="15" customHeight="1">
      <c r="A3586" s="10">
        <v>46206</v>
      </c>
      <c r="B3586" t="s">
        <v>1</v>
      </c>
      <c r="C3586" t="s">
        <v>89</v>
      </c>
      <c r="D3586">
        <v>1</v>
      </c>
      <c r="E3586">
        <v>95</v>
      </c>
      <c r="I3586">
        <v>1</v>
      </c>
      <c r="J3586">
        <v>95</v>
      </c>
      <c r="M3586" t="s">
        <v>3704</v>
      </c>
    </row>
    <row r="3587" spans="1:13" ht="15" customHeight="1">
      <c r="A3587" s="10">
        <v>46206</v>
      </c>
      <c r="B3587" t="s">
        <v>1</v>
      </c>
      <c r="C3587" t="s">
        <v>90</v>
      </c>
      <c r="D3587">
        <v>1</v>
      </c>
      <c r="E3587">
        <v>587</v>
      </c>
      <c r="I3587">
        <v>1</v>
      </c>
      <c r="J3587">
        <v>587</v>
      </c>
      <c r="M3587" t="s">
        <v>3705</v>
      </c>
    </row>
    <row r="3588" spans="1:13" ht="15" customHeight="1">
      <c r="A3588" s="10">
        <v>46206</v>
      </c>
      <c r="B3588" t="s">
        <v>1</v>
      </c>
      <c r="C3588" t="s">
        <v>92</v>
      </c>
      <c r="D3588">
        <v>1</v>
      </c>
      <c r="E3588">
        <v>700</v>
      </c>
      <c r="I3588">
        <v>1</v>
      </c>
      <c r="J3588">
        <v>700</v>
      </c>
      <c r="M3588" t="s">
        <v>3706</v>
      </c>
    </row>
    <row r="3589" spans="1:13" ht="15" customHeight="1">
      <c r="A3589" s="10">
        <v>46206</v>
      </c>
      <c r="B3589" t="s">
        <v>1</v>
      </c>
      <c r="C3589" t="s">
        <v>94</v>
      </c>
      <c r="D3589">
        <v>2</v>
      </c>
      <c r="E3589">
        <v>87</v>
      </c>
      <c r="I3589">
        <v>2</v>
      </c>
      <c r="J3589">
        <v>39</v>
      </c>
      <c r="M3589" t="s">
        <v>3707</v>
      </c>
    </row>
    <row r="3590" spans="1:13" ht="15" customHeight="1">
      <c r="A3590" s="10">
        <v>46206</v>
      </c>
      <c r="B3590" t="s">
        <v>1</v>
      </c>
      <c r="C3590" t="s">
        <v>96</v>
      </c>
      <c r="D3590">
        <v>0</v>
      </c>
      <c r="E3590">
        <v>0</v>
      </c>
      <c r="I3590">
        <v>0</v>
      </c>
      <c r="J3590">
        <v>0</v>
      </c>
      <c r="M3590" t="s">
        <v>3708</v>
      </c>
    </row>
    <row r="3591" spans="1:13" ht="15" customHeight="1">
      <c r="A3591" s="10">
        <v>46206</v>
      </c>
      <c r="B3591" t="s">
        <v>1</v>
      </c>
      <c r="C3591" t="s">
        <v>98</v>
      </c>
      <c r="D3591">
        <v>0</v>
      </c>
      <c r="E3591">
        <v>0</v>
      </c>
      <c r="I3591">
        <v>0</v>
      </c>
      <c r="J3591">
        <v>0</v>
      </c>
      <c r="M3591" t="s">
        <v>3709</v>
      </c>
    </row>
    <row r="3592" spans="1:13" ht="15" customHeight="1">
      <c r="A3592" s="10">
        <v>46206</v>
      </c>
      <c r="B3592" t="s">
        <v>1</v>
      </c>
      <c r="C3592" t="s">
        <v>203</v>
      </c>
      <c r="D3592">
        <v>1</v>
      </c>
      <c r="E3592">
        <v>330</v>
      </c>
      <c r="I3592">
        <v>1</v>
      </c>
      <c r="J3592">
        <v>145</v>
      </c>
      <c r="M3592" t="s">
        <v>3710</v>
      </c>
    </row>
    <row r="3593" spans="1:13" ht="15" customHeight="1">
      <c r="A3593" s="10">
        <v>46206</v>
      </c>
      <c r="B3593" t="s">
        <v>1</v>
      </c>
      <c r="C3593" t="s">
        <v>100</v>
      </c>
      <c r="D3593">
        <v>0</v>
      </c>
      <c r="E3593">
        <v>0</v>
      </c>
      <c r="I3593">
        <v>0</v>
      </c>
      <c r="J3593">
        <v>0</v>
      </c>
      <c r="M3593" t="s">
        <v>3711</v>
      </c>
    </row>
    <row r="3594" spans="1:13" ht="15" customHeight="1">
      <c r="A3594" s="10">
        <v>46206</v>
      </c>
      <c r="B3594" t="s">
        <v>1</v>
      </c>
      <c r="C3594" t="s">
        <v>101</v>
      </c>
      <c r="D3594">
        <v>1</v>
      </c>
      <c r="E3594">
        <v>106</v>
      </c>
      <c r="I3594">
        <v>0</v>
      </c>
      <c r="J3594">
        <v>361</v>
      </c>
      <c r="M3594" t="s">
        <v>3712</v>
      </c>
    </row>
    <row r="3595" spans="1:13" ht="15" customHeight="1">
      <c r="A3595" s="10">
        <v>46206</v>
      </c>
      <c r="B3595" t="s">
        <v>1</v>
      </c>
      <c r="C3595" t="s">
        <v>103</v>
      </c>
      <c r="D3595">
        <v>0</v>
      </c>
      <c r="E3595">
        <v>0</v>
      </c>
      <c r="I3595">
        <v>0</v>
      </c>
      <c r="J3595">
        <v>0</v>
      </c>
      <c r="M3595" t="s">
        <v>3713</v>
      </c>
    </row>
    <row r="3596" spans="1:13" ht="15" customHeight="1">
      <c r="A3596" s="10">
        <v>46206</v>
      </c>
      <c r="B3596" t="s">
        <v>1</v>
      </c>
      <c r="C3596" t="s">
        <v>106</v>
      </c>
      <c r="D3596">
        <v>1</v>
      </c>
      <c r="E3596">
        <v>784</v>
      </c>
      <c r="I3596">
        <v>1</v>
      </c>
      <c r="J3596">
        <v>716</v>
      </c>
      <c r="M3596" t="s">
        <v>3714</v>
      </c>
    </row>
    <row r="3597" spans="1:13" ht="15" customHeight="1">
      <c r="A3597" s="10">
        <v>46206</v>
      </c>
      <c r="B3597" t="s">
        <v>1</v>
      </c>
      <c r="C3597" t="s">
        <v>108</v>
      </c>
      <c r="D3597">
        <v>1</v>
      </c>
      <c r="E3597">
        <v>221</v>
      </c>
      <c r="I3597">
        <v>1</v>
      </c>
      <c r="J3597">
        <v>161</v>
      </c>
      <c r="M3597" t="s">
        <v>3715</v>
      </c>
    </row>
    <row r="3598" spans="1:13" ht="15" customHeight="1">
      <c r="A3598" s="10">
        <v>46206</v>
      </c>
      <c r="B3598" t="s">
        <v>1</v>
      </c>
      <c r="C3598" t="s">
        <v>109</v>
      </c>
      <c r="D3598">
        <v>0</v>
      </c>
      <c r="E3598">
        <v>798</v>
      </c>
      <c r="I3598">
        <v>0</v>
      </c>
      <c r="J3598">
        <v>783</v>
      </c>
      <c r="M3598" t="s">
        <v>3716</v>
      </c>
    </row>
    <row r="3599" spans="1:13" ht="15" customHeight="1">
      <c r="A3599" s="10">
        <v>46206</v>
      </c>
      <c r="B3599" t="s">
        <v>1</v>
      </c>
      <c r="C3599" t="s">
        <v>112</v>
      </c>
      <c r="D3599">
        <v>1</v>
      </c>
      <c r="E3599">
        <v>26</v>
      </c>
      <c r="I3599">
        <v>1</v>
      </c>
      <c r="J3599">
        <v>23</v>
      </c>
      <c r="M3599" t="s">
        <v>3717</v>
      </c>
    </row>
    <row r="3600" spans="1:13" ht="15" customHeight="1">
      <c r="A3600" s="10">
        <v>46206</v>
      </c>
      <c r="B3600" t="s">
        <v>1</v>
      </c>
      <c r="C3600" t="s">
        <v>114</v>
      </c>
      <c r="D3600">
        <v>2</v>
      </c>
      <c r="E3600">
        <v>30</v>
      </c>
      <c r="I3600">
        <v>2</v>
      </c>
      <c r="J3600">
        <v>20</v>
      </c>
      <c r="M3600" t="s">
        <v>3718</v>
      </c>
    </row>
    <row r="3601" spans="1:13" ht="15" customHeight="1">
      <c r="A3601" s="10">
        <v>46206</v>
      </c>
      <c r="B3601" t="s">
        <v>1</v>
      </c>
      <c r="C3601" t="s">
        <v>115</v>
      </c>
      <c r="D3601">
        <v>0</v>
      </c>
      <c r="E3601">
        <v>50</v>
      </c>
      <c r="I3601">
        <v>0</v>
      </c>
      <c r="J3601">
        <v>42</v>
      </c>
      <c r="M3601" t="s">
        <v>3719</v>
      </c>
    </row>
    <row r="3602" spans="1:13" ht="15" customHeight="1">
      <c r="A3602" s="10">
        <v>46206</v>
      </c>
      <c r="B3602" t="s">
        <v>1</v>
      </c>
      <c r="C3602" t="s">
        <v>116</v>
      </c>
      <c r="D3602">
        <v>1</v>
      </c>
      <c r="E3602">
        <v>46</v>
      </c>
      <c r="I3602">
        <v>1</v>
      </c>
      <c r="J3602">
        <v>44</v>
      </c>
      <c r="M3602" t="s">
        <v>3720</v>
      </c>
    </row>
    <row r="3603" spans="1:13" ht="15" customHeight="1">
      <c r="A3603" s="10">
        <v>46206</v>
      </c>
      <c r="B3603" t="s">
        <v>1</v>
      </c>
      <c r="C3603" t="s">
        <v>119</v>
      </c>
      <c r="D3603">
        <v>2</v>
      </c>
      <c r="E3603">
        <v>0</v>
      </c>
      <c r="I3603">
        <v>2</v>
      </c>
      <c r="M3603" t="s">
        <v>3721</v>
      </c>
    </row>
    <row r="3604" spans="1:13" ht="15" customHeight="1">
      <c r="A3604" s="10">
        <v>46206</v>
      </c>
      <c r="B3604" t="s">
        <v>1</v>
      </c>
      <c r="C3604" t="s">
        <v>120</v>
      </c>
      <c r="D3604">
        <v>1</v>
      </c>
      <c r="E3604">
        <v>0</v>
      </c>
      <c r="I3604">
        <v>1</v>
      </c>
      <c r="M3604" t="s">
        <v>3722</v>
      </c>
    </row>
    <row r="3605" spans="1:13" ht="15" customHeight="1">
      <c r="A3605" s="10">
        <v>46206</v>
      </c>
      <c r="B3605" t="s">
        <v>1</v>
      </c>
      <c r="C3605" t="s">
        <v>121</v>
      </c>
      <c r="D3605">
        <v>1</v>
      </c>
      <c r="E3605">
        <v>0</v>
      </c>
      <c r="I3605">
        <v>1</v>
      </c>
      <c r="M3605" t="s">
        <v>3723</v>
      </c>
    </row>
    <row r="3606" spans="1:13" ht="15" customHeight="1">
      <c r="A3606" s="10">
        <v>46206</v>
      </c>
      <c r="B3606" t="s">
        <v>1</v>
      </c>
      <c r="C3606" t="s">
        <v>123</v>
      </c>
      <c r="D3606">
        <v>1</v>
      </c>
      <c r="E3606">
        <v>0</v>
      </c>
      <c r="I3606">
        <v>1</v>
      </c>
      <c r="M3606" t="s">
        <v>3724</v>
      </c>
    </row>
    <row r="3607" spans="1:13" ht="15" customHeight="1">
      <c r="A3607" s="10">
        <v>46206</v>
      </c>
      <c r="B3607" t="s">
        <v>1</v>
      </c>
      <c r="C3607" t="s">
        <v>124</v>
      </c>
      <c r="D3607">
        <v>2</v>
      </c>
      <c r="E3607">
        <v>0</v>
      </c>
      <c r="I3607">
        <v>2</v>
      </c>
      <c r="M3607" t="s">
        <v>3725</v>
      </c>
    </row>
    <row r="3608" spans="1:13" ht="15" customHeight="1">
      <c r="A3608" s="10">
        <v>46206</v>
      </c>
      <c r="B3608" t="s">
        <v>1</v>
      </c>
      <c r="C3608" t="s">
        <v>125</v>
      </c>
      <c r="D3608">
        <v>2</v>
      </c>
      <c r="E3608">
        <v>0</v>
      </c>
      <c r="I3608">
        <v>2</v>
      </c>
      <c r="M3608" t="s">
        <v>3726</v>
      </c>
    </row>
    <row r="3609" spans="1:13" ht="15" customHeight="1">
      <c r="A3609" s="10">
        <v>46206</v>
      </c>
      <c r="B3609" t="s">
        <v>1</v>
      </c>
      <c r="C3609" t="s">
        <v>126</v>
      </c>
      <c r="D3609">
        <v>2</v>
      </c>
      <c r="E3609">
        <v>0</v>
      </c>
      <c r="I3609">
        <v>2</v>
      </c>
      <c r="M3609" t="s">
        <v>3727</v>
      </c>
    </row>
    <row r="3610" spans="1:13" ht="15" customHeight="1">
      <c r="A3610" s="10">
        <v>46206</v>
      </c>
      <c r="B3610" t="s">
        <v>1</v>
      </c>
      <c r="C3610" t="s">
        <v>128</v>
      </c>
      <c r="D3610">
        <v>3</v>
      </c>
      <c r="E3610">
        <v>0</v>
      </c>
      <c r="I3610">
        <v>3</v>
      </c>
      <c r="M3610" t="s">
        <v>3728</v>
      </c>
    </row>
    <row r="3611" spans="1:13" ht="15" customHeight="1">
      <c r="A3611" s="10">
        <v>46206</v>
      </c>
      <c r="B3611" t="s">
        <v>1</v>
      </c>
      <c r="C3611" t="s">
        <v>130</v>
      </c>
      <c r="D3611">
        <v>5</v>
      </c>
      <c r="E3611">
        <v>0</v>
      </c>
      <c r="I3611">
        <v>5</v>
      </c>
      <c r="M3611" t="s">
        <v>3729</v>
      </c>
    </row>
    <row r="3612" spans="1:13" ht="15" customHeight="1">
      <c r="A3612" s="10">
        <v>46206</v>
      </c>
      <c r="B3612" t="s">
        <v>1</v>
      </c>
      <c r="C3612" t="s">
        <v>285</v>
      </c>
      <c r="D3612">
        <v>2</v>
      </c>
      <c r="E3612">
        <v>0</v>
      </c>
      <c r="I3612">
        <v>2</v>
      </c>
      <c r="M3612" t="s">
        <v>3730</v>
      </c>
    </row>
    <row r="3613" spans="1:13" ht="15" customHeight="1">
      <c r="A3613" s="10">
        <v>46206</v>
      </c>
      <c r="B3613" t="s">
        <v>1</v>
      </c>
      <c r="C3613" t="s">
        <v>287</v>
      </c>
      <c r="D3613">
        <v>2</v>
      </c>
      <c r="E3613">
        <v>0</v>
      </c>
      <c r="I3613">
        <v>2</v>
      </c>
      <c r="M3613" t="s">
        <v>3731</v>
      </c>
    </row>
    <row r="3614" spans="1:13" ht="15" customHeight="1">
      <c r="A3614" s="10">
        <v>46206</v>
      </c>
      <c r="B3614" t="s">
        <v>1</v>
      </c>
      <c r="C3614" t="s">
        <v>289</v>
      </c>
      <c r="D3614">
        <v>2</v>
      </c>
      <c r="E3614">
        <v>0</v>
      </c>
      <c r="I3614">
        <v>2</v>
      </c>
      <c r="M3614" t="s">
        <v>3732</v>
      </c>
    </row>
    <row r="3615" spans="1:13" ht="15" customHeight="1">
      <c r="A3615" s="10">
        <v>46206</v>
      </c>
      <c r="B3615" t="s">
        <v>1</v>
      </c>
      <c r="C3615" t="s">
        <v>291</v>
      </c>
      <c r="D3615">
        <v>2</v>
      </c>
      <c r="E3615">
        <v>0</v>
      </c>
      <c r="I3615">
        <v>2</v>
      </c>
      <c r="M3615" t="s">
        <v>3733</v>
      </c>
    </row>
    <row r="3616" spans="1:13" ht="15" customHeight="1">
      <c r="A3616" s="10">
        <v>46206</v>
      </c>
      <c r="B3616" t="s">
        <v>1</v>
      </c>
      <c r="C3616" t="s">
        <v>293</v>
      </c>
      <c r="D3616">
        <v>3</v>
      </c>
      <c r="E3616">
        <v>0</v>
      </c>
      <c r="I3616">
        <v>3</v>
      </c>
      <c r="M3616" t="s">
        <v>3734</v>
      </c>
    </row>
    <row r="3617" spans="1:13" ht="15" customHeight="1">
      <c r="A3617" s="10">
        <v>46206</v>
      </c>
      <c r="B3617" t="s">
        <v>1</v>
      </c>
      <c r="C3617" s="135" t="s">
        <v>138</v>
      </c>
      <c r="D3617">
        <v>0</v>
      </c>
      <c r="E3617">
        <v>39</v>
      </c>
      <c r="I3617">
        <v>0</v>
      </c>
      <c r="J3617">
        <v>39</v>
      </c>
      <c r="M3617" t="s">
        <v>3735</v>
      </c>
    </row>
    <row r="3618" spans="1:13" ht="15" customHeight="1">
      <c r="A3618" s="10">
        <v>46206</v>
      </c>
      <c r="B3618" t="s">
        <v>1</v>
      </c>
      <c r="C3618" s="135" t="s">
        <v>139</v>
      </c>
      <c r="D3618">
        <v>0</v>
      </c>
      <c r="E3618">
        <v>20</v>
      </c>
      <c r="I3618">
        <v>0</v>
      </c>
      <c r="J3618">
        <v>20</v>
      </c>
      <c r="M3618" t="s">
        <v>3736</v>
      </c>
    </row>
    <row r="3619" spans="1:13" ht="15" customHeight="1">
      <c r="A3619" s="10">
        <v>46206</v>
      </c>
      <c r="B3619" t="s">
        <v>1</v>
      </c>
      <c r="C3619" s="135" t="s">
        <v>140</v>
      </c>
      <c r="D3619">
        <v>0</v>
      </c>
      <c r="E3619">
        <v>34</v>
      </c>
      <c r="I3619">
        <v>0</v>
      </c>
      <c r="J3619">
        <v>34</v>
      </c>
      <c r="M3619" t="s">
        <v>3737</v>
      </c>
    </row>
    <row r="3620" spans="1:13" ht="15" customHeight="1">
      <c r="A3620" s="10">
        <v>46206</v>
      </c>
      <c r="B3620" t="s">
        <v>1</v>
      </c>
      <c r="C3620" s="135" t="s">
        <v>141</v>
      </c>
      <c r="D3620">
        <v>0</v>
      </c>
      <c r="E3620">
        <v>1</v>
      </c>
      <c r="I3620">
        <v>0</v>
      </c>
      <c r="J3620">
        <v>1</v>
      </c>
      <c r="M3620" t="s">
        <v>3738</v>
      </c>
    </row>
    <row r="3621" spans="1:13" ht="15" customHeight="1">
      <c r="A3621" s="10">
        <v>46206</v>
      </c>
      <c r="B3621" t="s">
        <v>1</v>
      </c>
      <c r="C3621" s="135" t="s">
        <v>143</v>
      </c>
      <c r="D3621">
        <v>0</v>
      </c>
      <c r="E3621">
        <v>50</v>
      </c>
      <c r="I3621">
        <v>0</v>
      </c>
      <c r="J3621">
        <v>50</v>
      </c>
      <c r="M3621" t="s">
        <v>3739</v>
      </c>
    </row>
    <row r="3622" spans="1:13" ht="15" customHeight="1">
      <c r="A3622" s="10">
        <v>46206</v>
      </c>
      <c r="B3622" t="s">
        <v>1</v>
      </c>
      <c r="C3622" s="135" t="s">
        <v>145</v>
      </c>
      <c r="D3622">
        <v>0</v>
      </c>
      <c r="E3622">
        <v>39</v>
      </c>
      <c r="I3622">
        <v>0</v>
      </c>
      <c r="J3622">
        <v>39</v>
      </c>
      <c r="M3622" t="s">
        <v>3740</v>
      </c>
    </row>
    <row r="3623" spans="1:13" ht="15" customHeight="1">
      <c r="A3623" s="10">
        <v>46206</v>
      </c>
      <c r="B3623" t="s">
        <v>1</v>
      </c>
      <c r="C3623" s="135" t="s">
        <v>147</v>
      </c>
      <c r="D3623">
        <v>0</v>
      </c>
      <c r="E3623">
        <v>27</v>
      </c>
      <c r="I3623">
        <v>0</v>
      </c>
      <c r="J3623">
        <v>27</v>
      </c>
      <c r="M3623" t="s">
        <v>3741</v>
      </c>
    </row>
    <row r="3624" spans="1:13" ht="15" customHeight="1">
      <c r="A3624" s="10">
        <v>46206</v>
      </c>
      <c r="B3624" t="s">
        <v>1</v>
      </c>
      <c r="C3624" t="s">
        <v>302</v>
      </c>
      <c r="D3624">
        <v>2</v>
      </c>
      <c r="E3624">
        <v>0</v>
      </c>
      <c r="I3624">
        <v>2</v>
      </c>
      <c r="M3624" t="s">
        <v>3742</v>
      </c>
    </row>
    <row r="3625" spans="1:13" ht="15" customHeight="1">
      <c r="A3625" s="10">
        <v>46206</v>
      </c>
      <c r="B3625" t="s">
        <v>1</v>
      </c>
      <c r="C3625" t="s">
        <v>150</v>
      </c>
      <c r="D3625">
        <v>2</v>
      </c>
      <c r="E3625">
        <v>0</v>
      </c>
      <c r="I3625">
        <v>2</v>
      </c>
      <c r="M3625" t="s">
        <v>3743</v>
      </c>
    </row>
    <row r="3626" spans="1:13" ht="15" customHeight="1">
      <c r="A3626" s="10">
        <v>46206</v>
      </c>
      <c r="B3626" t="s">
        <v>1</v>
      </c>
      <c r="C3626" t="s">
        <v>151</v>
      </c>
      <c r="D3626">
        <v>2</v>
      </c>
      <c r="E3626">
        <v>0</v>
      </c>
      <c r="I3626">
        <v>2</v>
      </c>
      <c r="M3626" t="s">
        <v>3744</v>
      </c>
    </row>
    <row r="3627" spans="1:13" ht="15" customHeight="1">
      <c r="A3627" s="10">
        <v>46206</v>
      </c>
      <c r="B3627" t="s">
        <v>1</v>
      </c>
      <c r="C3627" t="s">
        <v>152</v>
      </c>
      <c r="D3627">
        <v>2</v>
      </c>
      <c r="E3627">
        <v>0</v>
      </c>
      <c r="I3627">
        <v>2</v>
      </c>
      <c r="M3627" t="s">
        <v>3745</v>
      </c>
    </row>
    <row r="3628" spans="1:13" ht="15" customHeight="1">
      <c r="A3628" s="10">
        <v>46206</v>
      </c>
      <c r="B3628" t="s">
        <v>1</v>
      </c>
      <c r="C3628" t="s">
        <v>153</v>
      </c>
      <c r="D3628">
        <v>2</v>
      </c>
      <c r="E3628">
        <v>0</v>
      </c>
      <c r="I3628">
        <v>2</v>
      </c>
      <c r="M3628" t="s">
        <v>3746</v>
      </c>
    </row>
    <row r="3629" spans="1:13" ht="15" customHeight="1">
      <c r="A3629" s="10">
        <v>46206</v>
      </c>
      <c r="B3629" t="s">
        <v>1</v>
      </c>
      <c r="C3629" t="s">
        <v>308</v>
      </c>
      <c r="D3629">
        <v>0</v>
      </c>
      <c r="E3629">
        <v>3</v>
      </c>
      <c r="I3629">
        <v>0</v>
      </c>
      <c r="J3629">
        <v>3</v>
      </c>
      <c r="M3629" t="s">
        <v>3747</v>
      </c>
    </row>
    <row r="3630" spans="1:13" ht="15" customHeight="1">
      <c r="A3630" s="10">
        <v>46206</v>
      </c>
      <c r="B3630" t="s">
        <v>1</v>
      </c>
      <c r="C3630" t="s">
        <v>310</v>
      </c>
      <c r="D3630">
        <v>0</v>
      </c>
      <c r="E3630">
        <v>2</v>
      </c>
      <c r="I3630">
        <v>0</v>
      </c>
      <c r="J3630">
        <v>2</v>
      </c>
      <c r="M3630" t="s">
        <v>3748</v>
      </c>
    </row>
    <row r="3631" spans="1:13" ht="15" customHeight="1">
      <c r="A3631" s="10">
        <v>46206</v>
      </c>
      <c r="B3631" t="s">
        <v>1</v>
      </c>
      <c r="C3631" t="s">
        <v>312</v>
      </c>
      <c r="D3631">
        <v>0</v>
      </c>
      <c r="E3631">
        <v>2</v>
      </c>
      <c r="I3631">
        <v>0</v>
      </c>
      <c r="J3631">
        <v>2</v>
      </c>
      <c r="M3631" t="s">
        <v>3749</v>
      </c>
    </row>
    <row r="3632" spans="1:13" ht="15" customHeight="1">
      <c r="A3632" s="10">
        <v>46206</v>
      </c>
      <c r="B3632" t="s">
        <v>1</v>
      </c>
      <c r="C3632" t="s">
        <v>314</v>
      </c>
      <c r="D3632">
        <v>1</v>
      </c>
      <c r="E3632">
        <v>0</v>
      </c>
      <c r="I3632">
        <v>1</v>
      </c>
      <c r="M3632" t="s">
        <v>3750</v>
      </c>
    </row>
    <row r="3633" spans="1:13" ht="15" customHeight="1">
      <c r="A3633" s="10">
        <v>46206</v>
      </c>
      <c r="B3633" t="s">
        <v>1</v>
      </c>
      <c r="C3633" t="s">
        <v>316</v>
      </c>
      <c r="D3633">
        <v>1</v>
      </c>
      <c r="E3633">
        <v>0</v>
      </c>
      <c r="I3633">
        <v>1</v>
      </c>
      <c r="M3633" t="s">
        <v>3751</v>
      </c>
    </row>
    <row r="3634" spans="1:13" ht="15" customHeight="1">
      <c r="A3634" s="10">
        <v>46206</v>
      </c>
      <c r="B3634" t="s">
        <v>1</v>
      </c>
      <c r="C3634" t="s">
        <v>318</v>
      </c>
      <c r="D3634">
        <v>2</v>
      </c>
      <c r="E3634">
        <v>0</v>
      </c>
      <c r="I3634">
        <v>2</v>
      </c>
      <c r="M3634" t="s">
        <v>3752</v>
      </c>
    </row>
    <row r="3635" spans="1:13" ht="15" customHeight="1">
      <c r="A3635" s="10">
        <v>46206</v>
      </c>
      <c r="B3635" t="s">
        <v>1</v>
      </c>
      <c r="C3635" t="s">
        <v>320</v>
      </c>
      <c r="D3635">
        <v>1</v>
      </c>
      <c r="E3635">
        <v>0</v>
      </c>
      <c r="I3635">
        <v>1</v>
      </c>
      <c r="M3635" t="s">
        <v>3753</v>
      </c>
    </row>
    <row r="3636" spans="1:13" ht="15" customHeight="1">
      <c r="A3636" s="10">
        <v>46206</v>
      </c>
      <c r="B3636" t="s">
        <v>1</v>
      </c>
      <c r="C3636" t="s">
        <v>322</v>
      </c>
      <c r="D3636">
        <v>0</v>
      </c>
      <c r="E3636">
        <v>0</v>
      </c>
      <c r="I3636">
        <v>0</v>
      </c>
      <c r="M3636" t="s">
        <v>3754</v>
      </c>
    </row>
    <row r="3637" spans="1:13" ht="15" customHeight="1">
      <c r="A3637" s="10">
        <v>46206</v>
      </c>
      <c r="B3637" t="s">
        <v>1</v>
      </c>
      <c r="C3637" s="135" t="s">
        <v>168</v>
      </c>
      <c r="D3637">
        <v>1</v>
      </c>
      <c r="E3637">
        <v>0</v>
      </c>
      <c r="I3637">
        <v>1</v>
      </c>
      <c r="M3637" t="s">
        <v>3755</v>
      </c>
    </row>
    <row r="3638" spans="1:13" ht="15" customHeight="1">
      <c r="A3638" s="10">
        <v>46206</v>
      </c>
      <c r="B3638" t="s">
        <v>1</v>
      </c>
      <c r="C3638" s="135" t="s">
        <v>170</v>
      </c>
      <c r="D3638">
        <v>1</v>
      </c>
      <c r="E3638">
        <v>0</v>
      </c>
      <c r="I3638">
        <v>1</v>
      </c>
      <c r="M3638" t="s">
        <v>3756</v>
      </c>
    </row>
    <row r="3639" spans="1:13" ht="15" customHeight="1">
      <c r="A3639" s="10">
        <v>46206</v>
      </c>
      <c r="B3639" t="s">
        <v>1</v>
      </c>
      <c r="C3639" s="135" t="s">
        <v>171</v>
      </c>
      <c r="D3639">
        <v>2</v>
      </c>
      <c r="E3639">
        <v>0</v>
      </c>
      <c r="I3639">
        <v>2</v>
      </c>
      <c r="M3639" t="s">
        <v>3757</v>
      </c>
    </row>
    <row r="3640" spans="1:13" ht="15" customHeight="1">
      <c r="A3640" s="10">
        <v>46206</v>
      </c>
      <c r="B3640" t="s">
        <v>1</v>
      </c>
      <c r="C3640" s="135" t="s">
        <v>172</v>
      </c>
      <c r="D3640">
        <v>1</v>
      </c>
      <c r="E3640">
        <v>0</v>
      </c>
      <c r="I3640">
        <v>1</v>
      </c>
      <c r="M3640" t="s">
        <v>3758</v>
      </c>
    </row>
    <row r="3641" spans="1:13" ht="15" customHeight="1">
      <c r="A3641" s="10">
        <v>46206</v>
      </c>
      <c r="B3641" t="s">
        <v>1</v>
      </c>
      <c r="C3641" s="135" t="s">
        <v>173</v>
      </c>
      <c r="D3641">
        <v>0</v>
      </c>
      <c r="E3641">
        <v>0</v>
      </c>
      <c r="I3641">
        <v>0</v>
      </c>
      <c r="M3641" t="s">
        <v>3759</v>
      </c>
    </row>
    <row r="3642" spans="1:13" ht="15" customHeight="1">
      <c r="A3642" s="10">
        <v>46206</v>
      </c>
      <c r="B3642" t="s">
        <v>1</v>
      </c>
      <c r="C3642" t="s">
        <v>176</v>
      </c>
      <c r="D3642">
        <v>0</v>
      </c>
      <c r="E3642">
        <v>13</v>
      </c>
      <c r="I3642">
        <v>0</v>
      </c>
      <c r="J3642">
        <v>13</v>
      </c>
      <c r="M3642" t="s">
        <v>3760</v>
      </c>
    </row>
    <row r="3643" spans="1:13" ht="15" customHeight="1">
      <c r="A3643" s="10">
        <v>46206</v>
      </c>
      <c r="B3643" t="s">
        <v>1</v>
      </c>
      <c r="C3643" t="s">
        <v>178</v>
      </c>
      <c r="D3643">
        <v>0</v>
      </c>
      <c r="E3643">
        <v>8</v>
      </c>
      <c r="I3643">
        <v>0</v>
      </c>
      <c r="J3643">
        <v>8</v>
      </c>
      <c r="M3643" t="s">
        <v>3761</v>
      </c>
    </row>
    <row r="3644" spans="1:13" ht="15" customHeight="1">
      <c r="A3644" s="10">
        <v>46206</v>
      </c>
      <c r="B3644" t="s">
        <v>1</v>
      </c>
      <c r="C3644" t="s">
        <v>179</v>
      </c>
      <c r="D3644">
        <v>0</v>
      </c>
      <c r="E3644">
        <v>8</v>
      </c>
      <c r="I3644">
        <v>0</v>
      </c>
      <c r="J3644">
        <v>8</v>
      </c>
      <c r="M3644" t="s">
        <v>3762</v>
      </c>
    </row>
    <row r="3645" spans="1:13" ht="15" customHeight="1">
      <c r="A3645" s="10">
        <v>46206</v>
      </c>
      <c r="B3645" t="s">
        <v>1</v>
      </c>
      <c r="C3645" t="s">
        <v>180</v>
      </c>
      <c r="D3645">
        <v>0</v>
      </c>
      <c r="E3645">
        <v>21</v>
      </c>
      <c r="I3645">
        <v>0</v>
      </c>
      <c r="J3645">
        <v>21</v>
      </c>
      <c r="M3645" t="s">
        <v>3763</v>
      </c>
    </row>
    <row r="3646" spans="1:13" ht="15" customHeight="1">
      <c r="A3646" s="10">
        <v>46206</v>
      </c>
      <c r="B3646" t="s">
        <v>1</v>
      </c>
      <c r="C3646" s="135" t="s">
        <v>182</v>
      </c>
      <c r="D3646">
        <v>1</v>
      </c>
      <c r="E3646">
        <v>210</v>
      </c>
      <c r="I3646">
        <v>1</v>
      </c>
      <c r="J3646">
        <v>210</v>
      </c>
      <c r="M3646" t="s">
        <v>3764</v>
      </c>
    </row>
    <row r="3647" spans="1:13" ht="15" customHeight="1">
      <c r="A3647" s="10">
        <v>46206</v>
      </c>
      <c r="B3647" t="s">
        <v>1</v>
      </c>
      <c r="C3647" s="135" t="s">
        <v>184</v>
      </c>
      <c r="D3647">
        <v>1</v>
      </c>
      <c r="E3647">
        <v>165</v>
      </c>
      <c r="I3647">
        <v>1</v>
      </c>
      <c r="J3647">
        <v>65</v>
      </c>
      <c r="M3647" t="s">
        <v>3765</v>
      </c>
    </row>
    <row r="3648" spans="1:13" ht="15" customHeight="1">
      <c r="A3648" s="10">
        <v>46206</v>
      </c>
      <c r="B3648" t="s">
        <v>1</v>
      </c>
      <c r="C3648" s="135" t="s">
        <v>185</v>
      </c>
      <c r="D3648">
        <v>1</v>
      </c>
      <c r="E3648">
        <v>20</v>
      </c>
      <c r="I3648">
        <v>1</v>
      </c>
      <c r="J3648">
        <v>20</v>
      </c>
      <c r="M3648" t="s">
        <v>3766</v>
      </c>
    </row>
    <row r="3649" spans="1:13" ht="15" customHeight="1">
      <c r="A3649" s="10">
        <v>46206</v>
      </c>
      <c r="B3649" t="s">
        <v>1</v>
      </c>
      <c r="C3649" s="135" t="s">
        <v>186</v>
      </c>
      <c r="D3649">
        <v>0</v>
      </c>
      <c r="E3649">
        <v>795</v>
      </c>
      <c r="I3649">
        <v>0</v>
      </c>
      <c r="J3649">
        <v>795</v>
      </c>
      <c r="M3649" t="s">
        <v>3767</v>
      </c>
    </row>
    <row r="3650" spans="1:13" ht="15" customHeight="1">
      <c r="A3650" s="10">
        <v>46206</v>
      </c>
      <c r="B3650" t="s">
        <v>1</v>
      </c>
      <c r="C3650" t="s">
        <v>337</v>
      </c>
      <c r="D3650">
        <v>1</v>
      </c>
      <c r="E3650">
        <v>336</v>
      </c>
      <c r="I3650">
        <v>1</v>
      </c>
      <c r="J3650">
        <v>265</v>
      </c>
      <c r="M3650" t="s">
        <v>3768</v>
      </c>
    </row>
    <row r="3651" spans="1:13" ht="15" customHeight="1">
      <c r="A3651" s="10">
        <v>46206</v>
      </c>
      <c r="B3651" t="s">
        <v>1</v>
      </c>
      <c r="C3651" t="s">
        <v>339</v>
      </c>
      <c r="D3651">
        <v>0</v>
      </c>
      <c r="E3651">
        <v>0</v>
      </c>
      <c r="I3651">
        <v>0</v>
      </c>
      <c r="J3651">
        <v>0</v>
      </c>
      <c r="M3651" t="s">
        <v>3769</v>
      </c>
    </row>
    <row r="3652" spans="1:13" ht="15" customHeight="1">
      <c r="A3652" s="10">
        <v>46206</v>
      </c>
      <c r="B3652" t="s">
        <v>1</v>
      </c>
      <c r="C3652" s="135" t="s">
        <v>191</v>
      </c>
      <c r="D3652">
        <v>1</v>
      </c>
      <c r="E3652">
        <v>175</v>
      </c>
      <c r="I3652">
        <v>1</v>
      </c>
      <c r="J3652">
        <v>175</v>
      </c>
      <c r="M3652" t="s">
        <v>3770</v>
      </c>
    </row>
    <row r="3653" spans="1:13" ht="15" customHeight="1">
      <c r="A3653" s="10">
        <v>46206</v>
      </c>
      <c r="B3653" t="s">
        <v>1</v>
      </c>
      <c r="C3653" s="135" t="s">
        <v>193</v>
      </c>
      <c r="D3653">
        <v>1</v>
      </c>
      <c r="E3653">
        <v>124</v>
      </c>
      <c r="I3653">
        <v>1</v>
      </c>
      <c r="J3653">
        <v>124</v>
      </c>
      <c r="M3653" t="s">
        <v>3771</v>
      </c>
    </row>
    <row r="3654" spans="1:13" ht="15" customHeight="1">
      <c r="A3654" s="10">
        <v>46206</v>
      </c>
      <c r="B3654" t="s">
        <v>1</v>
      </c>
      <c r="C3654" s="135" t="s">
        <v>194</v>
      </c>
      <c r="D3654">
        <v>1</v>
      </c>
      <c r="E3654">
        <v>39</v>
      </c>
      <c r="I3654">
        <v>1</v>
      </c>
      <c r="J3654">
        <v>36</v>
      </c>
      <c r="M3654" t="s">
        <v>3772</v>
      </c>
    </row>
    <row r="3655" spans="1:13" ht="15" customHeight="1">
      <c r="A3655" s="10">
        <v>46206</v>
      </c>
      <c r="B3655" t="s">
        <v>1</v>
      </c>
      <c r="C3655" s="135" t="s">
        <v>196</v>
      </c>
      <c r="D3655">
        <v>1</v>
      </c>
      <c r="E3655">
        <v>155</v>
      </c>
      <c r="I3655">
        <v>1</v>
      </c>
      <c r="J3655">
        <v>125</v>
      </c>
      <c r="M3655" t="s">
        <v>3773</v>
      </c>
    </row>
    <row r="3656" spans="1:13" ht="15" customHeight="1">
      <c r="A3656" s="10">
        <v>46207</v>
      </c>
      <c r="B3656" t="s">
        <v>1</v>
      </c>
      <c r="C3656" t="s">
        <v>23</v>
      </c>
      <c r="D3656">
        <v>4</v>
      </c>
      <c r="E3656">
        <v>180</v>
      </c>
      <c r="I3656">
        <v>4</v>
      </c>
      <c r="J3656">
        <v>180</v>
      </c>
      <c r="M3656" t="s">
        <v>3774</v>
      </c>
    </row>
    <row r="3657" spans="1:13" ht="15" customHeight="1">
      <c r="A3657" s="10">
        <v>46207</v>
      </c>
      <c r="B3657" t="s">
        <v>1</v>
      </c>
      <c r="C3657" t="s">
        <v>26</v>
      </c>
      <c r="D3657">
        <v>2</v>
      </c>
      <c r="E3657">
        <v>185</v>
      </c>
      <c r="I3657">
        <v>2</v>
      </c>
      <c r="J3657">
        <v>185</v>
      </c>
      <c r="M3657" t="s">
        <v>3775</v>
      </c>
    </row>
    <row r="3658" spans="1:13" ht="15" customHeight="1">
      <c r="A3658" s="10">
        <v>46207</v>
      </c>
      <c r="B3658" t="s">
        <v>1</v>
      </c>
      <c r="C3658" t="s">
        <v>27</v>
      </c>
      <c r="D3658">
        <v>2</v>
      </c>
      <c r="E3658">
        <v>415</v>
      </c>
      <c r="I3658">
        <v>2</v>
      </c>
      <c r="J3658">
        <v>415</v>
      </c>
      <c r="M3658" t="s">
        <v>3776</v>
      </c>
    </row>
    <row r="3659" spans="1:13" ht="15" customHeight="1">
      <c r="A3659" s="10">
        <v>46207</v>
      </c>
      <c r="B3659" t="s">
        <v>1</v>
      </c>
      <c r="C3659" t="s">
        <v>28</v>
      </c>
      <c r="D3659">
        <v>0</v>
      </c>
      <c r="E3659">
        <v>0</v>
      </c>
      <c r="I3659">
        <v>0</v>
      </c>
      <c r="J3659">
        <v>0</v>
      </c>
      <c r="M3659" t="s">
        <v>3777</v>
      </c>
    </row>
    <row r="3660" spans="1:13" ht="15" customHeight="1">
      <c r="A3660" s="10">
        <v>46207</v>
      </c>
      <c r="B3660" t="s">
        <v>1</v>
      </c>
      <c r="C3660" t="s">
        <v>29</v>
      </c>
      <c r="D3660">
        <v>0</v>
      </c>
      <c r="E3660">
        <v>455</v>
      </c>
      <c r="I3660">
        <v>0</v>
      </c>
      <c r="J3660">
        <v>455</v>
      </c>
      <c r="M3660" t="s">
        <v>3778</v>
      </c>
    </row>
    <row r="3661" spans="1:13" ht="15" customHeight="1">
      <c r="A3661" s="10">
        <v>46207</v>
      </c>
      <c r="B3661" t="s">
        <v>1</v>
      </c>
      <c r="C3661" t="s">
        <v>30</v>
      </c>
      <c r="D3661">
        <v>1</v>
      </c>
      <c r="E3661">
        <v>675</v>
      </c>
      <c r="I3661">
        <v>1</v>
      </c>
      <c r="J3661">
        <v>675</v>
      </c>
      <c r="M3661" t="s">
        <v>3779</v>
      </c>
    </row>
    <row r="3662" spans="1:13" ht="15" customHeight="1">
      <c r="A3662" s="10">
        <v>46207</v>
      </c>
      <c r="B3662" t="s">
        <v>1</v>
      </c>
      <c r="C3662" t="s">
        <v>31</v>
      </c>
      <c r="D3662">
        <v>1</v>
      </c>
      <c r="E3662">
        <v>558</v>
      </c>
      <c r="I3662">
        <v>1</v>
      </c>
      <c r="J3662">
        <v>478</v>
      </c>
      <c r="M3662" t="s">
        <v>3780</v>
      </c>
    </row>
    <row r="3663" spans="1:13" ht="15" customHeight="1">
      <c r="A3663" s="10">
        <v>46207</v>
      </c>
      <c r="B3663" t="s">
        <v>1</v>
      </c>
      <c r="C3663" t="s">
        <v>32</v>
      </c>
      <c r="D3663">
        <v>0</v>
      </c>
      <c r="E3663">
        <v>130</v>
      </c>
      <c r="F3663">
        <v>1</v>
      </c>
      <c r="I3663">
        <v>1</v>
      </c>
      <c r="J3663">
        <v>130</v>
      </c>
      <c r="M3663" t="s">
        <v>3781</v>
      </c>
    </row>
    <row r="3664" spans="1:13" ht="15" customHeight="1">
      <c r="A3664" s="10">
        <v>46207</v>
      </c>
      <c r="B3664" t="s">
        <v>1</v>
      </c>
      <c r="C3664" t="s">
        <v>223</v>
      </c>
      <c r="D3664">
        <v>4</v>
      </c>
      <c r="E3664">
        <v>467</v>
      </c>
      <c r="F3664">
        <v>2</v>
      </c>
      <c r="I3664">
        <v>6</v>
      </c>
      <c r="J3664">
        <v>467</v>
      </c>
      <c r="M3664" t="s">
        <v>3782</v>
      </c>
    </row>
    <row r="3665" spans="1:13" ht="15" customHeight="1">
      <c r="A3665" s="10">
        <v>46207</v>
      </c>
      <c r="B3665" t="s">
        <v>1</v>
      </c>
      <c r="C3665" t="s">
        <v>35</v>
      </c>
      <c r="D3665">
        <v>0</v>
      </c>
      <c r="E3665">
        <v>0</v>
      </c>
      <c r="I3665">
        <v>8</v>
      </c>
      <c r="M3665" t="s">
        <v>3783</v>
      </c>
    </row>
    <row r="3666" spans="1:13" ht="15" customHeight="1">
      <c r="A3666" s="10">
        <v>46207</v>
      </c>
      <c r="B3666" t="s">
        <v>1</v>
      </c>
      <c r="C3666" t="s">
        <v>37</v>
      </c>
      <c r="D3666">
        <v>0</v>
      </c>
      <c r="E3666">
        <v>0</v>
      </c>
      <c r="I3666">
        <v>2</v>
      </c>
      <c r="M3666" t="s">
        <v>3784</v>
      </c>
    </row>
    <row r="3667" spans="1:13" ht="15" customHeight="1">
      <c r="A3667" s="10">
        <v>46207</v>
      </c>
      <c r="B3667" t="s">
        <v>1</v>
      </c>
      <c r="C3667" t="s">
        <v>39</v>
      </c>
      <c r="D3667">
        <v>17</v>
      </c>
      <c r="E3667">
        <v>0</v>
      </c>
      <c r="I3667">
        <v>17</v>
      </c>
      <c r="J3667">
        <v>0</v>
      </c>
      <c r="M3667" t="s">
        <v>3785</v>
      </c>
    </row>
    <row r="3668" spans="1:13" ht="15" customHeight="1">
      <c r="A3668" s="10">
        <v>46207</v>
      </c>
      <c r="B3668" t="s">
        <v>1</v>
      </c>
      <c r="C3668" t="s">
        <v>41</v>
      </c>
      <c r="D3668">
        <v>9</v>
      </c>
      <c r="E3668">
        <v>0</v>
      </c>
      <c r="F3668">
        <v>10</v>
      </c>
      <c r="I3668">
        <v>19</v>
      </c>
      <c r="J3668">
        <v>0</v>
      </c>
      <c r="M3668" t="s">
        <v>3786</v>
      </c>
    </row>
    <row r="3669" spans="1:13" ht="15" customHeight="1">
      <c r="A3669" s="10">
        <v>46207</v>
      </c>
      <c r="B3669" t="s">
        <v>1</v>
      </c>
      <c r="C3669" t="s">
        <v>234</v>
      </c>
      <c r="D3669">
        <v>47</v>
      </c>
      <c r="E3669">
        <v>0</v>
      </c>
      <c r="F3669">
        <v>45</v>
      </c>
      <c r="I3669">
        <v>92</v>
      </c>
      <c r="J3669">
        <v>0</v>
      </c>
      <c r="M3669" t="s">
        <v>3787</v>
      </c>
    </row>
    <row r="3670" spans="1:13" ht="15" customHeight="1">
      <c r="A3670" s="10">
        <v>46207</v>
      </c>
      <c r="B3670" t="s">
        <v>1</v>
      </c>
      <c r="C3670" t="s">
        <v>54</v>
      </c>
      <c r="D3670">
        <v>0</v>
      </c>
      <c r="E3670">
        <v>0</v>
      </c>
      <c r="I3670">
        <v>0</v>
      </c>
      <c r="J3670">
        <v>0</v>
      </c>
      <c r="M3670" t="s">
        <v>3788</v>
      </c>
    </row>
    <row r="3671" spans="1:13" ht="15" customHeight="1">
      <c r="A3671" s="10">
        <v>46207</v>
      </c>
      <c r="B3671" t="s">
        <v>1</v>
      </c>
      <c r="C3671" t="s">
        <v>237</v>
      </c>
      <c r="D3671">
        <v>7</v>
      </c>
      <c r="E3671">
        <v>0</v>
      </c>
      <c r="I3671">
        <v>7</v>
      </c>
      <c r="J3671">
        <v>0</v>
      </c>
      <c r="M3671" t="s">
        <v>3789</v>
      </c>
    </row>
    <row r="3672" spans="1:13" ht="15" customHeight="1">
      <c r="A3672" s="10">
        <v>46207</v>
      </c>
      <c r="B3672" t="s">
        <v>1</v>
      </c>
      <c r="C3672" s="135" t="s">
        <v>58</v>
      </c>
      <c r="D3672">
        <v>0</v>
      </c>
      <c r="E3672">
        <v>0</v>
      </c>
      <c r="F3672">
        <v>6</v>
      </c>
      <c r="H3672">
        <v>2</v>
      </c>
      <c r="I3672">
        <v>4</v>
      </c>
      <c r="J3672">
        <v>0</v>
      </c>
      <c r="M3672" t="s">
        <v>3790</v>
      </c>
    </row>
    <row r="3673" spans="1:13" ht="15" customHeight="1">
      <c r="A3673" s="10">
        <v>46207</v>
      </c>
      <c r="B3673" t="s">
        <v>1</v>
      </c>
      <c r="C3673" s="135" t="s">
        <v>60</v>
      </c>
      <c r="D3673">
        <v>4</v>
      </c>
      <c r="E3673">
        <v>0</v>
      </c>
      <c r="I3673">
        <v>4</v>
      </c>
      <c r="J3673">
        <v>0</v>
      </c>
      <c r="M3673" t="s">
        <v>3791</v>
      </c>
    </row>
    <row r="3674" spans="1:13" ht="15" customHeight="1">
      <c r="A3674" s="10">
        <v>46207</v>
      </c>
      <c r="B3674" t="s">
        <v>1</v>
      </c>
      <c r="C3674" s="135" t="s">
        <v>61</v>
      </c>
      <c r="D3674">
        <v>0</v>
      </c>
      <c r="E3674">
        <v>0</v>
      </c>
      <c r="F3674">
        <v>3</v>
      </c>
      <c r="H3674">
        <v>2</v>
      </c>
      <c r="I3674">
        <v>1</v>
      </c>
      <c r="J3674">
        <v>0</v>
      </c>
      <c r="M3674" t="s">
        <v>3792</v>
      </c>
    </row>
    <row r="3675" spans="1:13" ht="15" customHeight="1">
      <c r="A3675" s="10">
        <v>46207</v>
      </c>
      <c r="B3675" t="s">
        <v>1</v>
      </c>
      <c r="C3675" s="135" t="s">
        <v>62</v>
      </c>
      <c r="D3675">
        <v>0</v>
      </c>
      <c r="E3675">
        <v>0</v>
      </c>
      <c r="F3675">
        <v>3</v>
      </c>
      <c r="I3675">
        <v>3</v>
      </c>
      <c r="J3675">
        <v>0</v>
      </c>
      <c r="M3675" t="s">
        <v>3793</v>
      </c>
    </row>
    <row r="3676" spans="1:13" ht="15" customHeight="1">
      <c r="A3676" s="10">
        <v>46207</v>
      </c>
      <c r="B3676" t="s">
        <v>1</v>
      </c>
      <c r="C3676" s="135" t="s">
        <v>63</v>
      </c>
      <c r="D3676">
        <v>3</v>
      </c>
      <c r="E3676">
        <v>0</v>
      </c>
      <c r="F3676">
        <v>3</v>
      </c>
      <c r="I3676">
        <v>6</v>
      </c>
      <c r="J3676">
        <v>0</v>
      </c>
      <c r="M3676" t="s">
        <v>3794</v>
      </c>
    </row>
    <row r="3677" spans="1:13" ht="15" customHeight="1">
      <c r="A3677" s="10">
        <v>46207</v>
      </c>
      <c r="B3677" t="s">
        <v>1</v>
      </c>
      <c r="C3677" s="135" t="s">
        <v>64</v>
      </c>
      <c r="D3677">
        <v>0</v>
      </c>
      <c r="E3677">
        <v>0</v>
      </c>
      <c r="F3677">
        <v>6</v>
      </c>
      <c r="I3677">
        <v>6</v>
      </c>
      <c r="J3677">
        <v>0</v>
      </c>
      <c r="M3677" t="s">
        <v>3795</v>
      </c>
    </row>
    <row r="3678" spans="1:13" ht="15" customHeight="1">
      <c r="A3678" s="10">
        <v>46207</v>
      </c>
      <c r="B3678" t="s">
        <v>1</v>
      </c>
      <c r="C3678" t="s">
        <v>66</v>
      </c>
      <c r="D3678">
        <v>4</v>
      </c>
      <c r="E3678">
        <v>0</v>
      </c>
      <c r="I3678">
        <v>4</v>
      </c>
      <c r="J3678">
        <v>0</v>
      </c>
      <c r="M3678" t="s">
        <v>3796</v>
      </c>
    </row>
    <row r="3679" spans="1:13" ht="15" customHeight="1">
      <c r="A3679" s="10">
        <v>46207</v>
      </c>
      <c r="B3679" t="s">
        <v>1</v>
      </c>
      <c r="C3679" t="s">
        <v>67</v>
      </c>
      <c r="D3679">
        <v>7</v>
      </c>
      <c r="E3679">
        <v>0</v>
      </c>
      <c r="I3679">
        <v>7</v>
      </c>
      <c r="J3679">
        <v>0</v>
      </c>
      <c r="M3679" t="s">
        <v>3797</v>
      </c>
    </row>
    <row r="3680" spans="1:13" ht="15" customHeight="1">
      <c r="A3680" s="10">
        <v>46207</v>
      </c>
      <c r="B3680" t="s">
        <v>1</v>
      </c>
      <c r="C3680" t="s">
        <v>68</v>
      </c>
      <c r="D3680">
        <v>0</v>
      </c>
      <c r="E3680">
        <v>0</v>
      </c>
      <c r="I3680">
        <v>0</v>
      </c>
      <c r="J3680">
        <v>0</v>
      </c>
      <c r="M3680" t="s">
        <v>3798</v>
      </c>
    </row>
    <row r="3681" spans="1:13" ht="15" customHeight="1">
      <c r="A3681" s="10">
        <v>46207</v>
      </c>
      <c r="B3681" t="s">
        <v>1</v>
      </c>
      <c r="C3681" t="s">
        <v>71</v>
      </c>
      <c r="D3681">
        <v>1</v>
      </c>
      <c r="E3681">
        <v>608</v>
      </c>
      <c r="I3681">
        <v>1</v>
      </c>
      <c r="J3681">
        <v>593</v>
      </c>
      <c r="M3681" t="s">
        <v>3799</v>
      </c>
    </row>
    <row r="3682" spans="1:13" ht="15" customHeight="1">
      <c r="A3682" s="10">
        <v>46207</v>
      </c>
      <c r="B3682" t="s">
        <v>1</v>
      </c>
      <c r="C3682" t="s">
        <v>73</v>
      </c>
      <c r="D3682">
        <v>0</v>
      </c>
      <c r="E3682">
        <v>220</v>
      </c>
      <c r="F3682">
        <v>1</v>
      </c>
      <c r="I3682">
        <v>1</v>
      </c>
      <c r="J3682">
        <v>220</v>
      </c>
      <c r="M3682" t="s">
        <v>3800</v>
      </c>
    </row>
    <row r="3683" spans="1:13" ht="15" customHeight="1">
      <c r="A3683" s="10">
        <v>46207</v>
      </c>
      <c r="B3683" t="s">
        <v>1</v>
      </c>
      <c r="C3683" t="s">
        <v>75</v>
      </c>
      <c r="D3683">
        <v>0</v>
      </c>
      <c r="E3683">
        <v>160</v>
      </c>
      <c r="F3683">
        <v>1</v>
      </c>
      <c r="I3683">
        <v>1</v>
      </c>
      <c r="J3683">
        <v>160</v>
      </c>
      <c r="M3683" t="s">
        <v>3801</v>
      </c>
    </row>
    <row r="3684" spans="1:13" ht="15" customHeight="1">
      <c r="A3684" s="10">
        <v>46207</v>
      </c>
      <c r="B3684" t="s">
        <v>1</v>
      </c>
      <c r="C3684" t="s">
        <v>77</v>
      </c>
      <c r="D3684">
        <v>0</v>
      </c>
      <c r="E3684">
        <v>745</v>
      </c>
      <c r="I3684">
        <v>0</v>
      </c>
      <c r="J3684">
        <v>745</v>
      </c>
      <c r="M3684" t="s">
        <v>3802</v>
      </c>
    </row>
    <row r="3685" spans="1:13" ht="15" customHeight="1">
      <c r="A3685" s="10">
        <v>46207</v>
      </c>
      <c r="B3685" t="s">
        <v>1</v>
      </c>
      <c r="C3685" t="s">
        <v>79</v>
      </c>
      <c r="D3685">
        <v>1</v>
      </c>
      <c r="E3685">
        <v>890</v>
      </c>
      <c r="I3685">
        <v>1</v>
      </c>
      <c r="J3685">
        <v>890</v>
      </c>
      <c r="M3685" t="s">
        <v>3803</v>
      </c>
    </row>
    <row r="3686" spans="1:13" ht="15" customHeight="1">
      <c r="A3686" s="10">
        <v>46207</v>
      </c>
      <c r="B3686" t="s">
        <v>1</v>
      </c>
      <c r="C3686" t="s">
        <v>81</v>
      </c>
      <c r="D3686">
        <v>1</v>
      </c>
      <c r="E3686">
        <v>137</v>
      </c>
      <c r="I3686">
        <v>1</v>
      </c>
      <c r="J3686">
        <v>134</v>
      </c>
      <c r="M3686" t="s">
        <v>3804</v>
      </c>
    </row>
    <row r="3687" spans="1:13" ht="15" customHeight="1">
      <c r="A3687" s="10">
        <v>46207</v>
      </c>
      <c r="B3687" t="s">
        <v>1</v>
      </c>
      <c r="C3687" t="s">
        <v>83</v>
      </c>
      <c r="D3687">
        <v>1</v>
      </c>
      <c r="E3687">
        <v>55</v>
      </c>
      <c r="I3687">
        <v>1</v>
      </c>
      <c r="J3687">
        <v>55</v>
      </c>
      <c r="M3687" t="s">
        <v>3805</v>
      </c>
    </row>
    <row r="3688" spans="1:13" ht="15" customHeight="1">
      <c r="A3688" s="10">
        <v>46207</v>
      </c>
      <c r="B3688" t="s">
        <v>1</v>
      </c>
      <c r="C3688" t="s">
        <v>84</v>
      </c>
      <c r="D3688">
        <v>1</v>
      </c>
      <c r="E3688">
        <v>52</v>
      </c>
      <c r="I3688">
        <v>1</v>
      </c>
      <c r="J3688">
        <v>52</v>
      </c>
      <c r="M3688" t="s">
        <v>3806</v>
      </c>
    </row>
    <row r="3689" spans="1:13" ht="15" customHeight="1">
      <c r="A3689" s="10">
        <v>46207</v>
      </c>
      <c r="B3689" t="s">
        <v>1</v>
      </c>
      <c r="C3689" t="s">
        <v>85</v>
      </c>
      <c r="D3689">
        <v>0</v>
      </c>
      <c r="E3689">
        <v>120</v>
      </c>
      <c r="I3689">
        <v>0</v>
      </c>
      <c r="J3689">
        <v>120</v>
      </c>
      <c r="M3689" t="s">
        <v>3807</v>
      </c>
    </row>
    <row r="3690" spans="1:13" ht="15" customHeight="1">
      <c r="A3690" s="10">
        <v>46207</v>
      </c>
      <c r="B3690" t="s">
        <v>1</v>
      </c>
      <c r="C3690" t="s">
        <v>87</v>
      </c>
      <c r="D3690">
        <v>2</v>
      </c>
      <c r="E3690">
        <v>280</v>
      </c>
      <c r="I3690">
        <v>2</v>
      </c>
      <c r="J3690">
        <v>280</v>
      </c>
      <c r="M3690" t="s">
        <v>3808</v>
      </c>
    </row>
    <row r="3691" spans="1:13" ht="15" customHeight="1">
      <c r="A3691" s="10">
        <v>46207</v>
      </c>
      <c r="B3691" t="s">
        <v>1</v>
      </c>
      <c r="C3691" t="s">
        <v>88</v>
      </c>
      <c r="D3691">
        <v>1</v>
      </c>
      <c r="E3691">
        <v>210</v>
      </c>
      <c r="I3691">
        <v>1</v>
      </c>
      <c r="J3691">
        <v>210</v>
      </c>
      <c r="M3691" t="s">
        <v>3809</v>
      </c>
    </row>
    <row r="3692" spans="1:13" ht="15" customHeight="1">
      <c r="A3692" s="10">
        <v>46207</v>
      </c>
      <c r="B3692" t="s">
        <v>1</v>
      </c>
      <c r="C3692" t="s">
        <v>89</v>
      </c>
      <c r="D3692">
        <v>1</v>
      </c>
      <c r="E3692">
        <v>95</v>
      </c>
      <c r="I3692">
        <v>1</v>
      </c>
      <c r="J3692">
        <v>95</v>
      </c>
      <c r="M3692" t="s">
        <v>3810</v>
      </c>
    </row>
    <row r="3693" spans="1:13" ht="15" customHeight="1">
      <c r="A3693" s="10">
        <v>46207</v>
      </c>
      <c r="B3693" t="s">
        <v>1</v>
      </c>
      <c r="C3693" t="s">
        <v>90</v>
      </c>
      <c r="D3693">
        <v>1</v>
      </c>
      <c r="E3693">
        <v>587</v>
      </c>
      <c r="I3693">
        <v>1</v>
      </c>
      <c r="J3693">
        <v>587</v>
      </c>
      <c r="M3693" t="s">
        <v>3811</v>
      </c>
    </row>
    <row r="3694" spans="1:13" ht="15" customHeight="1">
      <c r="A3694" s="10">
        <v>46207</v>
      </c>
      <c r="B3694" t="s">
        <v>1</v>
      </c>
      <c r="C3694" t="s">
        <v>92</v>
      </c>
      <c r="D3694">
        <v>1</v>
      </c>
      <c r="E3694">
        <v>700</v>
      </c>
      <c r="I3694">
        <v>1</v>
      </c>
      <c r="J3694">
        <v>700</v>
      </c>
      <c r="M3694" t="s">
        <v>3812</v>
      </c>
    </row>
    <row r="3695" spans="1:13" ht="15" customHeight="1">
      <c r="A3695" s="10">
        <v>46207</v>
      </c>
      <c r="B3695" t="s">
        <v>1</v>
      </c>
      <c r="C3695" t="s">
        <v>94</v>
      </c>
      <c r="D3695">
        <v>2</v>
      </c>
      <c r="E3695">
        <v>39</v>
      </c>
      <c r="F3695">
        <v>2</v>
      </c>
      <c r="I3695">
        <v>4</v>
      </c>
      <c r="J3695">
        <v>39</v>
      </c>
      <c r="M3695" t="s">
        <v>3813</v>
      </c>
    </row>
    <row r="3696" spans="1:13" ht="15" customHeight="1">
      <c r="A3696" s="10">
        <v>46207</v>
      </c>
      <c r="B3696" t="s">
        <v>1</v>
      </c>
      <c r="C3696" t="s">
        <v>98</v>
      </c>
      <c r="D3696">
        <v>0</v>
      </c>
      <c r="E3696">
        <v>0</v>
      </c>
      <c r="F3696">
        <v>3</v>
      </c>
      <c r="I3696">
        <v>3</v>
      </c>
      <c r="M3696" t="s">
        <v>3814</v>
      </c>
    </row>
    <row r="3697" spans="1:13" ht="15" customHeight="1">
      <c r="A3697" s="10">
        <v>46207</v>
      </c>
      <c r="B3697" t="s">
        <v>1</v>
      </c>
      <c r="C3697" t="s">
        <v>203</v>
      </c>
      <c r="D3697">
        <v>1</v>
      </c>
      <c r="E3697">
        <v>145</v>
      </c>
      <c r="I3697">
        <v>1</v>
      </c>
      <c r="J3697">
        <v>145</v>
      </c>
      <c r="M3697" t="s">
        <v>3815</v>
      </c>
    </row>
    <row r="3698" spans="1:13" ht="15" customHeight="1">
      <c r="A3698" s="10">
        <v>46207</v>
      </c>
      <c r="B3698" t="s">
        <v>1</v>
      </c>
      <c r="C3698" t="s">
        <v>100</v>
      </c>
      <c r="D3698">
        <v>0</v>
      </c>
      <c r="E3698">
        <v>0</v>
      </c>
      <c r="I3698">
        <v>0</v>
      </c>
      <c r="J3698">
        <v>0</v>
      </c>
      <c r="M3698" t="s">
        <v>3816</v>
      </c>
    </row>
    <row r="3699" spans="1:13" ht="15" customHeight="1">
      <c r="A3699" s="10">
        <v>46207</v>
      </c>
      <c r="B3699" t="s">
        <v>1</v>
      </c>
      <c r="C3699" t="s">
        <v>101</v>
      </c>
      <c r="D3699">
        <v>0</v>
      </c>
      <c r="E3699">
        <v>361</v>
      </c>
      <c r="I3699">
        <v>0</v>
      </c>
      <c r="J3699">
        <v>361</v>
      </c>
      <c r="M3699" t="s">
        <v>3817</v>
      </c>
    </row>
    <row r="3700" spans="1:13" ht="15" customHeight="1">
      <c r="A3700" s="10">
        <v>46207</v>
      </c>
      <c r="B3700" t="s">
        <v>1</v>
      </c>
      <c r="C3700" t="s">
        <v>103</v>
      </c>
      <c r="D3700">
        <v>0</v>
      </c>
      <c r="E3700">
        <v>0</v>
      </c>
      <c r="I3700">
        <v>0</v>
      </c>
      <c r="J3700">
        <v>0</v>
      </c>
      <c r="M3700" t="s">
        <v>3818</v>
      </c>
    </row>
    <row r="3701" spans="1:13" ht="15" customHeight="1">
      <c r="A3701" s="10">
        <v>46207</v>
      </c>
      <c r="B3701" t="s">
        <v>1</v>
      </c>
      <c r="C3701" t="s">
        <v>106</v>
      </c>
      <c r="D3701">
        <v>1</v>
      </c>
      <c r="E3701">
        <v>716</v>
      </c>
      <c r="I3701">
        <v>1</v>
      </c>
      <c r="J3701">
        <v>716</v>
      </c>
      <c r="M3701" t="s">
        <v>3819</v>
      </c>
    </row>
    <row r="3702" spans="1:13" ht="15" customHeight="1">
      <c r="A3702" s="10">
        <v>46207</v>
      </c>
      <c r="B3702" t="s">
        <v>1</v>
      </c>
      <c r="C3702" t="s">
        <v>108</v>
      </c>
      <c r="D3702">
        <v>1</v>
      </c>
      <c r="E3702">
        <v>161</v>
      </c>
      <c r="I3702">
        <v>1</v>
      </c>
      <c r="J3702">
        <v>161</v>
      </c>
      <c r="M3702" t="s">
        <v>3820</v>
      </c>
    </row>
    <row r="3703" spans="1:13" ht="15" customHeight="1">
      <c r="A3703" s="10">
        <v>46207</v>
      </c>
      <c r="B3703" t="s">
        <v>1</v>
      </c>
      <c r="C3703" t="s">
        <v>109</v>
      </c>
      <c r="D3703">
        <v>0</v>
      </c>
      <c r="E3703">
        <v>783</v>
      </c>
      <c r="F3703">
        <v>1</v>
      </c>
      <c r="I3703">
        <v>1</v>
      </c>
      <c r="J3703">
        <v>783</v>
      </c>
      <c r="M3703" t="s">
        <v>3821</v>
      </c>
    </row>
    <row r="3704" spans="1:13" ht="15" customHeight="1">
      <c r="A3704" s="10">
        <v>46207</v>
      </c>
      <c r="B3704" t="s">
        <v>1</v>
      </c>
      <c r="C3704" t="s">
        <v>112</v>
      </c>
      <c r="D3704">
        <v>1</v>
      </c>
      <c r="E3704">
        <v>23</v>
      </c>
      <c r="I3704">
        <v>1</v>
      </c>
      <c r="J3704">
        <v>22</v>
      </c>
      <c r="M3704" t="s">
        <v>3822</v>
      </c>
    </row>
    <row r="3705" spans="1:13" ht="15" customHeight="1">
      <c r="A3705" s="10">
        <v>46207</v>
      </c>
      <c r="B3705" t="s">
        <v>1</v>
      </c>
      <c r="C3705" t="s">
        <v>114</v>
      </c>
      <c r="D3705">
        <v>2</v>
      </c>
      <c r="E3705">
        <v>20</v>
      </c>
      <c r="I3705">
        <v>2</v>
      </c>
      <c r="J3705">
        <v>20</v>
      </c>
      <c r="M3705" t="s">
        <v>3823</v>
      </c>
    </row>
    <row r="3706" spans="1:13" ht="15" customHeight="1">
      <c r="A3706" s="10">
        <v>46207</v>
      </c>
      <c r="B3706" t="s">
        <v>1</v>
      </c>
      <c r="C3706" t="s">
        <v>115</v>
      </c>
      <c r="D3706">
        <v>0</v>
      </c>
      <c r="E3706">
        <v>42</v>
      </c>
      <c r="F3706">
        <v>1</v>
      </c>
      <c r="I3706">
        <v>1</v>
      </c>
      <c r="J3706">
        <v>42</v>
      </c>
      <c r="M3706" t="s">
        <v>3824</v>
      </c>
    </row>
    <row r="3707" spans="1:13" ht="15" customHeight="1">
      <c r="A3707" s="10">
        <v>46207</v>
      </c>
      <c r="B3707" t="s">
        <v>1</v>
      </c>
      <c r="C3707" t="s">
        <v>116</v>
      </c>
      <c r="D3707">
        <v>1</v>
      </c>
      <c r="E3707">
        <v>44</v>
      </c>
      <c r="F3707">
        <v>1</v>
      </c>
      <c r="I3707">
        <v>2</v>
      </c>
      <c r="J3707">
        <v>44</v>
      </c>
      <c r="M3707" t="s">
        <v>3825</v>
      </c>
    </row>
    <row r="3708" spans="1:13" ht="15" customHeight="1">
      <c r="A3708" s="10">
        <v>46207</v>
      </c>
      <c r="B3708" t="s">
        <v>1</v>
      </c>
      <c r="C3708" t="s">
        <v>119</v>
      </c>
      <c r="D3708">
        <v>2</v>
      </c>
      <c r="E3708">
        <v>0</v>
      </c>
      <c r="I3708">
        <v>2</v>
      </c>
      <c r="M3708" t="s">
        <v>3826</v>
      </c>
    </row>
    <row r="3709" spans="1:13" ht="15" customHeight="1">
      <c r="A3709" s="10">
        <v>46207</v>
      </c>
      <c r="B3709" t="s">
        <v>1</v>
      </c>
      <c r="C3709" t="s">
        <v>120</v>
      </c>
      <c r="D3709">
        <v>1</v>
      </c>
      <c r="E3709">
        <v>0</v>
      </c>
      <c r="F3709">
        <v>1</v>
      </c>
      <c r="I3709">
        <v>2</v>
      </c>
      <c r="M3709" t="s">
        <v>3827</v>
      </c>
    </row>
    <row r="3710" spans="1:13" ht="15" customHeight="1">
      <c r="A3710" s="10">
        <v>46207</v>
      </c>
      <c r="B3710" t="s">
        <v>1</v>
      </c>
      <c r="C3710" t="s">
        <v>121</v>
      </c>
      <c r="D3710">
        <v>1</v>
      </c>
      <c r="E3710">
        <v>0</v>
      </c>
      <c r="F3710">
        <v>1</v>
      </c>
      <c r="I3710">
        <v>2</v>
      </c>
      <c r="M3710" t="s">
        <v>3828</v>
      </c>
    </row>
    <row r="3711" spans="1:13" ht="15" customHeight="1">
      <c r="A3711" s="10">
        <v>46207</v>
      </c>
      <c r="B3711" t="s">
        <v>1</v>
      </c>
      <c r="C3711" t="s">
        <v>123</v>
      </c>
      <c r="D3711">
        <v>1</v>
      </c>
      <c r="E3711">
        <v>0</v>
      </c>
      <c r="I3711">
        <v>1</v>
      </c>
      <c r="M3711" t="s">
        <v>3829</v>
      </c>
    </row>
    <row r="3712" spans="1:13" ht="15" customHeight="1">
      <c r="A3712" s="10">
        <v>46207</v>
      </c>
      <c r="B3712" t="s">
        <v>1</v>
      </c>
      <c r="C3712" t="s">
        <v>124</v>
      </c>
      <c r="D3712">
        <v>2</v>
      </c>
      <c r="E3712">
        <v>0</v>
      </c>
      <c r="I3712">
        <v>2</v>
      </c>
      <c r="M3712" t="s">
        <v>3830</v>
      </c>
    </row>
    <row r="3713" spans="1:13" ht="15" customHeight="1">
      <c r="A3713" s="10">
        <v>46207</v>
      </c>
      <c r="B3713" t="s">
        <v>1</v>
      </c>
      <c r="C3713" t="s">
        <v>125</v>
      </c>
      <c r="D3713">
        <v>2</v>
      </c>
      <c r="E3713">
        <v>0</v>
      </c>
      <c r="I3713">
        <v>2</v>
      </c>
      <c r="M3713" t="s">
        <v>3831</v>
      </c>
    </row>
    <row r="3714" spans="1:13" ht="15" customHeight="1">
      <c r="A3714" s="10">
        <v>46207</v>
      </c>
      <c r="B3714" t="s">
        <v>1</v>
      </c>
      <c r="C3714" t="s">
        <v>126</v>
      </c>
      <c r="D3714">
        <v>2</v>
      </c>
      <c r="E3714">
        <v>0</v>
      </c>
      <c r="I3714">
        <v>2</v>
      </c>
      <c r="M3714" t="s">
        <v>3832</v>
      </c>
    </row>
    <row r="3715" spans="1:13" ht="15" customHeight="1">
      <c r="A3715" s="10">
        <v>46207</v>
      </c>
      <c r="B3715" t="s">
        <v>1</v>
      </c>
      <c r="C3715" t="s">
        <v>128</v>
      </c>
      <c r="D3715">
        <v>3</v>
      </c>
      <c r="E3715">
        <v>0</v>
      </c>
      <c r="I3715">
        <v>3</v>
      </c>
      <c r="M3715" t="s">
        <v>3833</v>
      </c>
    </row>
    <row r="3716" spans="1:13" ht="15" customHeight="1">
      <c r="A3716" s="10">
        <v>46207</v>
      </c>
      <c r="B3716" t="s">
        <v>1</v>
      </c>
      <c r="C3716" t="s">
        <v>130</v>
      </c>
      <c r="D3716">
        <v>5</v>
      </c>
      <c r="E3716">
        <v>0</v>
      </c>
      <c r="I3716">
        <v>5</v>
      </c>
      <c r="M3716" t="s">
        <v>3834</v>
      </c>
    </row>
    <row r="3717" spans="1:13" ht="15" customHeight="1">
      <c r="A3717" s="10">
        <v>46207</v>
      </c>
      <c r="B3717" t="s">
        <v>1</v>
      </c>
      <c r="C3717" t="s">
        <v>285</v>
      </c>
      <c r="D3717">
        <v>2</v>
      </c>
      <c r="E3717">
        <v>0</v>
      </c>
      <c r="I3717">
        <v>2</v>
      </c>
      <c r="M3717" t="s">
        <v>3835</v>
      </c>
    </row>
    <row r="3718" spans="1:13" ht="15" customHeight="1">
      <c r="A3718" s="10">
        <v>46207</v>
      </c>
      <c r="B3718" t="s">
        <v>1</v>
      </c>
      <c r="C3718" t="s">
        <v>287</v>
      </c>
      <c r="D3718">
        <v>2</v>
      </c>
      <c r="E3718">
        <v>0</v>
      </c>
      <c r="I3718">
        <v>2</v>
      </c>
      <c r="M3718" t="s">
        <v>3836</v>
      </c>
    </row>
    <row r="3719" spans="1:13" ht="15" customHeight="1">
      <c r="A3719" s="10">
        <v>46207</v>
      </c>
      <c r="B3719" t="s">
        <v>1</v>
      </c>
      <c r="C3719" t="s">
        <v>289</v>
      </c>
      <c r="D3719">
        <v>2</v>
      </c>
      <c r="E3719">
        <v>0</v>
      </c>
      <c r="I3719">
        <v>2</v>
      </c>
      <c r="M3719" t="s">
        <v>3837</v>
      </c>
    </row>
    <row r="3720" spans="1:13" ht="15" customHeight="1">
      <c r="A3720" s="10">
        <v>46207</v>
      </c>
      <c r="B3720" t="s">
        <v>1</v>
      </c>
      <c r="C3720" t="s">
        <v>291</v>
      </c>
      <c r="D3720">
        <v>2</v>
      </c>
      <c r="E3720">
        <v>0</v>
      </c>
      <c r="I3720">
        <v>2</v>
      </c>
      <c r="M3720" t="s">
        <v>3838</v>
      </c>
    </row>
    <row r="3721" spans="1:13" ht="15" customHeight="1">
      <c r="A3721" s="10">
        <v>46207</v>
      </c>
      <c r="B3721" t="s">
        <v>1</v>
      </c>
      <c r="C3721" t="s">
        <v>293</v>
      </c>
      <c r="D3721">
        <v>3</v>
      </c>
      <c r="E3721">
        <v>0</v>
      </c>
      <c r="I3721">
        <v>3</v>
      </c>
      <c r="M3721" t="s">
        <v>3839</v>
      </c>
    </row>
    <row r="3722" spans="1:13" ht="15" customHeight="1">
      <c r="A3722" s="10">
        <v>46207</v>
      </c>
      <c r="B3722" t="s">
        <v>1</v>
      </c>
      <c r="C3722" s="135" t="s">
        <v>138</v>
      </c>
      <c r="D3722">
        <v>0</v>
      </c>
      <c r="E3722">
        <v>39</v>
      </c>
      <c r="I3722">
        <v>0</v>
      </c>
      <c r="J3722">
        <v>38</v>
      </c>
      <c r="M3722" t="s">
        <v>3840</v>
      </c>
    </row>
    <row r="3723" spans="1:13" ht="15" customHeight="1">
      <c r="A3723" s="10">
        <v>46207</v>
      </c>
      <c r="B3723" t="s">
        <v>1</v>
      </c>
      <c r="C3723" s="135" t="s">
        <v>139</v>
      </c>
      <c r="D3723">
        <v>0</v>
      </c>
      <c r="E3723">
        <v>20</v>
      </c>
      <c r="G3723">
        <v>20</v>
      </c>
      <c r="I3723">
        <v>0</v>
      </c>
      <c r="J3723">
        <v>35</v>
      </c>
      <c r="M3723" t="s">
        <v>3841</v>
      </c>
    </row>
    <row r="3724" spans="1:13" ht="15" customHeight="1">
      <c r="A3724" s="10">
        <v>46207</v>
      </c>
      <c r="B3724" t="s">
        <v>1</v>
      </c>
      <c r="C3724" s="135" t="s">
        <v>140</v>
      </c>
      <c r="D3724">
        <v>0</v>
      </c>
      <c r="E3724">
        <v>34</v>
      </c>
      <c r="I3724">
        <v>0</v>
      </c>
      <c r="J3724">
        <v>30</v>
      </c>
      <c r="M3724" t="s">
        <v>3842</v>
      </c>
    </row>
    <row r="3725" spans="1:13" ht="15" customHeight="1">
      <c r="A3725" s="10">
        <v>46207</v>
      </c>
      <c r="B3725" t="s">
        <v>1</v>
      </c>
      <c r="C3725" s="135" t="s">
        <v>141</v>
      </c>
      <c r="D3725">
        <v>0</v>
      </c>
      <c r="E3725">
        <v>1</v>
      </c>
      <c r="I3725">
        <v>0</v>
      </c>
      <c r="J3725">
        <v>1</v>
      </c>
      <c r="M3725" t="s">
        <v>3843</v>
      </c>
    </row>
    <row r="3726" spans="1:13" ht="15" customHeight="1">
      <c r="A3726" s="10">
        <v>46207</v>
      </c>
      <c r="B3726" t="s">
        <v>1</v>
      </c>
      <c r="C3726" s="135" t="s">
        <v>143</v>
      </c>
      <c r="D3726">
        <v>0</v>
      </c>
      <c r="E3726">
        <v>50</v>
      </c>
      <c r="G3726">
        <v>50</v>
      </c>
      <c r="I3726">
        <v>0</v>
      </c>
      <c r="J3726">
        <v>50</v>
      </c>
      <c r="M3726" t="s">
        <v>3844</v>
      </c>
    </row>
    <row r="3727" spans="1:13" ht="15" customHeight="1">
      <c r="A3727" s="10">
        <v>46207</v>
      </c>
      <c r="B3727" t="s">
        <v>1</v>
      </c>
      <c r="C3727" s="135" t="s">
        <v>145</v>
      </c>
      <c r="D3727">
        <v>0</v>
      </c>
      <c r="E3727">
        <v>39</v>
      </c>
      <c r="G3727">
        <v>30</v>
      </c>
      <c r="I3727">
        <v>0</v>
      </c>
      <c r="J3727">
        <v>69</v>
      </c>
      <c r="M3727" t="s">
        <v>3845</v>
      </c>
    </row>
    <row r="3728" spans="1:13" ht="15" customHeight="1">
      <c r="A3728" s="10">
        <v>46207</v>
      </c>
      <c r="B3728" t="s">
        <v>1</v>
      </c>
      <c r="C3728" s="135" t="s">
        <v>147</v>
      </c>
      <c r="D3728">
        <v>0</v>
      </c>
      <c r="E3728">
        <v>27</v>
      </c>
      <c r="I3728">
        <v>0</v>
      </c>
      <c r="J3728">
        <v>27</v>
      </c>
      <c r="M3728" t="s">
        <v>3846</v>
      </c>
    </row>
    <row r="3729" spans="1:13" ht="15" customHeight="1">
      <c r="A3729" s="10">
        <v>46207</v>
      </c>
      <c r="B3729" t="s">
        <v>1</v>
      </c>
      <c r="C3729" t="s">
        <v>302</v>
      </c>
      <c r="D3729">
        <v>2</v>
      </c>
      <c r="E3729">
        <v>0</v>
      </c>
      <c r="I3729">
        <v>2</v>
      </c>
      <c r="M3729" t="s">
        <v>3847</v>
      </c>
    </row>
    <row r="3730" spans="1:13" ht="15" customHeight="1">
      <c r="A3730" s="10">
        <v>46207</v>
      </c>
      <c r="B3730" t="s">
        <v>1</v>
      </c>
      <c r="C3730" t="s">
        <v>150</v>
      </c>
      <c r="D3730">
        <v>2</v>
      </c>
      <c r="E3730">
        <v>0</v>
      </c>
      <c r="I3730">
        <v>2</v>
      </c>
      <c r="M3730" t="s">
        <v>3848</v>
      </c>
    </row>
    <row r="3731" spans="1:13" ht="15" customHeight="1">
      <c r="A3731" s="10">
        <v>46207</v>
      </c>
      <c r="B3731" t="s">
        <v>1</v>
      </c>
      <c r="C3731" t="s">
        <v>151</v>
      </c>
      <c r="D3731">
        <v>2</v>
      </c>
      <c r="E3731">
        <v>0</v>
      </c>
      <c r="I3731">
        <v>2</v>
      </c>
      <c r="M3731" t="s">
        <v>3849</v>
      </c>
    </row>
    <row r="3732" spans="1:13" ht="15" customHeight="1">
      <c r="A3732" s="10">
        <v>46207</v>
      </c>
      <c r="B3732" t="s">
        <v>1</v>
      </c>
      <c r="C3732" t="s">
        <v>152</v>
      </c>
      <c r="D3732">
        <v>2</v>
      </c>
      <c r="E3732">
        <v>0</v>
      </c>
      <c r="I3732">
        <v>2</v>
      </c>
      <c r="M3732" t="s">
        <v>3850</v>
      </c>
    </row>
    <row r="3733" spans="1:13" ht="15" customHeight="1">
      <c r="A3733" s="10">
        <v>46207</v>
      </c>
      <c r="B3733" t="s">
        <v>1</v>
      </c>
      <c r="C3733" t="s">
        <v>153</v>
      </c>
      <c r="D3733">
        <v>2</v>
      </c>
      <c r="E3733">
        <v>0</v>
      </c>
      <c r="I3733">
        <v>2</v>
      </c>
      <c r="M3733" t="s">
        <v>3851</v>
      </c>
    </row>
    <row r="3734" spans="1:13" ht="15" customHeight="1">
      <c r="A3734" s="10">
        <v>46207</v>
      </c>
      <c r="B3734" t="s">
        <v>1</v>
      </c>
      <c r="C3734" t="s">
        <v>308</v>
      </c>
      <c r="D3734">
        <v>0</v>
      </c>
      <c r="E3734">
        <v>3</v>
      </c>
      <c r="G3734">
        <v>1</v>
      </c>
      <c r="I3734">
        <v>0</v>
      </c>
      <c r="J3734">
        <v>4</v>
      </c>
      <c r="M3734" t="s">
        <v>3852</v>
      </c>
    </row>
    <row r="3735" spans="1:13" ht="15" customHeight="1">
      <c r="A3735" s="10">
        <v>46207</v>
      </c>
      <c r="B3735" t="s">
        <v>1</v>
      </c>
      <c r="C3735" t="s">
        <v>310</v>
      </c>
      <c r="D3735">
        <v>0</v>
      </c>
      <c r="E3735">
        <v>2</v>
      </c>
      <c r="I3735">
        <v>0</v>
      </c>
      <c r="J3735">
        <v>2</v>
      </c>
      <c r="M3735" t="s">
        <v>3853</v>
      </c>
    </row>
    <row r="3736" spans="1:13" ht="15" customHeight="1">
      <c r="A3736" s="10">
        <v>46207</v>
      </c>
      <c r="B3736" t="s">
        <v>1</v>
      </c>
      <c r="C3736" t="s">
        <v>312</v>
      </c>
      <c r="D3736">
        <v>0</v>
      </c>
      <c r="E3736">
        <v>2</v>
      </c>
      <c r="G3736">
        <v>2</v>
      </c>
      <c r="I3736">
        <v>0</v>
      </c>
      <c r="J3736">
        <v>4</v>
      </c>
      <c r="M3736" t="s">
        <v>3854</v>
      </c>
    </row>
    <row r="3737" spans="1:13" ht="15" customHeight="1">
      <c r="A3737" s="10">
        <v>46207</v>
      </c>
      <c r="B3737" t="s">
        <v>1</v>
      </c>
      <c r="C3737" t="s">
        <v>314</v>
      </c>
      <c r="D3737">
        <v>1</v>
      </c>
      <c r="E3737">
        <v>0</v>
      </c>
      <c r="I3737">
        <v>1</v>
      </c>
      <c r="M3737" t="s">
        <v>3855</v>
      </c>
    </row>
    <row r="3738" spans="1:13" ht="15" customHeight="1">
      <c r="A3738" s="10">
        <v>46207</v>
      </c>
      <c r="B3738" t="s">
        <v>1</v>
      </c>
      <c r="C3738" t="s">
        <v>316</v>
      </c>
      <c r="D3738">
        <v>1</v>
      </c>
      <c r="E3738">
        <v>0</v>
      </c>
      <c r="I3738">
        <v>1</v>
      </c>
      <c r="M3738" t="s">
        <v>3856</v>
      </c>
    </row>
    <row r="3739" spans="1:13" ht="15" customHeight="1">
      <c r="A3739" s="10">
        <v>46207</v>
      </c>
      <c r="B3739" t="s">
        <v>1</v>
      </c>
      <c r="C3739" t="s">
        <v>318</v>
      </c>
      <c r="D3739">
        <v>2</v>
      </c>
      <c r="E3739">
        <v>0</v>
      </c>
      <c r="F3739">
        <v>2</v>
      </c>
      <c r="I3739">
        <v>4</v>
      </c>
      <c r="M3739" t="s">
        <v>3857</v>
      </c>
    </row>
    <row r="3740" spans="1:13" ht="15" customHeight="1">
      <c r="A3740" s="10">
        <v>46207</v>
      </c>
      <c r="B3740" t="s">
        <v>1</v>
      </c>
      <c r="C3740" t="s">
        <v>320</v>
      </c>
      <c r="D3740">
        <v>1</v>
      </c>
      <c r="E3740">
        <v>0</v>
      </c>
      <c r="I3740">
        <v>1</v>
      </c>
      <c r="M3740" t="s">
        <v>3858</v>
      </c>
    </row>
    <row r="3741" spans="1:13" ht="15" customHeight="1">
      <c r="A3741" s="10">
        <v>46207</v>
      </c>
      <c r="B3741" t="s">
        <v>1</v>
      </c>
      <c r="C3741" t="s">
        <v>322</v>
      </c>
      <c r="D3741">
        <v>0</v>
      </c>
      <c r="E3741">
        <v>0</v>
      </c>
      <c r="I3741">
        <v>0</v>
      </c>
      <c r="M3741" t="s">
        <v>3859</v>
      </c>
    </row>
    <row r="3742" spans="1:13" ht="15" customHeight="1">
      <c r="A3742" s="10">
        <v>46207</v>
      </c>
      <c r="B3742" t="s">
        <v>1</v>
      </c>
      <c r="C3742" s="135" t="s">
        <v>168</v>
      </c>
      <c r="D3742">
        <v>1</v>
      </c>
      <c r="E3742">
        <v>0</v>
      </c>
      <c r="I3742">
        <v>1</v>
      </c>
      <c r="M3742" t="s">
        <v>3860</v>
      </c>
    </row>
    <row r="3743" spans="1:13" ht="15" customHeight="1">
      <c r="A3743" s="10">
        <v>46207</v>
      </c>
      <c r="B3743" t="s">
        <v>1</v>
      </c>
      <c r="C3743" s="135" t="s">
        <v>170</v>
      </c>
      <c r="D3743">
        <v>1</v>
      </c>
      <c r="E3743">
        <v>0</v>
      </c>
      <c r="I3743">
        <v>1</v>
      </c>
      <c r="M3743" t="s">
        <v>3861</v>
      </c>
    </row>
    <row r="3744" spans="1:13" ht="15" customHeight="1">
      <c r="A3744" s="10">
        <v>46207</v>
      </c>
      <c r="B3744" t="s">
        <v>1</v>
      </c>
      <c r="C3744" s="135" t="s">
        <v>171</v>
      </c>
      <c r="D3744">
        <v>2</v>
      </c>
      <c r="E3744">
        <v>0</v>
      </c>
      <c r="I3744">
        <v>2</v>
      </c>
      <c r="M3744" t="s">
        <v>3862</v>
      </c>
    </row>
    <row r="3745" spans="1:13" ht="15" customHeight="1">
      <c r="A3745" s="10">
        <v>46207</v>
      </c>
      <c r="B3745" t="s">
        <v>1</v>
      </c>
      <c r="C3745" s="135" t="s">
        <v>172</v>
      </c>
      <c r="D3745">
        <v>1</v>
      </c>
      <c r="E3745">
        <v>0</v>
      </c>
      <c r="I3745">
        <v>1</v>
      </c>
      <c r="M3745" t="s">
        <v>3863</v>
      </c>
    </row>
    <row r="3746" spans="1:13" ht="15" customHeight="1">
      <c r="A3746" s="10">
        <v>46207</v>
      </c>
      <c r="B3746" t="s">
        <v>1</v>
      </c>
      <c r="C3746" s="135" t="s">
        <v>173</v>
      </c>
      <c r="D3746">
        <v>0</v>
      </c>
      <c r="E3746">
        <v>0</v>
      </c>
      <c r="I3746">
        <v>0</v>
      </c>
      <c r="M3746" t="s">
        <v>3864</v>
      </c>
    </row>
    <row r="3747" spans="1:13" ht="15" customHeight="1">
      <c r="A3747" s="10">
        <v>46207</v>
      </c>
      <c r="B3747" t="s">
        <v>1</v>
      </c>
      <c r="C3747" t="s">
        <v>176</v>
      </c>
      <c r="D3747">
        <v>0</v>
      </c>
      <c r="E3747">
        <v>13</v>
      </c>
      <c r="I3747">
        <v>0</v>
      </c>
      <c r="J3747">
        <v>13</v>
      </c>
      <c r="M3747" t="s">
        <v>3865</v>
      </c>
    </row>
    <row r="3748" spans="1:13" ht="15" customHeight="1">
      <c r="A3748" s="10">
        <v>46207</v>
      </c>
      <c r="B3748" t="s">
        <v>1</v>
      </c>
      <c r="C3748" t="s">
        <v>178</v>
      </c>
      <c r="D3748">
        <v>0</v>
      </c>
      <c r="E3748">
        <v>8</v>
      </c>
      <c r="G3748">
        <v>10</v>
      </c>
      <c r="I3748">
        <v>0</v>
      </c>
      <c r="J3748">
        <v>18</v>
      </c>
      <c r="M3748" t="s">
        <v>3866</v>
      </c>
    </row>
    <row r="3749" spans="1:13" ht="15" customHeight="1">
      <c r="A3749" s="10">
        <v>46207</v>
      </c>
      <c r="B3749" t="s">
        <v>1</v>
      </c>
      <c r="C3749" t="s">
        <v>179</v>
      </c>
      <c r="D3749">
        <v>0</v>
      </c>
      <c r="E3749">
        <v>8</v>
      </c>
      <c r="G3749">
        <v>10</v>
      </c>
      <c r="I3749">
        <v>0</v>
      </c>
      <c r="J3749">
        <v>18</v>
      </c>
      <c r="M3749" t="s">
        <v>3867</v>
      </c>
    </row>
    <row r="3750" spans="1:13" ht="15" customHeight="1">
      <c r="A3750" s="10">
        <v>46207</v>
      </c>
      <c r="B3750" t="s">
        <v>1</v>
      </c>
      <c r="C3750" t="s">
        <v>180</v>
      </c>
      <c r="D3750">
        <v>0</v>
      </c>
      <c r="E3750">
        <v>21</v>
      </c>
      <c r="I3750">
        <v>0</v>
      </c>
      <c r="J3750">
        <v>21</v>
      </c>
      <c r="M3750" t="s">
        <v>3868</v>
      </c>
    </row>
    <row r="3751" spans="1:13" ht="15" customHeight="1">
      <c r="A3751" s="10">
        <v>46207</v>
      </c>
      <c r="B3751" t="s">
        <v>1</v>
      </c>
      <c r="C3751" s="135" t="s">
        <v>182</v>
      </c>
      <c r="D3751">
        <v>1</v>
      </c>
      <c r="E3751">
        <v>210</v>
      </c>
      <c r="I3751">
        <v>1</v>
      </c>
      <c r="J3751">
        <v>210</v>
      </c>
      <c r="M3751" t="s">
        <v>3869</v>
      </c>
    </row>
    <row r="3752" spans="1:13" ht="15" customHeight="1">
      <c r="A3752" s="10">
        <v>46207</v>
      </c>
      <c r="B3752" t="s">
        <v>1</v>
      </c>
      <c r="C3752" s="135" t="s">
        <v>184</v>
      </c>
      <c r="D3752">
        <v>1</v>
      </c>
      <c r="E3752">
        <v>65</v>
      </c>
      <c r="I3752">
        <v>1</v>
      </c>
      <c r="J3752">
        <v>65</v>
      </c>
      <c r="M3752" t="s">
        <v>3870</v>
      </c>
    </row>
    <row r="3753" spans="1:13" ht="15" customHeight="1">
      <c r="A3753" s="10">
        <v>46207</v>
      </c>
      <c r="B3753" t="s">
        <v>1</v>
      </c>
      <c r="C3753" s="135" t="s">
        <v>185</v>
      </c>
      <c r="D3753">
        <v>1</v>
      </c>
      <c r="E3753">
        <v>20</v>
      </c>
      <c r="I3753">
        <v>1</v>
      </c>
      <c r="J3753">
        <v>20</v>
      </c>
      <c r="M3753" t="s">
        <v>3871</v>
      </c>
    </row>
    <row r="3754" spans="1:13" ht="15" customHeight="1">
      <c r="A3754" s="10">
        <v>46207</v>
      </c>
      <c r="B3754" t="s">
        <v>1</v>
      </c>
      <c r="C3754" s="135" t="s">
        <v>186</v>
      </c>
      <c r="D3754">
        <v>0</v>
      </c>
      <c r="E3754">
        <v>795</v>
      </c>
      <c r="I3754">
        <v>0</v>
      </c>
      <c r="J3754">
        <v>795</v>
      </c>
      <c r="M3754" t="s">
        <v>3872</v>
      </c>
    </row>
    <row r="3755" spans="1:13" ht="15" customHeight="1">
      <c r="A3755" s="10">
        <v>46207</v>
      </c>
      <c r="B3755" t="s">
        <v>1</v>
      </c>
      <c r="C3755" t="s">
        <v>337</v>
      </c>
      <c r="D3755">
        <v>1</v>
      </c>
      <c r="E3755">
        <v>265</v>
      </c>
      <c r="F3755">
        <v>1</v>
      </c>
      <c r="I3755">
        <v>2</v>
      </c>
      <c r="J3755">
        <v>245</v>
      </c>
      <c r="M3755" t="s">
        <v>3873</v>
      </c>
    </row>
    <row r="3756" spans="1:13" ht="15" customHeight="1">
      <c r="A3756" s="10">
        <v>46207</v>
      </c>
      <c r="B3756" t="s">
        <v>1</v>
      </c>
      <c r="C3756" t="s">
        <v>339</v>
      </c>
      <c r="D3756">
        <v>0</v>
      </c>
      <c r="E3756">
        <v>0</v>
      </c>
      <c r="I3756">
        <v>0</v>
      </c>
      <c r="J3756">
        <v>0</v>
      </c>
      <c r="M3756" t="s">
        <v>3874</v>
      </c>
    </row>
    <row r="3757" spans="1:13" ht="15" customHeight="1">
      <c r="A3757" s="10">
        <v>46207</v>
      </c>
      <c r="B3757" t="s">
        <v>1</v>
      </c>
      <c r="C3757" s="135" t="s">
        <v>191</v>
      </c>
      <c r="D3757">
        <v>1</v>
      </c>
      <c r="E3757">
        <v>175</v>
      </c>
      <c r="I3757">
        <v>1</v>
      </c>
      <c r="J3757">
        <v>175</v>
      </c>
      <c r="M3757" t="s">
        <v>3875</v>
      </c>
    </row>
    <row r="3758" spans="1:13" ht="15" customHeight="1">
      <c r="A3758" s="10">
        <v>46207</v>
      </c>
      <c r="B3758" t="s">
        <v>1</v>
      </c>
      <c r="C3758" s="135" t="s">
        <v>193</v>
      </c>
      <c r="D3758">
        <v>1</v>
      </c>
      <c r="E3758">
        <v>124</v>
      </c>
      <c r="I3758">
        <v>1</v>
      </c>
      <c r="J3758">
        <v>124</v>
      </c>
      <c r="M3758" t="s">
        <v>3876</v>
      </c>
    </row>
    <row r="3759" spans="1:13" ht="15" customHeight="1">
      <c r="A3759" s="10">
        <v>46207</v>
      </c>
      <c r="B3759" t="s">
        <v>1</v>
      </c>
      <c r="C3759" s="135" t="s">
        <v>194</v>
      </c>
      <c r="D3759">
        <v>1</v>
      </c>
      <c r="E3759">
        <v>36</v>
      </c>
      <c r="I3759">
        <v>1</v>
      </c>
      <c r="J3759">
        <v>26</v>
      </c>
      <c r="M3759" t="s">
        <v>3877</v>
      </c>
    </row>
    <row r="3760" spans="1:13" ht="15" customHeight="1">
      <c r="A3760" s="10">
        <v>46207</v>
      </c>
      <c r="B3760" t="s">
        <v>1</v>
      </c>
      <c r="C3760" s="135" t="s">
        <v>196</v>
      </c>
      <c r="D3760">
        <v>1</v>
      </c>
      <c r="E3760">
        <v>125</v>
      </c>
      <c r="I3760">
        <v>1</v>
      </c>
      <c r="J3760">
        <v>125</v>
      </c>
      <c r="M3760" t="s">
        <v>3878</v>
      </c>
    </row>
    <row r="3761" spans="1:13" ht="15" customHeight="1">
      <c r="A3761" s="10">
        <v>46209</v>
      </c>
      <c r="B3761" t="s">
        <v>1</v>
      </c>
      <c r="C3761" t="s">
        <v>23</v>
      </c>
      <c r="D3761">
        <v>4</v>
      </c>
      <c r="E3761">
        <v>180</v>
      </c>
      <c r="I3761">
        <v>2</v>
      </c>
      <c r="J3761">
        <v>555</v>
      </c>
      <c r="M3761" t="s">
        <v>3879</v>
      </c>
    </row>
    <row r="3762" spans="1:13" ht="15" customHeight="1">
      <c r="A3762" s="10">
        <v>46209</v>
      </c>
      <c r="B3762" t="s">
        <v>1</v>
      </c>
      <c r="C3762" t="s">
        <v>26</v>
      </c>
      <c r="D3762">
        <v>2</v>
      </c>
      <c r="E3762">
        <v>185</v>
      </c>
      <c r="I3762">
        <v>2</v>
      </c>
      <c r="J3762">
        <v>185</v>
      </c>
      <c r="M3762" t="s">
        <v>3880</v>
      </c>
    </row>
    <row r="3763" spans="1:13" ht="15" customHeight="1">
      <c r="A3763" s="10">
        <v>46209</v>
      </c>
      <c r="B3763" t="s">
        <v>1</v>
      </c>
      <c r="C3763" t="s">
        <v>27</v>
      </c>
      <c r="D3763">
        <v>2</v>
      </c>
      <c r="E3763">
        <v>415</v>
      </c>
      <c r="I3763">
        <v>2</v>
      </c>
      <c r="J3763">
        <v>411</v>
      </c>
      <c r="M3763" t="s">
        <v>3881</v>
      </c>
    </row>
    <row r="3764" spans="1:13" ht="15" customHeight="1">
      <c r="A3764" s="10">
        <v>46209</v>
      </c>
      <c r="B3764" t="s">
        <v>1</v>
      </c>
      <c r="C3764" t="s">
        <v>28</v>
      </c>
      <c r="D3764">
        <v>0</v>
      </c>
      <c r="E3764">
        <v>0</v>
      </c>
      <c r="I3764">
        <v>0</v>
      </c>
      <c r="J3764">
        <v>0</v>
      </c>
      <c r="M3764" t="s">
        <v>3882</v>
      </c>
    </row>
    <row r="3765" spans="1:13" ht="15" customHeight="1">
      <c r="A3765" s="10">
        <v>46209</v>
      </c>
      <c r="B3765" t="s">
        <v>1</v>
      </c>
      <c r="C3765" t="s">
        <v>29</v>
      </c>
      <c r="D3765">
        <v>0</v>
      </c>
      <c r="E3765">
        <v>455</v>
      </c>
      <c r="I3765">
        <v>0</v>
      </c>
      <c r="J3765">
        <v>450</v>
      </c>
      <c r="M3765" t="s">
        <v>3883</v>
      </c>
    </row>
    <row r="3766" spans="1:13" ht="15" customHeight="1">
      <c r="A3766" s="10">
        <v>46209</v>
      </c>
      <c r="B3766" t="s">
        <v>1</v>
      </c>
      <c r="C3766" t="s">
        <v>30</v>
      </c>
      <c r="D3766">
        <v>1</v>
      </c>
      <c r="E3766">
        <v>675</v>
      </c>
      <c r="I3766">
        <v>1</v>
      </c>
      <c r="J3766">
        <v>670</v>
      </c>
      <c r="M3766" t="s">
        <v>3884</v>
      </c>
    </row>
    <row r="3767" spans="1:13" ht="15" customHeight="1">
      <c r="A3767" s="10">
        <v>46209</v>
      </c>
      <c r="B3767" t="s">
        <v>1</v>
      </c>
      <c r="C3767" t="s">
        <v>31</v>
      </c>
      <c r="D3767">
        <v>1</v>
      </c>
      <c r="E3767">
        <v>478</v>
      </c>
      <c r="I3767">
        <v>1</v>
      </c>
      <c r="J3767">
        <v>470</v>
      </c>
      <c r="M3767" t="s">
        <v>3885</v>
      </c>
    </row>
    <row r="3768" spans="1:13" ht="15" customHeight="1">
      <c r="A3768" s="10">
        <v>46209</v>
      </c>
      <c r="B3768" t="s">
        <v>1</v>
      </c>
      <c r="C3768" t="s">
        <v>32</v>
      </c>
      <c r="D3768">
        <v>1</v>
      </c>
      <c r="E3768">
        <v>130</v>
      </c>
      <c r="I3768">
        <v>0</v>
      </c>
      <c r="J3768">
        <v>680</v>
      </c>
      <c r="M3768" t="s">
        <v>3886</v>
      </c>
    </row>
    <row r="3769" spans="1:13" ht="15" customHeight="1">
      <c r="A3769" s="10">
        <v>46209</v>
      </c>
      <c r="B3769" t="s">
        <v>1</v>
      </c>
      <c r="C3769" t="s">
        <v>223</v>
      </c>
      <c r="D3769">
        <v>6</v>
      </c>
      <c r="E3769">
        <v>467</v>
      </c>
      <c r="I3769">
        <v>5</v>
      </c>
      <c r="J3769">
        <v>631</v>
      </c>
      <c r="M3769" t="s">
        <v>3887</v>
      </c>
    </row>
    <row r="3770" spans="1:13" ht="15" customHeight="1">
      <c r="A3770" s="10">
        <v>46209</v>
      </c>
      <c r="B3770" t="s">
        <v>1</v>
      </c>
      <c r="C3770" t="s">
        <v>35</v>
      </c>
      <c r="D3770">
        <v>8</v>
      </c>
      <c r="E3770">
        <v>0</v>
      </c>
      <c r="H3770">
        <v>3</v>
      </c>
      <c r="I3770">
        <v>3</v>
      </c>
      <c r="K3770">
        <v>2</v>
      </c>
      <c r="L3770" s="135" t="s">
        <v>3888</v>
      </c>
      <c r="M3770" t="s">
        <v>3889</v>
      </c>
    </row>
    <row r="3771" spans="1:13" ht="15" customHeight="1">
      <c r="A3771" s="10">
        <v>46209</v>
      </c>
      <c r="B3771" t="s">
        <v>1</v>
      </c>
      <c r="C3771" t="s">
        <v>37</v>
      </c>
      <c r="D3771">
        <v>2</v>
      </c>
      <c r="E3771">
        <v>0</v>
      </c>
      <c r="H3771">
        <v>0</v>
      </c>
      <c r="I3771">
        <v>2</v>
      </c>
      <c r="M3771" t="s">
        <v>3890</v>
      </c>
    </row>
    <row r="3772" spans="1:13" ht="15" customHeight="1">
      <c r="A3772" s="10">
        <v>46209</v>
      </c>
      <c r="B3772" t="s">
        <v>1</v>
      </c>
      <c r="C3772" t="s">
        <v>39</v>
      </c>
      <c r="D3772">
        <v>17</v>
      </c>
      <c r="E3772">
        <v>0</v>
      </c>
      <c r="I3772">
        <v>17</v>
      </c>
      <c r="J3772">
        <v>0</v>
      </c>
      <c r="M3772" t="s">
        <v>3891</v>
      </c>
    </row>
    <row r="3773" spans="1:13" ht="15" customHeight="1">
      <c r="A3773" s="10">
        <v>46209</v>
      </c>
      <c r="B3773" t="s">
        <v>1</v>
      </c>
      <c r="C3773" t="s">
        <v>41</v>
      </c>
      <c r="D3773">
        <v>19</v>
      </c>
      <c r="E3773">
        <v>0</v>
      </c>
      <c r="H3773">
        <v>1</v>
      </c>
      <c r="I3773">
        <v>18</v>
      </c>
      <c r="J3773">
        <v>0</v>
      </c>
      <c r="M3773" t="s">
        <v>3892</v>
      </c>
    </row>
    <row r="3774" spans="1:13" ht="15" customHeight="1">
      <c r="A3774" s="10">
        <v>46209</v>
      </c>
      <c r="B3774" t="s">
        <v>1</v>
      </c>
      <c r="C3774" t="s">
        <v>232</v>
      </c>
      <c r="D3774">
        <v>0</v>
      </c>
      <c r="E3774">
        <v>0</v>
      </c>
      <c r="H3774">
        <v>0</v>
      </c>
      <c r="I3774">
        <v>0</v>
      </c>
      <c r="J3774">
        <v>0</v>
      </c>
      <c r="M3774" t="s">
        <v>3893</v>
      </c>
    </row>
    <row r="3775" spans="1:13" ht="15" customHeight="1">
      <c r="A3775" s="10">
        <v>46209</v>
      </c>
      <c r="B3775" t="s">
        <v>1</v>
      </c>
      <c r="C3775" t="s">
        <v>234</v>
      </c>
      <c r="D3775">
        <v>92</v>
      </c>
      <c r="E3775">
        <v>0</v>
      </c>
      <c r="H3775">
        <v>6</v>
      </c>
      <c r="I3775">
        <v>86</v>
      </c>
      <c r="J3775">
        <v>0</v>
      </c>
      <c r="M3775" t="s">
        <v>3894</v>
      </c>
    </row>
    <row r="3776" spans="1:13" ht="15" customHeight="1">
      <c r="A3776" s="10">
        <v>46209</v>
      </c>
      <c r="B3776" t="s">
        <v>1</v>
      </c>
      <c r="C3776" t="s">
        <v>54</v>
      </c>
      <c r="D3776">
        <v>0</v>
      </c>
      <c r="E3776">
        <v>0</v>
      </c>
      <c r="I3776">
        <v>0</v>
      </c>
      <c r="J3776">
        <v>0</v>
      </c>
      <c r="M3776" t="s">
        <v>3895</v>
      </c>
    </row>
    <row r="3777" spans="1:13" ht="15" customHeight="1">
      <c r="A3777" s="10">
        <v>46209</v>
      </c>
      <c r="B3777" t="s">
        <v>1</v>
      </c>
      <c r="C3777" t="s">
        <v>237</v>
      </c>
      <c r="D3777">
        <v>7</v>
      </c>
      <c r="E3777">
        <v>0</v>
      </c>
      <c r="I3777">
        <v>7</v>
      </c>
      <c r="J3777">
        <v>0</v>
      </c>
      <c r="M3777" t="s">
        <v>3896</v>
      </c>
    </row>
    <row r="3778" spans="1:13" ht="15" customHeight="1">
      <c r="A3778" s="10">
        <v>46209</v>
      </c>
      <c r="B3778" t="s">
        <v>1</v>
      </c>
      <c r="C3778" s="135" t="s">
        <v>58</v>
      </c>
      <c r="D3778">
        <v>4</v>
      </c>
      <c r="E3778">
        <v>0</v>
      </c>
      <c r="H3778">
        <v>1</v>
      </c>
      <c r="I3778">
        <v>3</v>
      </c>
      <c r="J3778">
        <v>0</v>
      </c>
      <c r="M3778" t="s">
        <v>3897</v>
      </c>
    </row>
    <row r="3779" spans="1:13" ht="15" customHeight="1">
      <c r="A3779" s="10">
        <v>46209</v>
      </c>
      <c r="B3779" t="s">
        <v>1</v>
      </c>
      <c r="C3779" s="135" t="s">
        <v>60</v>
      </c>
      <c r="D3779">
        <v>4</v>
      </c>
      <c r="E3779">
        <v>0</v>
      </c>
      <c r="I3779">
        <v>0</v>
      </c>
      <c r="J3779">
        <v>0</v>
      </c>
      <c r="K3779">
        <v>4</v>
      </c>
      <c r="L3779" s="135" t="s">
        <v>3898</v>
      </c>
      <c r="M3779" t="s">
        <v>3899</v>
      </c>
    </row>
    <row r="3780" spans="1:13" ht="15" customHeight="1">
      <c r="A3780" s="10">
        <v>46209</v>
      </c>
      <c r="B3780" t="s">
        <v>1</v>
      </c>
      <c r="C3780" s="135" t="s">
        <v>61</v>
      </c>
      <c r="D3780">
        <v>1</v>
      </c>
      <c r="E3780">
        <v>0</v>
      </c>
      <c r="I3780">
        <v>1</v>
      </c>
      <c r="J3780">
        <v>0</v>
      </c>
      <c r="M3780" t="s">
        <v>3900</v>
      </c>
    </row>
    <row r="3781" spans="1:13" ht="15" customHeight="1">
      <c r="A3781" s="10">
        <v>46209</v>
      </c>
      <c r="B3781" t="s">
        <v>1</v>
      </c>
      <c r="C3781" s="135" t="s">
        <v>62</v>
      </c>
      <c r="D3781">
        <v>3</v>
      </c>
      <c r="E3781">
        <v>0</v>
      </c>
      <c r="I3781">
        <v>2</v>
      </c>
      <c r="J3781">
        <v>0</v>
      </c>
      <c r="K3781">
        <v>1</v>
      </c>
      <c r="L3781" s="135" t="s">
        <v>3898</v>
      </c>
      <c r="M3781" t="s">
        <v>3901</v>
      </c>
    </row>
    <row r="3782" spans="1:13" ht="15" customHeight="1">
      <c r="A3782" s="10">
        <v>46209</v>
      </c>
      <c r="B3782" t="s">
        <v>1</v>
      </c>
      <c r="C3782" s="135" t="s">
        <v>63</v>
      </c>
      <c r="D3782">
        <v>6</v>
      </c>
      <c r="E3782">
        <v>0</v>
      </c>
      <c r="I3782">
        <v>3</v>
      </c>
      <c r="J3782">
        <v>0</v>
      </c>
      <c r="K3782">
        <v>3</v>
      </c>
      <c r="L3782" s="135" t="s">
        <v>3898</v>
      </c>
      <c r="M3782" t="s">
        <v>3902</v>
      </c>
    </row>
    <row r="3783" spans="1:13" ht="15" customHeight="1">
      <c r="A3783" s="10">
        <v>46209</v>
      </c>
      <c r="B3783" t="s">
        <v>1</v>
      </c>
      <c r="C3783" s="135" t="s">
        <v>64</v>
      </c>
      <c r="D3783">
        <v>6</v>
      </c>
      <c r="E3783">
        <v>0</v>
      </c>
      <c r="I3783">
        <v>6</v>
      </c>
      <c r="J3783">
        <v>0</v>
      </c>
      <c r="M3783" t="s">
        <v>3903</v>
      </c>
    </row>
    <row r="3784" spans="1:13" ht="15" customHeight="1">
      <c r="A3784" s="10">
        <v>46209</v>
      </c>
      <c r="B3784" t="s">
        <v>1</v>
      </c>
      <c r="C3784" t="s">
        <v>66</v>
      </c>
      <c r="D3784">
        <v>4</v>
      </c>
      <c r="E3784">
        <v>0</v>
      </c>
      <c r="I3784">
        <v>4</v>
      </c>
      <c r="J3784">
        <v>0</v>
      </c>
      <c r="M3784" t="s">
        <v>3904</v>
      </c>
    </row>
    <row r="3785" spans="1:13" ht="15" customHeight="1">
      <c r="A3785" s="10">
        <v>46209</v>
      </c>
      <c r="B3785" t="s">
        <v>1</v>
      </c>
      <c r="C3785" t="s">
        <v>67</v>
      </c>
      <c r="D3785">
        <v>7</v>
      </c>
      <c r="E3785">
        <v>0</v>
      </c>
      <c r="H3785">
        <v>1</v>
      </c>
      <c r="I3785">
        <v>1</v>
      </c>
      <c r="J3785">
        <v>0</v>
      </c>
      <c r="K3785">
        <v>5</v>
      </c>
      <c r="L3785" s="135" t="s">
        <v>3898</v>
      </c>
      <c r="M3785" t="s">
        <v>3905</v>
      </c>
    </row>
    <row r="3786" spans="1:13" ht="15" customHeight="1">
      <c r="A3786" s="10">
        <v>46209</v>
      </c>
      <c r="B3786" t="s">
        <v>1</v>
      </c>
      <c r="C3786" t="s">
        <v>68</v>
      </c>
      <c r="D3786">
        <v>0</v>
      </c>
      <c r="E3786">
        <v>0</v>
      </c>
      <c r="I3786">
        <v>0</v>
      </c>
      <c r="J3786">
        <v>0</v>
      </c>
      <c r="M3786" t="s">
        <v>3906</v>
      </c>
    </row>
    <row r="3787" spans="1:13" ht="15" customHeight="1">
      <c r="A3787" s="10">
        <v>46209</v>
      </c>
      <c r="B3787" t="s">
        <v>1</v>
      </c>
      <c r="C3787" t="s">
        <v>71</v>
      </c>
      <c r="D3787">
        <v>1</v>
      </c>
      <c r="E3787">
        <v>593</v>
      </c>
      <c r="I3787">
        <v>1</v>
      </c>
      <c r="J3787">
        <v>511</v>
      </c>
      <c r="M3787" t="s">
        <v>3907</v>
      </c>
    </row>
    <row r="3788" spans="1:13" ht="15" customHeight="1">
      <c r="A3788" s="10">
        <v>46209</v>
      </c>
      <c r="B3788" t="s">
        <v>1</v>
      </c>
      <c r="C3788" t="s">
        <v>73</v>
      </c>
      <c r="D3788">
        <v>1</v>
      </c>
      <c r="E3788">
        <v>220</v>
      </c>
      <c r="I3788">
        <v>1</v>
      </c>
      <c r="J3788">
        <v>211</v>
      </c>
      <c r="M3788" t="s">
        <v>3908</v>
      </c>
    </row>
    <row r="3789" spans="1:13" ht="15" customHeight="1">
      <c r="A3789" s="10">
        <v>46209</v>
      </c>
      <c r="B3789" t="s">
        <v>1</v>
      </c>
      <c r="C3789" t="s">
        <v>75</v>
      </c>
      <c r="D3789">
        <v>1</v>
      </c>
      <c r="E3789">
        <v>160</v>
      </c>
      <c r="I3789">
        <v>1</v>
      </c>
      <c r="J3789">
        <v>158</v>
      </c>
      <c r="M3789" t="s">
        <v>3909</v>
      </c>
    </row>
    <row r="3790" spans="1:13" ht="15" customHeight="1">
      <c r="A3790" s="10">
        <v>46209</v>
      </c>
      <c r="B3790" t="s">
        <v>1</v>
      </c>
      <c r="C3790" t="s">
        <v>77</v>
      </c>
      <c r="D3790">
        <v>0</v>
      </c>
      <c r="E3790">
        <v>745</v>
      </c>
      <c r="I3790">
        <v>0</v>
      </c>
      <c r="J3790">
        <v>745</v>
      </c>
      <c r="M3790" t="s">
        <v>3910</v>
      </c>
    </row>
    <row r="3791" spans="1:13" ht="15" customHeight="1">
      <c r="A3791" s="10">
        <v>46209</v>
      </c>
      <c r="B3791" t="s">
        <v>1</v>
      </c>
      <c r="C3791" t="s">
        <v>79</v>
      </c>
      <c r="D3791">
        <v>1</v>
      </c>
      <c r="E3791">
        <v>890</v>
      </c>
      <c r="I3791">
        <v>1</v>
      </c>
      <c r="J3791">
        <v>263</v>
      </c>
      <c r="M3791" t="s">
        <v>3911</v>
      </c>
    </row>
    <row r="3792" spans="1:13" ht="15" customHeight="1">
      <c r="A3792" s="10">
        <v>46209</v>
      </c>
      <c r="B3792" t="s">
        <v>1</v>
      </c>
      <c r="C3792" t="s">
        <v>81</v>
      </c>
      <c r="D3792">
        <v>1</v>
      </c>
      <c r="E3792">
        <v>134</v>
      </c>
      <c r="I3792">
        <v>1</v>
      </c>
      <c r="J3792">
        <v>137</v>
      </c>
      <c r="M3792" t="s">
        <v>3912</v>
      </c>
    </row>
    <row r="3793" spans="1:13" ht="15" customHeight="1">
      <c r="A3793" s="10">
        <v>46209</v>
      </c>
      <c r="B3793" t="s">
        <v>1</v>
      </c>
      <c r="C3793" t="s">
        <v>83</v>
      </c>
      <c r="D3793">
        <v>1</v>
      </c>
      <c r="E3793">
        <v>55</v>
      </c>
      <c r="I3793">
        <v>1</v>
      </c>
      <c r="J3793">
        <v>55</v>
      </c>
      <c r="M3793" t="s">
        <v>3913</v>
      </c>
    </row>
    <row r="3794" spans="1:13" ht="15" customHeight="1">
      <c r="A3794" s="10">
        <v>46209</v>
      </c>
      <c r="B3794" t="s">
        <v>1</v>
      </c>
      <c r="C3794" t="s">
        <v>84</v>
      </c>
      <c r="D3794">
        <v>1</v>
      </c>
      <c r="E3794">
        <v>52</v>
      </c>
      <c r="I3794">
        <v>1</v>
      </c>
      <c r="J3794">
        <v>52</v>
      </c>
      <c r="M3794" t="s">
        <v>3914</v>
      </c>
    </row>
    <row r="3795" spans="1:13" ht="15" customHeight="1">
      <c r="A3795" s="10">
        <v>46209</v>
      </c>
      <c r="B3795" t="s">
        <v>1</v>
      </c>
      <c r="C3795" t="s">
        <v>85</v>
      </c>
      <c r="D3795">
        <v>0</v>
      </c>
      <c r="E3795">
        <v>120</v>
      </c>
      <c r="I3795">
        <v>0</v>
      </c>
      <c r="J3795">
        <v>120</v>
      </c>
      <c r="M3795" t="s">
        <v>3915</v>
      </c>
    </row>
    <row r="3796" spans="1:13" ht="15" customHeight="1">
      <c r="A3796" s="10">
        <v>46209</v>
      </c>
      <c r="B3796" t="s">
        <v>1</v>
      </c>
      <c r="C3796" t="s">
        <v>87</v>
      </c>
      <c r="D3796">
        <v>2</v>
      </c>
      <c r="E3796">
        <v>280</v>
      </c>
      <c r="I3796">
        <v>2</v>
      </c>
      <c r="J3796">
        <v>277</v>
      </c>
      <c r="M3796" t="s">
        <v>3916</v>
      </c>
    </row>
    <row r="3797" spans="1:13" ht="15" customHeight="1">
      <c r="A3797" s="10">
        <v>46209</v>
      </c>
      <c r="B3797" t="s">
        <v>1</v>
      </c>
      <c r="C3797" t="s">
        <v>88</v>
      </c>
      <c r="D3797">
        <v>1</v>
      </c>
      <c r="E3797">
        <v>210</v>
      </c>
      <c r="I3797">
        <v>1</v>
      </c>
      <c r="J3797">
        <v>208</v>
      </c>
      <c r="M3797" t="s">
        <v>3917</v>
      </c>
    </row>
    <row r="3798" spans="1:13" ht="15" customHeight="1">
      <c r="A3798" s="10">
        <v>46209</v>
      </c>
      <c r="B3798" t="s">
        <v>1</v>
      </c>
      <c r="C3798" t="s">
        <v>89</v>
      </c>
      <c r="D3798">
        <v>1</v>
      </c>
      <c r="E3798">
        <v>95</v>
      </c>
      <c r="I3798">
        <v>1</v>
      </c>
      <c r="J3798">
        <v>90</v>
      </c>
      <c r="M3798" t="s">
        <v>3918</v>
      </c>
    </row>
    <row r="3799" spans="1:13" ht="15" customHeight="1">
      <c r="A3799" s="10">
        <v>46209</v>
      </c>
      <c r="B3799" t="s">
        <v>1</v>
      </c>
      <c r="C3799" t="s">
        <v>90</v>
      </c>
      <c r="D3799">
        <v>1</v>
      </c>
      <c r="E3799">
        <v>587</v>
      </c>
      <c r="I3799">
        <v>1</v>
      </c>
      <c r="J3799">
        <v>580</v>
      </c>
      <c r="M3799" t="s">
        <v>3919</v>
      </c>
    </row>
    <row r="3800" spans="1:13" ht="15" customHeight="1">
      <c r="A3800" s="10">
        <v>46209</v>
      </c>
      <c r="B3800" t="s">
        <v>1</v>
      </c>
      <c r="C3800" t="s">
        <v>92</v>
      </c>
      <c r="D3800">
        <v>1</v>
      </c>
      <c r="E3800">
        <v>700</v>
      </c>
      <c r="I3800">
        <v>1</v>
      </c>
      <c r="J3800">
        <v>698</v>
      </c>
      <c r="M3800" t="s">
        <v>3920</v>
      </c>
    </row>
    <row r="3801" spans="1:13" ht="15" customHeight="1">
      <c r="A3801" s="10">
        <v>46209</v>
      </c>
      <c r="B3801" t="s">
        <v>1</v>
      </c>
      <c r="C3801" t="s">
        <v>94</v>
      </c>
      <c r="D3801">
        <v>4</v>
      </c>
      <c r="E3801">
        <v>39</v>
      </c>
      <c r="I3801">
        <v>2</v>
      </c>
      <c r="J3801">
        <v>190</v>
      </c>
      <c r="K3801">
        <v>85</v>
      </c>
      <c r="M3801" t="s">
        <v>3921</v>
      </c>
    </row>
    <row r="3802" spans="1:13" ht="15" customHeight="1">
      <c r="A3802" s="10">
        <v>46209</v>
      </c>
      <c r="B3802" t="s">
        <v>1</v>
      </c>
      <c r="C3802" t="s">
        <v>96</v>
      </c>
      <c r="D3802">
        <v>0</v>
      </c>
      <c r="E3802">
        <v>0</v>
      </c>
      <c r="I3802">
        <v>0</v>
      </c>
      <c r="J3802">
        <v>0</v>
      </c>
      <c r="M3802" t="s">
        <v>3922</v>
      </c>
    </row>
    <row r="3803" spans="1:13" ht="15" customHeight="1">
      <c r="A3803" s="10">
        <v>46209</v>
      </c>
      <c r="B3803" t="s">
        <v>1</v>
      </c>
      <c r="C3803" t="s">
        <v>98</v>
      </c>
      <c r="D3803">
        <v>3</v>
      </c>
      <c r="E3803">
        <v>0</v>
      </c>
      <c r="I3803">
        <v>3</v>
      </c>
      <c r="J3803">
        <v>0</v>
      </c>
      <c r="M3803" t="s">
        <v>3923</v>
      </c>
    </row>
    <row r="3804" spans="1:13" ht="15" customHeight="1">
      <c r="A3804" s="10">
        <v>46209</v>
      </c>
      <c r="B3804" t="s">
        <v>1</v>
      </c>
      <c r="C3804" t="s">
        <v>203</v>
      </c>
      <c r="D3804">
        <v>1</v>
      </c>
      <c r="E3804">
        <v>145</v>
      </c>
      <c r="I3804">
        <v>1</v>
      </c>
      <c r="J3804">
        <v>49</v>
      </c>
      <c r="M3804" t="s">
        <v>3924</v>
      </c>
    </row>
    <row r="3805" spans="1:13" ht="15" customHeight="1">
      <c r="A3805" s="10">
        <v>46209</v>
      </c>
      <c r="B3805" t="s">
        <v>1</v>
      </c>
      <c r="C3805" t="s">
        <v>100</v>
      </c>
      <c r="D3805">
        <v>0</v>
      </c>
      <c r="E3805">
        <v>0</v>
      </c>
      <c r="I3805">
        <v>0</v>
      </c>
      <c r="J3805">
        <v>0</v>
      </c>
      <c r="M3805" t="s">
        <v>3925</v>
      </c>
    </row>
    <row r="3806" spans="1:13" ht="15" customHeight="1">
      <c r="A3806" s="10">
        <v>46209</v>
      </c>
      <c r="B3806" t="s">
        <v>1</v>
      </c>
      <c r="C3806" t="s">
        <v>101</v>
      </c>
      <c r="D3806">
        <v>0</v>
      </c>
      <c r="E3806">
        <v>361</v>
      </c>
      <c r="I3806">
        <v>0</v>
      </c>
      <c r="J3806">
        <v>204</v>
      </c>
      <c r="M3806" t="s">
        <v>3926</v>
      </c>
    </row>
    <row r="3807" spans="1:13" ht="15" customHeight="1">
      <c r="A3807" s="10">
        <v>46209</v>
      </c>
      <c r="B3807" t="s">
        <v>1</v>
      </c>
      <c r="C3807" t="s">
        <v>103</v>
      </c>
      <c r="D3807">
        <v>0</v>
      </c>
      <c r="E3807">
        <v>0</v>
      </c>
      <c r="G3807">
        <v>8</v>
      </c>
      <c r="I3807">
        <v>0</v>
      </c>
      <c r="J3807">
        <v>4</v>
      </c>
      <c r="M3807" t="s">
        <v>3927</v>
      </c>
    </row>
    <row r="3808" spans="1:13" ht="15" customHeight="1">
      <c r="A3808" s="10">
        <v>46209</v>
      </c>
      <c r="B3808" t="s">
        <v>1</v>
      </c>
      <c r="C3808" t="s">
        <v>106</v>
      </c>
      <c r="D3808">
        <v>1</v>
      </c>
      <c r="E3808">
        <v>716</v>
      </c>
      <c r="I3808">
        <v>1</v>
      </c>
      <c r="J3808">
        <v>926</v>
      </c>
      <c r="M3808" t="s">
        <v>3928</v>
      </c>
    </row>
    <row r="3809" spans="1:13" ht="15" customHeight="1">
      <c r="A3809" s="10">
        <v>46209</v>
      </c>
      <c r="B3809" t="s">
        <v>1</v>
      </c>
      <c r="C3809" t="s">
        <v>108</v>
      </c>
      <c r="D3809">
        <v>1</v>
      </c>
      <c r="E3809">
        <v>161</v>
      </c>
      <c r="I3809">
        <v>0</v>
      </c>
      <c r="J3809">
        <v>1078</v>
      </c>
      <c r="M3809" t="s">
        <v>3929</v>
      </c>
    </row>
    <row r="3810" spans="1:13" ht="15" customHeight="1">
      <c r="A3810" s="10">
        <v>46209</v>
      </c>
      <c r="B3810" t="s">
        <v>1</v>
      </c>
      <c r="C3810" t="s">
        <v>109</v>
      </c>
      <c r="D3810">
        <v>1</v>
      </c>
      <c r="E3810">
        <v>783</v>
      </c>
      <c r="I3810">
        <v>2</v>
      </c>
      <c r="J3810">
        <v>522</v>
      </c>
      <c r="M3810" t="s">
        <v>3930</v>
      </c>
    </row>
    <row r="3811" spans="1:13" ht="15" customHeight="1">
      <c r="A3811" s="10">
        <v>46209</v>
      </c>
      <c r="B3811" t="s">
        <v>1</v>
      </c>
      <c r="C3811" t="s">
        <v>112</v>
      </c>
      <c r="D3811">
        <v>1</v>
      </c>
      <c r="E3811">
        <v>22</v>
      </c>
      <c r="I3811">
        <v>1</v>
      </c>
      <c r="J3811">
        <v>21</v>
      </c>
      <c r="M3811" t="s">
        <v>3931</v>
      </c>
    </row>
    <row r="3812" spans="1:13" ht="15" customHeight="1">
      <c r="A3812" s="10">
        <v>46209</v>
      </c>
      <c r="B3812" t="s">
        <v>1</v>
      </c>
      <c r="C3812" t="s">
        <v>114</v>
      </c>
      <c r="D3812">
        <v>2</v>
      </c>
      <c r="E3812">
        <v>20</v>
      </c>
      <c r="I3812">
        <v>2</v>
      </c>
      <c r="J3812">
        <v>16</v>
      </c>
      <c r="M3812" t="s">
        <v>3932</v>
      </c>
    </row>
    <row r="3813" spans="1:13" ht="15" customHeight="1">
      <c r="A3813" s="10">
        <v>46209</v>
      </c>
      <c r="B3813" t="s">
        <v>1</v>
      </c>
      <c r="C3813" t="s">
        <v>115</v>
      </c>
      <c r="D3813">
        <v>1</v>
      </c>
      <c r="E3813">
        <v>42</v>
      </c>
      <c r="I3813">
        <v>1</v>
      </c>
      <c r="J3813">
        <v>35</v>
      </c>
      <c r="M3813" t="s">
        <v>3933</v>
      </c>
    </row>
    <row r="3814" spans="1:13" ht="15" customHeight="1">
      <c r="A3814" s="10">
        <v>46209</v>
      </c>
      <c r="B3814" t="s">
        <v>1</v>
      </c>
      <c r="C3814" t="s">
        <v>116</v>
      </c>
      <c r="D3814">
        <v>2</v>
      </c>
      <c r="E3814">
        <v>44</v>
      </c>
      <c r="I3814">
        <v>2</v>
      </c>
      <c r="J3814">
        <v>36</v>
      </c>
      <c r="M3814" t="s">
        <v>3934</v>
      </c>
    </row>
    <row r="3815" spans="1:13" ht="15" customHeight="1">
      <c r="A3815" s="10">
        <v>46209</v>
      </c>
      <c r="B3815" t="s">
        <v>1</v>
      </c>
      <c r="C3815" t="s">
        <v>119</v>
      </c>
      <c r="D3815">
        <v>2</v>
      </c>
      <c r="E3815">
        <v>0</v>
      </c>
      <c r="I3815">
        <v>2</v>
      </c>
      <c r="M3815" t="s">
        <v>3935</v>
      </c>
    </row>
    <row r="3816" spans="1:13" ht="15" customHeight="1">
      <c r="A3816" s="10">
        <v>46209</v>
      </c>
      <c r="B3816" t="s">
        <v>1</v>
      </c>
      <c r="C3816" t="s">
        <v>120</v>
      </c>
      <c r="D3816">
        <v>2</v>
      </c>
      <c r="E3816">
        <v>0</v>
      </c>
      <c r="I3816">
        <v>2</v>
      </c>
      <c r="M3816" t="s">
        <v>3936</v>
      </c>
    </row>
    <row r="3817" spans="1:13" ht="15" customHeight="1">
      <c r="A3817" s="10">
        <v>46209</v>
      </c>
      <c r="B3817" t="s">
        <v>1</v>
      </c>
      <c r="C3817" t="s">
        <v>121</v>
      </c>
      <c r="D3817">
        <v>2</v>
      </c>
      <c r="E3817">
        <v>0</v>
      </c>
      <c r="I3817">
        <v>2</v>
      </c>
      <c r="M3817" t="s">
        <v>3937</v>
      </c>
    </row>
    <row r="3818" spans="1:13" ht="15" customHeight="1">
      <c r="A3818" s="10">
        <v>46209</v>
      </c>
      <c r="B3818" t="s">
        <v>1</v>
      </c>
      <c r="C3818" t="s">
        <v>123</v>
      </c>
      <c r="D3818">
        <v>1</v>
      </c>
      <c r="E3818">
        <v>0</v>
      </c>
      <c r="I3818">
        <v>1</v>
      </c>
      <c r="M3818" t="s">
        <v>3938</v>
      </c>
    </row>
    <row r="3819" spans="1:13" ht="15" customHeight="1">
      <c r="A3819" s="10">
        <v>46209</v>
      </c>
      <c r="B3819" t="s">
        <v>1</v>
      </c>
      <c r="C3819" t="s">
        <v>124</v>
      </c>
      <c r="D3819">
        <v>2</v>
      </c>
      <c r="E3819">
        <v>0</v>
      </c>
      <c r="I3819">
        <v>2</v>
      </c>
      <c r="M3819" t="s">
        <v>3939</v>
      </c>
    </row>
    <row r="3820" spans="1:13" ht="15" customHeight="1">
      <c r="A3820" s="10">
        <v>46209</v>
      </c>
      <c r="B3820" t="s">
        <v>1</v>
      </c>
      <c r="C3820" t="s">
        <v>125</v>
      </c>
      <c r="D3820">
        <v>2</v>
      </c>
      <c r="E3820">
        <v>0</v>
      </c>
      <c r="I3820">
        <v>2</v>
      </c>
      <c r="M3820" t="s">
        <v>3940</v>
      </c>
    </row>
    <row r="3821" spans="1:13" ht="15" customHeight="1">
      <c r="A3821" s="10">
        <v>46209</v>
      </c>
      <c r="B3821" t="s">
        <v>1</v>
      </c>
      <c r="C3821" t="s">
        <v>126</v>
      </c>
      <c r="D3821">
        <v>2</v>
      </c>
      <c r="E3821">
        <v>0</v>
      </c>
      <c r="I3821">
        <v>2</v>
      </c>
      <c r="M3821" t="s">
        <v>3941</v>
      </c>
    </row>
    <row r="3822" spans="1:13" ht="15" customHeight="1">
      <c r="A3822" s="10">
        <v>46209</v>
      </c>
      <c r="B3822" t="s">
        <v>1</v>
      </c>
      <c r="C3822" t="s">
        <v>128</v>
      </c>
      <c r="D3822">
        <v>3</v>
      </c>
      <c r="E3822">
        <v>0</v>
      </c>
      <c r="I3822">
        <v>3</v>
      </c>
      <c r="M3822" t="s">
        <v>3942</v>
      </c>
    </row>
    <row r="3823" spans="1:13" ht="15" customHeight="1">
      <c r="A3823" s="10">
        <v>46209</v>
      </c>
      <c r="B3823" t="s">
        <v>1</v>
      </c>
      <c r="C3823" t="s">
        <v>130</v>
      </c>
      <c r="D3823">
        <v>5</v>
      </c>
      <c r="E3823">
        <v>0</v>
      </c>
      <c r="I3823">
        <v>5</v>
      </c>
      <c r="M3823" t="s">
        <v>3943</v>
      </c>
    </row>
    <row r="3824" spans="1:13" ht="15" customHeight="1">
      <c r="A3824" s="10">
        <v>46209</v>
      </c>
      <c r="B3824" t="s">
        <v>1</v>
      </c>
      <c r="C3824" t="s">
        <v>285</v>
      </c>
      <c r="D3824">
        <v>2</v>
      </c>
      <c r="E3824">
        <v>0</v>
      </c>
      <c r="I3824">
        <v>2</v>
      </c>
      <c r="M3824" t="s">
        <v>3944</v>
      </c>
    </row>
    <row r="3825" spans="1:13" ht="15" customHeight="1">
      <c r="A3825" s="10">
        <v>46209</v>
      </c>
      <c r="B3825" t="s">
        <v>1</v>
      </c>
      <c r="C3825" t="s">
        <v>287</v>
      </c>
      <c r="D3825">
        <v>2</v>
      </c>
      <c r="E3825">
        <v>0</v>
      </c>
      <c r="I3825">
        <v>2</v>
      </c>
      <c r="M3825" t="s">
        <v>3945</v>
      </c>
    </row>
    <row r="3826" spans="1:13" ht="15" customHeight="1">
      <c r="A3826" s="10">
        <v>46209</v>
      </c>
      <c r="B3826" t="s">
        <v>1</v>
      </c>
      <c r="C3826" t="s">
        <v>289</v>
      </c>
      <c r="D3826">
        <v>2</v>
      </c>
      <c r="E3826">
        <v>0</v>
      </c>
      <c r="I3826">
        <v>2</v>
      </c>
      <c r="M3826" t="s">
        <v>3946</v>
      </c>
    </row>
    <row r="3827" spans="1:13" ht="15" customHeight="1">
      <c r="A3827" s="10">
        <v>46209</v>
      </c>
      <c r="B3827" t="s">
        <v>1</v>
      </c>
      <c r="C3827" t="s">
        <v>291</v>
      </c>
      <c r="D3827">
        <v>2</v>
      </c>
      <c r="E3827">
        <v>0</v>
      </c>
      <c r="I3827">
        <v>2</v>
      </c>
      <c r="M3827" t="s">
        <v>3947</v>
      </c>
    </row>
    <row r="3828" spans="1:13" ht="15" customHeight="1">
      <c r="A3828" s="10">
        <v>46209</v>
      </c>
      <c r="B3828" t="s">
        <v>1</v>
      </c>
      <c r="C3828" t="s">
        <v>293</v>
      </c>
      <c r="D3828">
        <v>3</v>
      </c>
      <c r="E3828">
        <v>0</v>
      </c>
      <c r="I3828">
        <v>2</v>
      </c>
      <c r="M3828" t="s">
        <v>3948</v>
      </c>
    </row>
    <row r="3829" spans="1:13" ht="15" customHeight="1">
      <c r="A3829" s="10">
        <v>46209</v>
      </c>
      <c r="B3829" t="s">
        <v>1</v>
      </c>
      <c r="C3829" s="135" t="s">
        <v>138</v>
      </c>
      <c r="D3829">
        <v>0</v>
      </c>
      <c r="E3829">
        <v>38</v>
      </c>
      <c r="I3829">
        <v>0</v>
      </c>
      <c r="J3829">
        <v>24</v>
      </c>
      <c r="M3829" t="s">
        <v>3949</v>
      </c>
    </row>
    <row r="3830" spans="1:13" ht="15" customHeight="1">
      <c r="A3830" s="10">
        <v>46209</v>
      </c>
      <c r="B3830" t="s">
        <v>1</v>
      </c>
      <c r="C3830" s="135" t="s">
        <v>139</v>
      </c>
      <c r="D3830">
        <v>0</v>
      </c>
      <c r="E3830">
        <v>35</v>
      </c>
      <c r="I3830">
        <v>0</v>
      </c>
      <c r="J3830">
        <v>30</v>
      </c>
      <c r="M3830" t="s">
        <v>3950</v>
      </c>
    </row>
    <row r="3831" spans="1:13" ht="15" customHeight="1">
      <c r="A3831" s="10">
        <v>46209</v>
      </c>
      <c r="B3831" t="s">
        <v>1</v>
      </c>
      <c r="C3831" s="135" t="s">
        <v>140</v>
      </c>
      <c r="D3831">
        <v>0</v>
      </c>
      <c r="E3831">
        <v>30</v>
      </c>
      <c r="I3831">
        <v>0</v>
      </c>
      <c r="J3831">
        <v>28</v>
      </c>
      <c r="M3831" t="s">
        <v>3951</v>
      </c>
    </row>
    <row r="3832" spans="1:13" ht="15" customHeight="1">
      <c r="A3832" s="10">
        <v>46209</v>
      </c>
      <c r="B3832" t="s">
        <v>1</v>
      </c>
      <c r="C3832" s="135" t="s">
        <v>141</v>
      </c>
      <c r="D3832">
        <v>0</v>
      </c>
      <c r="E3832">
        <v>1</v>
      </c>
      <c r="I3832">
        <v>0</v>
      </c>
      <c r="J3832">
        <v>1</v>
      </c>
      <c r="M3832" t="s">
        <v>3952</v>
      </c>
    </row>
    <row r="3833" spans="1:13" ht="15" customHeight="1">
      <c r="A3833" s="10">
        <v>46209</v>
      </c>
      <c r="B3833" t="s">
        <v>1</v>
      </c>
      <c r="C3833" s="135" t="s">
        <v>143</v>
      </c>
      <c r="D3833">
        <v>0</v>
      </c>
      <c r="E3833">
        <v>50</v>
      </c>
      <c r="I3833">
        <v>0</v>
      </c>
      <c r="J3833">
        <v>47</v>
      </c>
      <c r="M3833" t="s">
        <v>3953</v>
      </c>
    </row>
    <row r="3834" spans="1:13" ht="15" customHeight="1">
      <c r="A3834" s="10">
        <v>46209</v>
      </c>
      <c r="B3834" t="s">
        <v>1</v>
      </c>
      <c r="C3834" s="135" t="s">
        <v>145</v>
      </c>
      <c r="D3834">
        <v>0</v>
      </c>
      <c r="E3834">
        <v>69</v>
      </c>
      <c r="I3834">
        <v>0</v>
      </c>
      <c r="J3834">
        <v>66</v>
      </c>
      <c r="M3834" t="s">
        <v>3954</v>
      </c>
    </row>
    <row r="3835" spans="1:13" ht="15" customHeight="1">
      <c r="A3835" s="10">
        <v>46209</v>
      </c>
      <c r="B3835" t="s">
        <v>1</v>
      </c>
      <c r="C3835" s="135" t="s">
        <v>147</v>
      </c>
      <c r="D3835">
        <v>0</v>
      </c>
      <c r="E3835">
        <v>27</v>
      </c>
      <c r="I3835">
        <v>0</v>
      </c>
      <c r="J3835">
        <v>26</v>
      </c>
      <c r="M3835" t="s">
        <v>3955</v>
      </c>
    </row>
    <row r="3836" spans="1:13" ht="15" customHeight="1">
      <c r="A3836" s="10">
        <v>46209</v>
      </c>
      <c r="B3836" t="s">
        <v>1</v>
      </c>
      <c r="C3836" t="s">
        <v>302</v>
      </c>
      <c r="D3836">
        <v>2</v>
      </c>
      <c r="E3836">
        <v>0</v>
      </c>
      <c r="I3836">
        <v>2</v>
      </c>
      <c r="M3836" t="s">
        <v>3956</v>
      </c>
    </row>
    <row r="3837" spans="1:13" ht="15" customHeight="1">
      <c r="A3837" s="10">
        <v>46209</v>
      </c>
      <c r="B3837" t="s">
        <v>1</v>
      </c>
      <c r="C3837" t="s">
        <v>150</v>
      </c>
      <c r="D3837">
        <v>2</v>
      </c>
      <c r="E3837">
        <v>0</v>
      </c>
      <c r="I3837">
        <v>2</v>
      </c>
      <c r="M3837" t="s">
        <v>3957</v>
      </c>
    </row>
    <row r="3838" spans="1:13" ht="15" customHeight="1">
      <c r="A3838" s="10">
        <v>46209</v>
      </c>
      <c r="B3838" t="s">
        <v>1</v>
      </c>
      <c r="C3838" t="s">
        <v>151</v>
      </c>
      <c r="D3838">
        <v>2</v>
      </c>
      <c r="E3838">
        <v>0</v>
      </c>
      <c r="I3838">
        <v>2</v>
      </c>
      <c r="M3838" t="s">
        <v>3958</v>
      </c>
    </row>
    <row r="3839" spans="1:13" ht="15" customHeight="1">
      <c r="A3839" s="10">
        <v>46209</v>
      </c>
      <c r="B3839" t="s">
        <v>1</v>
      </c>
      <c r="C3839" t="s">
        <v>152</v>
      </c>
      <c r="D3839">
        <v>2</v>
      </c>
      <c r="E3839">
        <v>0</v>
      </c>
      <c r="I3839">
        <v>2</v>
      </c>
      <c r="M3839" t="s">
        <v>3959</v>
      </c>
    </row>
    <row r="3840" spans="1:13" ht="15" customHeight="1">
      <c r="A3840" s="10">
        <v>46209</v>
      </c>
      <c r="B3840" t="s">
        <v>1</v>
      </c>
      <c r="C3840" t="s">
        <v>153</v>
      </c>
      <c r="D3840">
        <v>2</v>
      </c>
      <c r="E3840">
        <v>0</v>
      </c>
      <c r="I3840">
        <v>2</v>
      </c>
      <c r="M3840" t="s">
        <v>3960</v>
      </c>
    </row>
    <row r="3841" spans="1:13" ht="15" customHeight="1">
      <c r="A3841" s="10">
        <v>46209</v>
      </c>
      <c r="B3841" t="s">
        <v>1</v>
      </c>
      <c r="C3841" t="s">
        <v>308</v>
      </c>
      <c r="D3841">
        <v>0</v>
      </c>
      <c r="E3841">
        <v>4</v>
      </c>
      <c r="I3841">
        <v>0</v>
      </c>
      <c r="J3841">
        <v>4</v>
      </c>
      <c r="M3841" t="s">
        <v>3961</v>
      </c>
    </row>
    <row r="3842" spans="1:13" ht="15" customHeight="1">
      <c r="A3842" s="10">
        <v>46209</v>
      </c>
      <c r="B3842" t="s">
        <v>1</v>
      </c>
      <c r="C3842" t="s">
        <v>310</v>
      </c>
      <c r="D3842">
        <v>0</v>
      </c>
      <c r="E3842">
        <v>2</v>
      </c>
      <c r="I3842">
        <v>0</v>
      </c>
      <c r="J3842">
        <v>2</v>
      </c>
      <c r="M3842" t="s">
        <v>3962</v>
      </c>
    </row>
    <row r="3843" spans="1:13" ht="15" customHeight="1">
      <c r="A3843" s="10">
        <v>46209</v>
      </c>
      <c r="B3843" t="s">
        <v>1</v>
      </c>
      <c r="C3843" t="s">
        <v>312</v>
      </c>
      <c r="D3843">
        <v>0</v>
      </c>
      <c r="E3843">
        <v>4</v>
      </c>
      <c r="I3843">
        <v>0</v>
      </c>
      <c r="J3843">
        <v>3</v>
      </c>
      <c r="M3843" t="s">
        <v>3963</v>
      </c>
    </row>
    <row r="3844" spans="1:13" ht="15" customHeight="1">
      <c r="A3844" s="10">
        <v>46209</v>
      </c>
      <c r="B3844" t="s">
        <v>1</v>
      </c>
      <c r="C3844" t="s">
        <v>314</v>
      </c>
      <c r="D3844">
        <v>1</v>
      </c>
      <c r="E3844">
        <v>0</v>
      </c>
      <c r="I3844">
        <v>1</v>
      </c>
      <c r="M3844" t="s">
        <v>3964</v>
      </c>
    </row>
    <row r="3845" spans="1:13" ht="15" customHeight="1">
      <c r="A3845" s="10">
        <v>46209</v>
      </c>
      <c r="B3845" t="s">
        <v>1</v>
      </c>
      <c r="C3845" t="s">
        <v>316</v>
      </c>
      <c r="D3845">
        <v>1</v>
      </c>
      <c r="E3845">
        <v>0</v>
      </c>
      <c r="I3845">
        <v>1</v>
      </c>
      <c r="M3845" t="s">
        <v>3965</v>
      </c>
    </row>
    <row r="3846" spans="1:13" ht="15" customHeight="1">
      <c r="A3846" s="10">
        <v>46209</v>
      </c>
      <c r="B3846" t="s">
        <v>1</v>
      </c>
      <c r="C3846" t="s">
        <v>318</v>
      </c>
      <c r="D3846">
        <v>4</v>
      </c>
      <c r="E3846">
        <v>0</v>
      </c>
      <c r="I3846">
        <v>4</v>
      </c>
      <c r="M3846" t="s">
        <v>3966</v>
      </c>
    </row>
    <row r="3847" spans="1:13" ht="15" customHeight="1">
      <c r="A3847" s="10">
        <v>46209</v>
      </c>
      <c r="B3847" t="s">
        <v>1</v>
      </c>
      <c r="C3847" t="s">
        <v>320</v>
      </c>
      <c r="D3847">
        <v>1</v>
      </c>
      <c r="E3847">
        <v>0</v>
      </c>
      <c r="I3847">
        <v>1</v>
      </c>
      <c r="M3847" t="s">
        <v>3967</v>
      </c>
    </row>
    <row r="3848" spans="1:13" ht="15" customHeight="1">
      <c r="A3848" s="10">
        <v>46209</v>
      </c>
      <c r="B3848" t="s">
        <v>1</v>
      </c>
      <c r="C3848" t="s">
        <v>322</v>
      </c>
      <c r="D3848">
        <v>0</v>
      </c>
      <c r="E3848">
        <v>0</v>
      </c>
      <c r="I3848">
        <v>0</v>
      </c>
      <c r="M3848" t="s">
        <v>3968</v>
      </c>
    </row>
    <row r="3849" spans="1:13" ht="15" customHeight="1">
      <c r="A3849" s="10">
        <v>46209</v>
      </c>
      <c r="B3849" t="s">
        <v>1</v>
      </c>
      <c r="C3849" s="135" t="s">
        <v>168</v>
      </c>
      <c r="D3849">
        <v>1</v>
      </c>
      <c r="E3849">
        <v>0</v>
      </c>
      <c r="I3849">
        <v>1</v>
      </c>
      <c r="M3849" t="s">
        <v>3969</v>
      </c>
    </row>
    <row r="3850" spans="1:13" ht="15" customHeight="1">
      <c r="A3850" s="10">
        <v>46209</v>
      </c>
      <c r="B3850" t="s">
        <v>1</v>
      </c>
      <c r="C3850" s="135" t="s">
        <v>170</v>
      </c>
      <c r="D3850">
        <v>1</v>
      </c>
      <c r="E3850">
        <v>0</v>
      </c>
      <c r="I3850">
        <v>1</v>
      </c>
      <c r="M3850" t="s">
        <v>3970</v>
      </c>
    </row>
    <row r="3851" spans="1:13" ht="15" customHeight="1">
      <c r="A3851" s="10">
        <v>46209</v>
      </c>
      <c r="B3851" t="s">
        <v>1</v>
      </c>
      <c r="C3851" s="135" t="s">
        <v>171</v>
      </c>
      <c r="D3851">
        <v>2</v>
      </c>
      <c r="E3851">
        <v>0</v>
      </c>
      <c r="I3851">
        <v>2</v>
      </c>
      <c r="M3851" t="s">
        <v>3971</v>
      </c>
    </row>
    <row r="3852" spans="1:13" ht="15" customHeight="1">
      <c r="A3852" s="10">
        <v>46209</v>
      </c>
      <c r="B3852" t="s">
        <v>1</v>
      </c>
      <c r="C3852" s="135" t="s">
        <v>172</v>
      </c>
      <c r="D3852">
        <v>1</v>
      </c>
      <c r="E3852">
        <v>0</v>
      </c>
      <c r="I3852">
        <v>1</v>
      </c>
      <c r="M3852" t="s">
        <v>3972</v>
      </c>
    </row>
    <row r="3853" spans="1:13" ht="15" customHeight="1">
      <c r="A3853" s="10">
        <v>46209</v>
      </c>
      <c r="B3853" t="s">
        <v>1</v>
      </c>
      <c r="C3853" s="135" t="s">
        <v>173</v>
      </c>
      <c r="D3853">
        <v>0</v>
      </c>
      <c r="E3853">
        <v>0</v>
      </c>
      <c r="I3853">
        <v>0</v>
      </c>
      <c r="M3853" t="s">
        <v>3973</v>
      </c>
    </row>
    <row r="3854" spans="1:13" ht="15" customHeight="1">
      <c r="A3854" s="10">
        <v>46209</v>
      </c>
      <c r="B3854" t="s">
        <v>1</v>
      </c>
      <c r="C3854" t="s">
        <v>176</v>
      </c>
      <c r="D3854">
        <v>0</v>
      </c>
      <c r="E3854">
        <v>13</v>
      </c>
      <c r="I3854">
        <v>0</v>
      </c>
      <c r="J3854">
        <v>13</v>
      </c>
      <c r="M3854" t="s">
        <v>3974</v>
      </c>
    </row>
    <row r="3855" spans="1:13" ht="15" customHeight="1">
      <c r="A3855" s="10">
        <v>46209</v>
      </c>
      <c r="B3855" t="s">
        <v>1</v>
      </c>
      <c r="C3855" t="s">
        <v>178</v>
      </c>
      <c r="D3855">
        <v>0</v>
      </c>
      <c r="E3855">
        <v>18</v>
      </c>
      <c r="H3855">
        <v>1</v>
      </c>
      <c r="I3855">
        <v>0</v>
      </c>
      <c r="J3855">
        <v>17</v>
      </c>
      <c r="M3855" t="s">
        <v>3975</v>
      </c>
    </row>
    <row r="3856" spans="1:13" ht="15" customHeight="1">
      <c r="A3856" s="10">
        <v>46209</v>
      </c>
      <c r="B3856" t="s">
        <v>1</v>
      </c>
      <c r="C3856" t="s">
        <v>179</v>
      </c>
      <c r="D3856">
        <v>0</v>
      </c>
      <c r="E3856">
        <v>18</v>
      </c>
      <c r="I3856">
        <v>0</v>
      </c>
      <c r="J3856">
        <v>18</v>
      </c>
      <c r="M3856" t="s">
        <v>3976</v>
      </c>
    </row>
    <row r="3857" spans="1:13" ht="15" customHeight="1">
      <c r="A3857" s="10">
        <v>46209</v>
      </c>
      <c r="B3857" t="s">
        <v>1</v>
      </c>
      <c r="C3857" t="s">
        <v>180</v>
      </c>
      <c r="D3857">
        <v>0</v>
      </c>
      <c r="E3857">
        <v>21</v>
      </c>
      <c r="H3857">
        <v>1</v>
      </c>
      <c r="I3857">
        <v>0</v>
      </c>
      <c r="J3857">
        <v>20</v>
      </c>
      <c r="M3857" t="s">
        <v>3977</v>
      </c>
    </row>
    <row r="3858" spans="1:13" ht="15" customHeight="1">
      <c r="A3858" s="10">
        <v>46209</v>
      </c>
      <c r="B3858" t="s">
        <v>1</v>
      </c>
      <c r="C3858" s="135" t="s">
        <v>182</v>
      </c>
      <c r="D3858">
        <v>1</v>
      </c>
      <c r="E3858">
        <v>210</v>
      </c>
      <c r="I3858">
        <v>1</v>
      </c>
      <c r="J3858">
        <v>210</v>
      </c>
      <c r="M3858" t="s">
        <v>3978</v>
      </c>
    </row>
    <row r="3859" spans="1:13" ht="15" customHeight="1">
      <c r="A3859" s="10">
        <v>46209</v>
      </c>
      <c r="B3859" t="s">
        <v>1</v>
      </c>
      <c r="C3859" s="135" t="s">
        <v>184</v>
      </c>
      <c r="D3859">
        <v>1</v>
      </c>
      <c r="E3859">
        <v>65</v>
      </c>
      <c r="I3859">
        <v>1</v>
      </c>
      <c r="J3859">
        <v>60</v>
      </c>
      <c r="M3859" t="s">
        <v>3979</v>
      </c>
    </row>
    <row r="3860" spans="1:13" ht="15" customHeight="1">
      <c r="A3860" s="10">
        <v>46209</v>
      </c>
      <c r="B3860" t="s">
        <v>1</v>
      </c>
      <c r="C3860" s="135" t="s">
        <v>185</v>
      </c>
      <c r="D3860">
        <v>1</v>
      </c>
      <c r="E3860">
        <v>20</v>
      </c>
      <c r="I3860">
        <v>1</v>
      </c>
      <c r="J3860">
        <v>20</v>
      </c>
      <c r="M3860" t="s">
        <v>3980</v>
      </c>
    </row>
    <row r="3861" spans="1:13" ht="15" customHeight="1">
      <c r="A3861" s="10">
        <v>46209</v>
      </c>
      <c r="B3861" t="s">
        <v>1</v>
      </c>
      <c r="C3861" s="135" t="s">
        <v>186</v>
      </c>
      <c r="D3861">
        <v>0</v>
      </c>
      <c r="E3861">
        <v>795</v>
      </c>
      <c r="I3861">
        <v>0</v>
      </c>
      <c r="J3861">
        <v>795</v>
      </c>
      <c r="M3861" t="s">
        <v>3981</v>
      </c>
    </row>
    <row r="3862" spans="1:13" ht="15" customHeight="1">
      <c r="A3862" s="10">
        <v>46209</v>
      </c>
      <c r="B3862" t="s">
        <v>1</v>
      </c>
      <c r="C3862" t="s">
        <v>337</v>
      </c>
      <c r="D3862">
        <v>2</v>
      </c>
      <c r="E3862">
        <v>245</v>
      </c>
      <c r="I3862">
        <v>2</v>
      </c>
      <c r="J3862">
        <v>218</v>
      </c>
      <c r="M3862" t="s">
        <v>3982</v>
      </c>
    </row>
    <row r="3863" spans="1:13" ht="15" customHeight="1">
      <c r="A3863" s="10">
        <v>46209</v>
      </c>
      <c r="B3863" t="s">
        <v>1</v>
      </c>
      <c r="C3863" t="s">
        <v>339</v>
      </c>
      <c r="D3863">
        <v>0</v>
      </c>
      <c r="E3863">
        <v>0</v>
      </c>
      <c r="I3863">
        <v>0</v>
      </c>
      <c r="J3863">
        <v>0</v>
      </c>
      <c r="M3863" t="s">
        <v>3983</v>
      </c>
    </row>
    <row r="3864" spans="1:13" ht="15" customHeight="1">
      <c r="A3864" s="10">
        <v>46209</v>
      </c>
      <c r="B3864" t="s">
        <v>1</v>
      </c>
      <c r="C3864" s="135" t="s">
        <v>191</v>
      </c>
      <c r="D3864">
        <v>1</v>
      </c>
      <c r="E3864">
        <v>175</v>
      </c>
      <c r="I3864">
        <v>1</v>
      </c>
      <c r="J3864">
        <v>175</v>
      </c>
      <c r="M3864" t="s">
        <v>3984</v>
      </c>
    </row>
    <row r="3865" spans="1:13" ht="15" customHeight="1">
      <c r="A3865" s="10">
        <v>46209</v>
      </c>
      <c r="B3865" t="s">
        <v>1</v>
      </c>
      <c r="C3865" s="135" t="s">
        <v>193</v>
      </c>
      <c r="D3865">
        <v>1</v>
      </c>
      <c r="E3865">
        <v>124</v>
      </c>
      <c r="I3865">
        <v>1</v>
      </c>
      <c r="J3865">
        <v>100</v>
      </c>
      <c r="M3865" t="s">
        <v>3985</v>
      </c>
    </row>
    <row r="3866" spans="1:13" ht="15" customHeight="1">
      <c r="A3866" s="10">
        <v>46209</v>
      </c>
      <c r="B3866" t="s">
        <v>1</v>
      </c>
      <c r="C3866" s="135" t="s">
        <v>194</v>
      </c>
      <c r="D3866">
        <v>1</v>
      </c>
      <c r="E3866">
        <v>26</v>
      </c>
      <c r="I3866">
        <v>1</v>
      </c>
      <c r="J3866">
        <v>36</v>
      </c>
      <c r="M3866" t="s">
        <v>3986</v>
      </c>
    </row>
    <row r="3867" spans="1:13" ht="15" customHeight="1">
      <c r="A3867" s="10">
        <v>46209</v>
      </c>
      <c r="B3867" t="s">
        <v>1</v>
      </c>
      <c r="C3867" s="135" t="s">
        <v>196</v>
      </c>
      <c r="D3867">
        <v>1</v>
      </c>
      <c r="E3867">
        <v>125</v>
      </c>
      <c r="I3867">
        <v>1</v>
      </c>
      <c r="J3867">
        <v>125</v>
      </c>
      <c r="M3867" t="s">
        <v>3987</v>
      </c>
    </row>
    <row r="3868" spans="1:13" ht="15" customHeight="1">
      <c r="A3868" s="10">
        <v>46210</v>
      </c>
      <c r="B3868" t="s">
        <v>1</v>
      </c>
      <c r="C3868" t="s">
        <v>23</v>
      </c>
      <c r="D3868">
        <v>2</v>
      </c>
      <c r="E3868">
        <v>555</v>
      </c>
      <c r="I3868">
        <v>0</v>
      </c>
      <c r="J3868">
        <v>1348</v>
      </c>
      <c r="M3868" t="s">
        <v>3988</v>
      </c>
    </row>
    <row r="3869" spans="1:13" ht="15" customHeight="1">
      <c r="A3869" s="10">
        <v>46210</v>
      </c>
      <c r="B3869" t="s">
        <v>1</v>
      </c>
      <c r="C3869" t="s">
        <v>26</v>
      </c>
      <c r="D3869">
        <v>2</v>
      </c>
      <c r="E3869">
        <v>185</v>
      </c>
      <c r="I3869">
        <v>1</v>
      </c>
      <c r="J3869">
        <v>974</v>
      </c>
      <c r="M3869" t="s">
        <v>3989</v>
      </c>
    </row>
    <row r="3870" spans="1:13" ht="15" customHeight="1">
      <c r="A3870" s="10">
        <v>46210</v>
      </c>
      <c r="B3870" t="s">
        <v>1</v>
      </c>
      <c r="C3870" t="s">
        <v>27</v>
      </c>
      <c r="D3870">
        <v>2</v>
      </c>
      <c r="E3870">
        <v>411</v>
      </c>
      <c r="I3870">
        <v>1</v>
      </c>
      <c r="J3870">
        <v>880</v>
      </c>
      <c r="M3870" t="s">
        <v>3990</v>
      </c>
    </row>
    <row r="3871" spans="1:13" ht="15" customHeight="1">
      <c r="A3871" s="10">
        <v>46210</v>
      </c>
      <c r="B3871" t="s">
        <v>1</v>
      </c>
      <c r="C3871" t="s">
        <v>28</v>
      </c>
      <c r="D3871">
        <v>0</v>
      </c>
      <c r="E3871">
        <v>0</v>
      </c>
      <c r="I3871">
        <v>0</v>
      </c>
      <c r="J3871">
        <v>0</v>
      </c>
      <c r="M3871" t="s">
        <v>3991</v>
      </c>
    </row>
    <row r="3872" spans="1:13" ht="15" customHeight="1">
      <c r="A3872" s="10">
        <v>46210</v>
      </c>
      <c r="B3872" t="s">
        <v>1</v>
      </c>
      <c r="C3872" t="s">
        <v>29</v>
      </c>
      <c r="D3872">
        <v>0</v>
      </c>
      <c r="E3872">
        <v>450</v>
      </c>
      <c r="I3872">
        <v>0</v>
      </c>
      <c r="J3872">
        <v>407</v>
      </c>
      <c r="M3872" t="s">
        <v>3992</v>
      </c>
    </row>
    <row r="3873" spans="1:13" ht="15" customHeight="1">
      <c r="A3873" s="10">
        <v>46210</v>
      </c>
      <c r="B3873" t="s">
        <v>1</v>
      </c>
      <c r="C3873" t="s">
        <v>30</v>
      </c>
      <c r="D3873">
        <v>1</v>
      </c>
      <c r="E3873">
        <v>670</v>
      </c>
      <c r="I3873">
        <v>1</v>
      </c>
      <c r="J3873">
        <v>634</v>
      </c>
      <c r="M3873" t="s">
        <v>3993</v>
      </c>
    </row>
    <row r="3874" spans="1:13" ht="15" customHeight="1">
      <c r="A3874" s="10">
        <v>46210</v>
      </c>
      <c r="B3874" t="s">
        <v>1</v>
      </c>
      <c r="C3874" t="s">
        <v>31</v>
      </c>
      <c r="D3874">
        <v>1</v>
      </c>
      <c r="E3874">
        <v>470</v>
      </c>
      <c r="I3874">
        <v>1</v>
      </c>
      <c r="J3874">
        <v>293</v>
      </c>
      <c r="M3874" t="s">
        <v>3994</v>
      </c>
    </row>
    <row r="3875" spans="1:13" ht="15" customHeight="1">
      <c r="A3875" s="10">
        <v>46210</v>
      </c>
      <c r="B3875" t="s">
        <v>1</v>
      </c>
      <c r="C3875" t="s">
        <v>32</v>
      </c>
      <c r="D3875">
        <v>0</v>
      </c>
      <c r="E3875">
        <v>680</v>
      </c>
      <c r="I3875">
        <v>0</v>
      </c>
      <c r="J3875">
        <v>680</v>
      </c>
      <c r="M3875" t="s">
        <v>3995</v>
      </c>
    </row>
    <row r="3876" spans="1:13" ht="15" customHeight="1">
      <c r="A3876" s="10">
        <v>46210</v>
      </c>
      <c r="B3876" t="s">
        <v>1</v>
      </c>
      <c r="C3876" t="s">
        <v>223</v>
      </c>
      <c r="D3876">
        <v>5</v>
      </c>
      <c r="E3876">
        <v>631</v>
      </c>
      <c r="I3876">
        <v>4</v>
      </c>
      <c r="J3876">
        <v>976</v>
      </c>
      <c r="M3876" t="s">
        <v>3996</v>
      </c>
    </row>
    <row r="3877" spans="1:13" ht="15" customHeight="1">
      <c r="A3877" s="10">
        <v>46210</v>
      </c>
      <c r="B3877" t="s">
        <v>1</v>
      </c>
      <c r="C3877" t="s">
        <v>35</v>
      </c>
      <c r="D3877">
        <v>3</v>
      </c>
      <c r="E3877">
        <v>0</v>
      </c>
      <c r="H3877">
        <v>3</v>
      </c>
      <c r="I3877">
        <v>0</v>
      </c>
      <c r="M3877" t="s">
        <v>3997</v>
      </c>
    </row>
    <row r="3878" spans="1:13" ht="15" customHeight="1">
      <c r="A3878" s="10">
        <v>46210</v>
      </c>
      <c r="B3878" t="s">
        <v>1</v>
      </c>
      <c r="C3878" t="s">
        <v>37</v>
      </c>
      <c r="D3878">
        <v>2</v>
      </c>
      <c r="E3878">
        <v>0</v>
      </c>
      <c r="I3878">
        <v>2</v>
      </c>
      <c r="M3878" t="s">
        <v>3998</v>
      </c>
    </row>
    <row r="3879" spans="1:13" ht="15" customHeight="1">
      <c r="A3879" s="10">
        <v>46210</v>
      </c>
      <c r="B3879" t="s">
        <v>1</v>
      </c>
      <c r="C3879" t="s">
        <v>39</v>
      </c>
      <c r="D3879">
        <v>17</v>
      </c>
      <c r="E3879">
        <v>0</v>
      </c>
      <c r="I3879">
        <v>17</v>
      </c>
      <c r="J3879">
        <v>0</v>
      </c>
      <c r="M3879" t="s">
        <v>3999</v>
      </c>
    </row>
    <row r="3880" spans="1:13" ht="15" customHeight="1">
      <c r="A3880" s="10">
        <v>46210</v>
      </c>
      <c r="B3880" t="s">
        <v>1</v>
      </c>
      <c r="C3880" t="s">
        <v>41</v>
      </c>
      <c r="D3880">
        <v>18</v>
      </c>
      <c r="E3880">
        <v>0</v>
      </c>
      <c r="I3880">
        <v>18</v>
      </c>
      <c r="J3880">
        <v>0</v>
      </c>
      <c r="M3880" t="s">
        <v>4000</v>
      </c>
    </row>
    <row r="3881" spans="1:13" ht="15" customHeight="1">
      <c r="A3881" s="10">
        <v>46210</v>
      </c>
      <c r="B3881" t="s">
        <v>1</v>
      </c>
      <c r="C3881" t="s">
        <v>232</v>
      </c>
      <c r="D3881">
        <v>0</v>
      </c>
      <c r="E3881">
        <v>0</v>
      </c>
      <c r="I3881">
        <v>0</v>
      </c>
      <c r="J3881">
        <v>0</v>
      </c>
      <c r="M3881" t="s">
        <v>4001</v>
      </c>
    </row>
    <row r="3882" spans="1:13" ht="15" customHeight="1">
      <c r="A3882" s="10">
        <v>46210</v>
      </c>
      <c r="B3882" t="s">
        <v>1</v>
      </c>
      <c r="C3882" t="s">
        <v>234</v>
      </c>
      <c r="D3882">
        <v>86</v>
      </c>
      <c r="E3882">
        <v>0</v>
      </c>
      <c r="H3882">
        <v>4</v>
      </c>
      <c r="I3882">
        <v>82</v>
      </c>
      <c r="J3882">
        <v>0</v>
      </c>
      <c r="M3882" t="s">
        <v>4002</v>
      </c>
    </row>
    <row r="3883" spans="1:13" ht="15" customHeight="1">
      <c r="A3883" s="10">
        <v>46210</v>
      </c>
      <c r="B3883" t="s">
        <v>1</v>
      </c>
      <c r="C3883" t="s">
        <v>54</v>
      </c>
      <c r="D3883">
        <v>0</v>
      </c>
      <c r="E3883">
        <v>0</v>
      </c>
      <c r="I3883">
        <v>0</v>
      </c>
      <c r="J3883">
        <v>0</v>
      </c>
      <c r="M3883" t="s">
        <v>4003</v>
      </c>
    </row>
    <row r="3884" spans="1:13" ht="15" customHeight="1">
      <c r="A3884" s="10">
        <v>46210</v>
      </c>
      <c r="B3884" t="s">
        <v>1</v>
      </c>
      <c r="C3884" t="s">
        <v>237</v>
      </c>
      <c r="D3884">
        <v>7</v>
      </c>
      <c r="E3884">
        <v>0</v>
      </c>
      <c r="I3884">
        <v>7</v>
      </c>
      <c r="J3884">
        <v>0</v>
      </c>
      <c r="M3884" t="s">
        <v>4004</v>
      </c>
    </row>
    <row r="3885" spans="1:13" ht="15" customHeight="1">
      <c r="A3885" s="10">
        <v>46210</v>
      </c>
      <c r="B3885" t="s">
        <v>1</v>
      </c>
      <c r="C3885" s="135" t="s">
        <v>58</v>
      </c>
      <c r="D3885">
        <v>3</v>
      </c>
      <c r="E3885">
        <v>0</v>
      </c>
      <c r="I3885">
        <v>3</v>
      </c>
      <c r="J3885">
        <v>0</v>
      </c>
      <c r="M3885" t="s">
        <v>4005</v>
      </c>
    </row>
    <row r="3886" spans="1:13" ht="15" customHeight="1">
      <c r="A3886" s="10">
        <v>46210</v>
      </c>
      <c r="B3886" t="s">
        <v>1</v>
      </c>
      <c r="C3886" s="135" t="s">
        <v>60</v>
      </c>
      <c r="D3886">
        <v>0</v>
      </c>
      <c r="E3886">
        <v>0</v>
      </c>
      <c r="I3886">
        <v>0</v>
      </c>
      <c r="J3886">
        <v>0</v>
      </c>
      <c r="M3886" t="s">
        <v>4006</v>
      </c>
    </row>
    <row r="3887" spans="1:13" ht="15" customHeight="1">
      <c r="A3887" s="10">
        <v>46210</v>
      </c>
      <c r="B3887" t="s">
        <v>1</v>
      </c>
      <c r="C3887" s="135" t="s">
        <v>61</v>
      </c>
      <c r="D3887">
        <v>1</v>
      </c>
      <c r="E3887">
        <v>0</v>
      </c>
      <c r="I3887">
        <v>1</v>
      </c>
      <c r="J3887">
        <v>0</v>
      </c>
      <c r="M3887" t="s">
        <v>4007</v>
      </c>
    </row>
    <row r="3888" spans="1:13" ht="15" customHeight="1">
      <c r="A3888" s="10">
        <v>46210</v>
      </c>
      <c r="B3888" t="s">
        <v>1</v>
      </c>
      <c r="C3888" s="135" t="s">
        <v>62</v>
      </c>
      <c r="D3888">
        <v>2</v>
      </c>
      <c r="E3888">
        <v>0</v>
      </c>
      <c r="I3888">
        <v>2</v>
      </c>
      <c r="J3888">
        <v>0</v>
      </c>
      <c r="M3888" t="s">
        <v>4008</v>
      </c>
    </row>
    <row r="3889" spans="1:13" ht="15" customHeight="1">
      <c r="A3889" s="10">
        <v>46210</v>
      </c>
      <c r="B3889" t="s">
        <v>1</v>
      </c>
      <c r="C3889" s="135" t="s">
        <v>63</v>
      </c>
      <c r="D3889">
        <v>3</v>
      </c>
      <c r="E3889">
        <v>0</v>
      </c>
      <c r="I3889">
        <v>3</v>
      </c>
      <c r="J3889">
        <v>0</v>
      </c>
      <c r="M3889" t="s">
        <v>4009</v>
      </c>
    </row>
    <row r="3890" spans="1:13" ht="15" customHeight="1">
      <c r="A3890" s="10">
        <v>46210</v>
      </c>
      <c r="B3890" t="s">
        <v>1</v>
      </c>
      <c r="C3890" s="135" t="s">
        <v>64</v>
      </c>
      <c r="D3890">
        <v>6</v>
      </c>
      <c r="E3890">
        <v>0</v>
      </c>
      <c r="I3890">
        <v>6</v>
      </c>
      <c r="J3890">
        <v>0</v>
      </c>
      <c r="M3890" t="s">
        <v>4010</v>
      </c>
    </row>
    <row r="3891" spans="1:13" ht="15" customHeight="1">
      <c r="A3891" s="10">
        <v>46210</v>
      </c>
      <c r="B3891" t="s">
        <v>1</v>
      </c>
      <c r="C3891" t="s">
        <v>66</v>
      </c>
      <c r="D3891">
        <v>4</v>
      </c>
      <c r="E3891">
        <v>0</v>
      </c>
      <c r="I3891">
        <v>4</v>
      </c>
      <c r="J3891">
        <v>0</v>
      </c>
      <c r="M3891" t="s">
        <v>4011</v>
      </c>
    </row>
    <row r="3892" spans="1:13" ht="15" customHeight="1">
      <c r="A3892" s="10">
        <v>46210</v>
      </c>
      <c r="B3892" t="s">
        <v>1</v>
      </c>
      <c r="C3892" t="s">
        <v>67</v>
      </c>
      <c r="D3892">
        <v>1</v>
      </c>
      <c r="E3892">
        <v>0</v>
      </c>
      <c r="I3892">
        <v>1</v>
      </c>
      <c r="J3892">
        <v>0</v>
      </c>
      <c r="M3892" t="s">
        <v>4012</v>
      </c>
    </row>
    <row r="3893" spans="1:13" ht="15" customHeight="1">
      <c r="A3893" s="10">
        <v>46210</v>
      </c>
      <c r="B3893" t="s">
        <v>1</v>
      </c>
      <c r="C3893" t="s">
        <v>68</v>
      </c>
      <c r="D3893">
        <v>0</v>
      </c>
      <c r="E3893">
        <v>0</v>
      </c>
      <c r="I3893">
        <v>0</v>
      </c>
      <c r="J3893">
        <v>0</v>
      </c>
      <c r="M3893" t="s">
        <v>4013</v>
      </c>
    </row>
    <row r="3894" spans="1:13" ht="15" customHeight="1">
      <c r="A3894" s="10">
        <v>46210</v>
      </c>
      <c r="B3894" t="s">
        <v>1</v>
      </c>
      <c r="C3894" t="s">
        <v>71</v>
      </c>
      <c r="D3894">
        <v>1</v>
      </c>
      <c r="E3894">
        <v>511</v>
      </c>
      <c r="I3894">
        <v>1</v>
      </c>
      <c r="J3894">
        <v>481</v>
      </c>
      <c r="M3894" t="s">
        <v>4014</v>
      </c>
    </row>
    <row r="3895" spans="1:13" ht="15" customHeight="1">
      <c r="A3895" s="10">
        <v>46210</v>
      </c>
      <c r="B3895" t="s">
        <v>1</v>
      </c>
      <c r="C3895" t="s">
        <v>73</v>
      </c>
      <c r="D3895">
        <v>1</v>
      </c>
      <c r="E3895">
        <v>211</v>
      </c>
      <c r="I3895">
        <v>3</v>
      </c>
      <c r="J3895">
        <v>118</v>
      </c>
      <c r="M3895" t="s">
        <v>4015</v>
      </c>
    </row>
    <row r="3896" spans="1:13" ht="15" customHeight="1">
      <c r="A3896" s="10">
        <v>46210</v>
      </c>
      <c r="B3896" t="s">
        <v>1</v>
      </c>
      <c r="C3896" t="s">
        <v>75</v>
      </c>
      <c r="D3896">
        <v>1</v>
      </c>
      <c r="E3896">
        <v>158</v>
      </c>
      <c r="I3896">
        <v>2</v>
      </c>
      <c r="J3896">
        <v>158</v>
      </c>
      <c r="M3896" t="s">
        <v>4016</v>
      </c>
    </row>
    <row r="3897" spans="1:13" ht="15" customHeight="1">
      <c r="A3897" s="10">
        <v>46210</v>
      </c>
      <c r="B3897" t="s">
        <v>1</v>
      </c>
      <c r="C3897" t="s">
        <v>77</v>
      </c>
      <c r="D3897">
        <v>0</v>
      </c>
      <c r="E3897">
        <v>745</v>
      </c>
      <c r="I3897">
        <v>0</v>
      </c>
      <c r="J3897">
        <v>720</v>
      </c>
      <c r="M3897" t="s">
        <v>4017</v>
      </c>
    </row>
    <row r="3898" spans="1:13" ht="15" customHeight="1">
      <c r="A3898" s="10">
        <v>46210</v>
      </c>
      <c r="B3898" t="s">
        <v>1</v>
      </c>
      <c r="C3898" t="s">
        <v>79</v>
      </c>
      <c r="D3898">
        <v>1</v>
      </c>
      <c r="E3898">
        <v>263</v>
      </c>
      <c r="I3898">
        <v>0</v>
      </c>
      <c r="J3898">
        <v>2060</v>
      </c>
      <c r="M3898" t="s">
        <v>4018</v>
      </c>
    </row>
    <row r="3899" spans="1:13" ht="15" customHeight="1">
      <c r="A3899" s="10">
        <v>46210</v>
      </c>
      <c r="B3899" t="s">
        <v>1</v>
      </c>
      <c r="C3899" t="s">
        <v>81</v>
      </c>
      <c r="D3899">
        <v>1</v>
      </c>
      <c r="E3899">
        <v>137</v>
      </c>
      <c r="I3899">
        <v>1</v>
      </c>
      <c r="J3899">
        <v>137</v>
      </c>
      <c r="M3899" t="s">
        <v>4019</v>
      </c>
    </row>
    <row r="3900" spans="1:13" ht="15" customHeight="1">
      <c r="A3900" s="10">
        <v>46210</v>
      </c>
      <c r="B3900" t="s">
        <v>1</v>
      </c>
      <c r="C3900" t="s">
        <v>83</v>
      </c>
      <c r="D3900">
        <v>1</v>
      </c>
      <c r="E3900">
        <v>55</v>
      </c>
      <c r="I3900">
        <v>1</v>
      </c>
      <c r="J3900">
        <v>55</v>
      </c>
      <c r="M3900" t="s">
        <v>4020</v>
      </c>
    </row>
    <row r="3901" spans="1:13" ht="15" customHeight="1">
      <c r="A3901" s="10">
        <v>46210</v>
      </c>
      <c r="B3901" t="s">
        <v>1</v>
      </c>
      <c r="C3901" t="s">
        <v>84</v>
      </c>
      <c r="D3901">
        <v>1</v>
      </c>
      <c r="E3901">
        <v>52</v>
      </c>
      <c r="I3901">
        <v>2</v>
      </c>
      <c r="J3901">
        <v>52</v>
      </c>
      <c r="M3901" t="s">
        <v>4021</v>
      </c>
    </row>
    <row r="3902" spans="1:13" ht="15" customHeight="1">
      <c r="A3902" s="10">
        <v>46210</v>
      </c>
      <c r="B3902" t="s">
        <v>1</v>
      </c>
      <c r="C3902" t="s">
        <v>85</v>
      </c>
      <c r="D3902">
        <v>0</v>
      </c>
      <c r="E3902">
        <v>120</v>
      </c>
      <c r="I3902">
        <v>0</v>
      </c>
      <c r="J3902">
        <v>120</v>
      </c>
      <c r="M3902" t="s">
        <v>4022</v>
      </c>
    </row>
    <row r="3903" spans="1:13" ht="15" customHeight="1">
      <c r="A3903" s="10">
        <v>46210</v>
      </c>
      <c r="B3903" t="s">
        <v>1</v>
      </c>
      <c r="C3903" t="s">
        <v>87</v>
      </c>
      <c r="D3903">
        <v>2</v>
      </c>
      <c r="E3903">
        <v>277</v>
      </c>
      <c r="I3903">
        <v>2</v>
      </c>
      <c r="J3903">
        <v>274</v>
      </c>
      <c r="M3903" t="s">
        <v>4023</v>
      </c>
    </row>
    <row r="3904" spans="1:13" ht="15" customHeight="1">
      <c r="A3904" s="10">
        <v>46210</v>
      </c>
      <c r="B3904" t="s">
        <v>1</v>
      </c>
      <c r="C3904" t="s">
        <v>88</v>
      </c>
      <c r="D3904">
        <v>1</v>
      </c>
      <c r="E3904">
        <v>208</v>
      </c>
      <c r="I3904">
        <v>1</v>
      </c>
      <c r="J3904">
        <v>207</v>
      </c>
      <c r="M3904" t="s">
        <v>4024</v>
      </c>
    </row>
    <row r="3905" spans="1:13" ht="15" customHeight="1">
      <c r="A3905" s="10">
        <v>46210</v>
      </c>
      <c r="B3905" t="s">
        <v>1</v>
      </c>
      <c r="C3905" t="s">
        <v>89</v>
      </c>
      <c r="D3905">
        <v>1</v>
      </c>
      <c r="E3905">
        <v>90</v>
      </c>
      <c r="I3905">
        <v>1</v>
      </c>
      <c r="J3905">
        <v>87</v>
      </c>
      <c r="M3905" t="s">
        <v>4025</v>
      </c>
    </row>
    <row r="3906" spans="1:13" ht="15" customHeight="1">
      <c r="A3906" s="10">
        <v>46210</v>
      </c>
      <c r="B3906" t="s">
        <v>1</v>
      </c>
      <c r="C3906" t="s">
        <v>90</v>
      </c>
      <c r="D3906">
        <v>1</v>
      </c>
      <c r="E3906">
        <v>580</v>
      </c>
      <c r="I3906">
        <v>1</v>
      </c>
      <c r="J3906">
        <v>580</v>
      </c>
      <c r="M3906" t="s">
        <v>4026</v>
      </c>
    </row>
    <row r="3907" spans="1:13" ht="15" customHeight="1">
      <c r="A3907" s="10">
        <v>46210</v>
      </c>
      <c r="B3907" t="s">
        <v>1</v>
      </c>
      <c r="C3907" t="s">
        <v>92</v>
      </c>
      <c r="D3907">
        <v>1</v>
      </c>
      <c r="E3907">
        <v>698</v>
      </c>
      <c r="I3907">
        <v>1</v>
      </c>
      <c r="J3907">
        <v>618</v>
      </c>
      <c r="M3907" t="s">
        <v>4027</v>
      </c>
    </row>
    <row r="3908" spans="1:13" ht="15" customHeight="1">
      <c r="A3908" s="10">
        <v>46210</v>
      </c>
      <c r="B3908" t="s">
        <v>1</v>
      </c>
      <c r="C3908" t="s">
        <v>94</v>
      </c>
      <c r="D3908">
        <v>2</v>
      </c>
      <c r="E3908">
        <v>190</v>
      </c>
      <c r="I3908">
        <v>2</v>
      </c>
      <c r="J3908">
        <v>118</v>
      </c>
      <c r="M3908" t="s">
        <v>4028</v>
      </c>
    </row>
    <row r="3909" spans="1:13" ht="15" customHeight="1">
      <c r="A3909" s="10">
        <v>46210</v>
      </c>
      <c r="B3909" t="s">
        <v>1</v>
      </c>
      <c r="C3909" t="s">
        <v>96</v>
      </c>
      <c r="D3909">
        <v>0</v>
      </c>
      <c r="E3909">
        <v>0</v>
      </c>
      <c r="I3909">
        <v>0</v>
      </c>
      <c r="J3909">
        <v>0</v>
      </c>
      <c r="M3909" t="s">
        <v>4029</v>
      </c>
    </row>
    <row r="3910" spans="1:13" ht="15" customHeight="1">
      <c r="A3910" s="10">
        <v>46210</v>
      </c>
      <c r="B3910" t="s">
        <v>1</v>
      </c>
      <c r="C3910" t="s">
        <v>98</v>
      </c>
      <c r="D3910">
        <v>3</v>
      </c>
      <c r="E3910">
        <v>0</v>
      </c>
      <c r="I3910">
        <v>3</v>
      </c>
      <c r="J3910">
        <v>0</v>
      </c>
      <c r="M3910" t="s">
        <v>4030</v>
      </c>
    </row>
    <row r="3911" spans="1:13" ht="15" customHeight="1">
      <c r="A3911" s="10">
        <v>46210</v>
      </c>
      <c r="B3911" t="s">
        <v>1</v>
      </c>
      <c r="C3911" t="s">
        <v>203</v>
      </c>
      <c r="D3911">
        <v>1</v>
      </c>
      <c r="E3911">
        <v>49</v>
      </c>
      <c r="I3911">
        <v>0</v>
      </c>
      <c r="J3911">
        <v>221</v>
      </c>
      <c r="M3911" t="s">
        <v>4031</v>
      </c>
    </row>
    <row r="3912" spans="1:13" ht="15" customHeight="1">
      <c r="A3912" s="10">
        <v>46210</v>
      </c>
      <c r="B3912" t="s">
        <v>1</v>
      </c>
      <c r="C3912" t="s">
        <v>100</v>
      </c>
      <c r="D3912">
        <v>0</v>
      </c>
      <c r="E3912">
        <v>0</v>
      </c>
      <c r="I3912">
        <v>0</v>
      </c>
      <c r="J3912">
        <v>0</v>
      </c>
      <c r="M3912" t="s">
        <v>4032</v>
      </c>
    </row>
    <row r="3913" spans="1:13" ht="15" customHeight="1">
      <c r="A3913" s="10">
        <v>46210</v>
      </c>
      <c r="B3913" t="s">
        <v>1</v>
      </c>
      <c r="C3913" t="s">
        <v>101</v>
      </c>
      <c r="D3913">
        <v>0</v>
      </c>
      <c r="E3913">
        <v>204</v>
      </c>
      <c r="I3913">
        <v>0</v>
      </c>
      <c r="J3913">
        <v>0</v>
      </c>
      <c r="M3913" t="s">
        <v>4033</v>
      </c>
    </row>
    <row r="3914" spans="1:13" ht="15" customHeight="1">
      <c r="A3914" s="10">
        <v>46210</v>
      </c>
      <c r="B3914" t="s">
        <v>1</v>
      </c>
      <c r="C3914" t="s">
        <v>103</v>
      </c>
      <c r="D3914">
        <v>0</v>
      </c>
      <c r="E3914">
        <v>4</v>
      </c>
      <c r="I3914">
        <v>0</v>
      </c>
      <c r="J3914">
        <v>2</v>
      </c>
      <c r="M3914" t="s">
        <v>4034</v>
      </c>
    </row>
    <row r="3915" spans="1:13" ht="15" customHeight="1">
      <c r="A3915" s="10">
        <v>46210</v>
      </c>
      <c r="B3915" t="s">
        <v>1</v>
      </c>
      <c r="C3915" t="s">
        <v>106</v>
      </c>
      <c r="D3915">
        <v>1</v>
      </c>
      <c r="E3915">
        <v>926</v>
      </c>
      <c r="I3915">
        <v>1</v>
      </c>
      <c r="J3915">
        <v>898</v>
      </c>
      <c r="M3915" t="s">
        <v>4035</v>
      </c>
    </row>
    <row r="3916" spans="1:13" ht="15" customHeight="1">
      <c r="A3916" s="10">
        <v>46210</v>
      </c>
      <c r="B3916" t="s">
        <v>1</v>
      </c>
      <c r="C3916" t="s">
        <v>108</v>
      </c>
      <c r="D3916">
        <v>0</v>
      </c>
      <c r="E3916">
        <v>1078</v>
      </c>
      <c r="I3916">
        <v>0</v>
      </c>
      <c r="J3916">
        <v>922</v>
      </c>
      <c r="M3916" t="s">
        <v>4036</v>
      </c>
    </row>
    <row r="3917" spans="1:13" ht="15" customHeight="1">
      <c r="A3917" s="10">
        <v>46210</v>
      </c>
      <c r="B3917" t="s">
        <v>1</v>
      </c>
      <c r="C3917" t="s">
        <v>109</v>
      </c>
      <c r="D3917">
        <v>2</v>
      </c>
      <c r="E3917">
        <v>522</v>
      </c>
      <c r="I3917">
        <v>2</v>
      </c>
      <c r="J3917">
        <v>365</v>
      </c>
      <c r="M3917" t="s">
        <v>4037</v>
      </c>
    </row>
    <row r="3918" spans="1:13" ht="15" customHeight="1">
      <c r="A3918" s="10">
        <v>46210</v>
      </c>
      <c r="B3918" t="s">
        <v>1</v>
      </c>
      <c r="C3918" t="s">
        <v>112</v>
      </c>
      <c r="D3918">
        <v>1</v>
      </c>
      <c r="E3918">
        <v>21</v>
      </c>
      <c r="I3918">
        <v>1</v>
      </c>
      <c r="J3918">
        <v>20</v>
      </c>
      <c r="M3918" t="s">
        <v>4038</v>
      </c>
    </row>
    <row r="3919" spans="1:13" ht="15" customHeight="1">
      <c r="A3919" s="10">
        <v>46210</v>
      </c>
      <c r="B3919" t="s">
        <v>1</v>
      </c>
      <c r="C3919" t="s">
        <v>114</v>
      </c>
      <c r="D3919">
        <v>2</v>
      </c>
      <c r="E3919">
        <v>16</v>
      </c>
      <c r="I3919">
        <v>2</v>
      </c>
      <c r="J3919">
        <v>14</v>
      </c>
      <c r="M3919" t="s">
        <v>4039</v>
      </c>
    </row>
    <row r="3920" spans="1:13" ht="15" customHeight="1">
      <c r="A3920" s="10">
        <v>46210</v>
      </c>
      <c r="B3920" t="s">
        <v>1</v>
      </c>
      <c r="C3920" t="s">
        <v>115</v>
      </c>
      <c r="D3920">
        <v>1</v>
      </c>
      <c r="E3920">
        <v>35</v>
      </c>
      <c r="I3920">
        <v>1</v>
      </c>
      <c r="J3920">
        <v>28</v>
      </c>
      <c r="M3920" t="s">
        <v>4040</v>
      </c>
    </row>
    <row r="3921" spans="1:13" ht="15" customHeight="1">
      <c r="A3921" s="10">
        <v>46210</v>
      </c>
      <c r="B3921" t="s">
        <v>1</v>
      </c>
      <c r="C3921" t="s">
        <v>116</v>
      </c>
      <c r="D3921">
        <v>2</v>
      </c>
      <c r="E3921">
        <v>36</v>
      </c>
      <c r="I3921">
        <v>2</v>
      </c>
      <c r="J3921">
        <v>29</v>
      </c>
      <c r="M3921" t="s">
        <v>4041</v>
      </c>
    </row>
    <row r="3922" spans="1:13" ht="15" customHeight="1">
      <c r="A3922" s="10">
        <v>46210</v>
      </c>
      <c r="B3922" t="s">
        <v>1</v>
      </c>
      <c r="C3922" t="s">
        <v>119</v>
      </c>
      <c r="D3922">
        <v>2</v>
      </c>
      <c r="E3922">
        <v>0</v>
      </c>
      <c r="I3922">
        <v>2</v>
      </c>
      <c r="M3922" t="s">
        <v>4042</v>
      </c>
    </row>
    <row r="3923" spans="1:13" ht="15" customHeight="1">
      <c r="A3923" s="10">
        <v>46210</v>
      </c>
      <c r="B3923" t="s">
        <v>1</v>
      </c>
      <c r="C3923" t="s">
        <v>120</v>
      </c>
      <c r="D3923">
        <v>2</v>
      </c>
      <c r="E3923">
        <v>0</v>
      </c>
      <c r="I3923">
        <v>2</v>
      </c>
      <c r="M3923" t="s">
        <v>4043</v>
      </c>
    </row>
    <row r="3924" spans="1:13" ht="15" customHeight="1">
      <c r="A3924" s="10">
        <v>46210</v>
      </c>
      <c r="B3924" t="s">
        <v>1</v>
      </c>
      <c r="C3924" t="s">
        <v>121</v>
      </c>
      <c r="D3924">
        <v>2</v>
      </c>
      <c r="E3924">
        <v>0</v>
      </c>
      <c r="I3924">
        <v>2</v>
      </c>
      <c r="M3924" t="s">
        <v>4044</v>
      </c>
    </row>
    <row r="3925" spans="1:13" ht="15" customHeight="1">
      <c r="A3925" s="10">
        <v>46210</v>
      </c>
      <c r="B3925" t="s">
        <v>1</v>
      </c>
      <c r="C3925" t="s">
        <v>123</v>
      </c>
      <c r="D3925">
        <v>1</v>
      </c>
      <c r="E3925">
        <v>0</v>
      </c>
      <c r="I3925">
        <v>1</v>
      </c>
      <c r="M3925" t="s">
        <v>4045</v>
      </c>
    </row>
    <row r="3926" spans="1:13" ht="15" customHeight="1">
      <c r="A3926" s="10">
        <v>46210</v>
      </c>
      <c r="B3926" t="s">
        <v>1</v>
      </c>
      <c r="C3926" t="s">
        <v>124</v>
      </c>
      <c r="D3926">
        <v>2</v>
      </c>
      <c r="E3926">
        <v>0</v>
      </c>
      <c r="I3926">
        <v>1</v>
      </c>
      <c r="M3926" t="s">
        <v>4046</v>
      </c>
    </row>
    <row r="3927" spans="1:13" ht="15" customHeight="1">
      <c r="A3927" s="10">
        <v>46210</v>
      </c>
      <c r="B3927" t="s">
        <v>1</v>
      </c>
      <c r="C3927" t="s">
        <v>125</v>
      </c>
      <c r="D3927">
        <v>2</v>
      </c>
      <c r="E3927">
        <v>0</v>
      </c>
      <c r="I3927">
        <v>2</v>
      </c>
      <c r="M3927" t="s">
        <v>4047</v>
      </c>
    </row>
    <row r="3928" spans="1:13" ht="15" customHeight="1">
      <c r="A3928" s="10">
        <v>46210</v>
      </c>
      <c r="B3928" t="s">
        <v>1</v>
      </c>
      <c r="C3928" t="s">
        <v>126</v>
      </c>
      <c r="D3928">
        <v>2</v>
      </c>
      <c r="E3928">
        <v>0</v>
      </c>
      <c r="I3928">
        <v>2</v>
      </c>
      <c r="M3928" t="s">
        <v>4048</v>
      </c>
    </row>
    <row r="3929" spans="1:13" ht="15" customHeight="1">
      <c r="A3929" s="10">
        <v>46210</v>
      </c>
      <c r="B3929" t="s">
        <v>1</v>
      </c>
      <c r="C3929" t="s">
        <v>128</v>
      </c>
      <c r="D3929">
        <v>3</v>
      </c>
      <c r="E3929">
        <v>0</v>
      </c>
      <c r="I3929">
        <v>2</v>
      </c>
      <c r="M3929" t="s">
        <v>4049</v>
      </c>
    </row>
    <row r="3930" spans="1:13" ht="15" customHeight="1">
      <c r="A3930" s="10">
        <v>46210</v>
      </c>
      <c r="B3930" t="s">
        <v>1</v>
      </c>
      <c r="C3930" t="s">
        <v>130</v>
      </c>
      <c r="D3930">
        <v>5</v>
      </c>
      <c r="E3930">
        <v>0</v>
      </c>
      <c r="I3930">
        <v>5</v>
      </c>
      <c r="M3930" t="s">
        <v>4050</v>
      </c>
    </row>
    <row r="3931" spans="1:13" ht="15" customHeight="1">
      <c r="A3931" s="10">
        <v>46210</v>
      </c>
      <c r="B3931" t="s">
        <v>1</v>
      </c>
      <c r="C3931" t="s">
        <v>285</v>
      </c>
      <c r="D3931">
        <v>2</v>
      </c>
      <c r="E3931">
        <v>0</v>
      </c>
      <c r="I3931">
        <v>2</v>
      </c>
      <c r="M3931" t="s">
        <v>4051</v>
      </c>
    </row>
    <row r="3932" spans="1:13" ht="15" customHeight="1">
      <c r="A3932" s="10">
        <v>46210</v>
      </c>
      <c r="B3932" t="s">
        <v>1</v>
      </c>
      <c r="C3932" t="s">
        <v>287</v>
      </c>
      <c r="D3932">
        <v>2</v>
      </c>
      <c r="E3932">
        <v>0</v>
      </c>
      <c r="I3932">
        <v>2</v>
      </c>
      <c r="M3932" t="s">
        <v>4052</v>
      </c>
    </row>
    <row r="3933" spans="1:13" ht="15" customHeight="1">
      <c r="A3933" s="10">
        <v>46210</v>
      </c>
      <c r="B3933" t="s">
        <v>1</v>
      </c>
      <c r="C3933" t="s">
        <v>289</v>
      </c>
      <c r="D3933">
        <v>2</v>
      </c>
      <c r="E3933">
        <v>0</v>
      </c>
      <c r="I3933">
        <v>2</v>
      </c>
      <c r="M3933" t="s">
        <v>4053</v>
      </c>
    </row>
    <row r="3934" spans="1:13" ht="15" customHeight="1">
      <c r="A3934" s="10">
        <v>46210</v>
      </c>
      <c r="B3934" t="s">
        <v>1</v>
      </c>
      <c r="C3934" t="s">
        <v>291</v>
      </c>
      <c r="D3934">
        <v>2</v>
      </c>
      <c r="E3934">
        <v>0</v>
      </c>
      <c r="I3934">
        <v>2</v>
      </c>
      <c r="M3934" t="s">
        <v>4054</v>
      </c>
    </row>
    <row r="3935" spans="1:13" ht="15" customHeight="1">
      <c r="A3935" s="10">
        <v>46210</v>
      </c>
      <c r="B3935" t="s">
        <v>1</v>
      </c>
      <c r="C3935" t="s">
        <v>293</v>
      </c>
      <c r="D3935">
        <v>2</v>
      </c>
      <c r="E3935">
        <v>0</v>
      </c>
      <c r="I3935">
        <v>3</v>
      </c>
      <c r="M3935" t="s">
        <v>4055</v>
      </c>
    </row>
    <row r="3936" spans="1:13" ht="15" customHeight="1">
      <c r="A3936" s="10">
        <v>46210</v>
      </c>
      <c r="B3936" t="s">
        <v>1</v>
      </c>
      <c r="C3936" s="135" t="s">
        <v>138</v>
      </c>
      <c r="D3936">
        <v>0</v>
      </c>
      <c r="E3936">
        <v>24</v>
      </c>
      <c r="I3936">
        <v>0</v>
      </c>
      <c r="J3936">
        <v>23</v>
      </c>
      <c r="M3936" t="s">
        <v>4056</v>
      </c>
    </row>
    <row r="3937" spans="1:13" ht="15" customHeight="1">
      <c r="A3937" s="10">
        <v>46210</v>
      </c>
      <c r="B3937" t="s">
        <v>1</v>
      </c>
      <c r="C3937" s="135" t="s">
        <v>139</v>
      </c>
      <c r="D3937">
        <v>0</v>
      </c>
      <c r="E3937">
        <v>30</v>
      </c>
      <c r="I3937">
        <v>0</v>
      </c>
      <c r="J3937">
        <v>30</v>
      </c>
      <c r="M3937" t="s">
        <v>4057</v>
      </c>
    </row>
    <row r="3938" spans="1:13" ht="15" customHeight="1">
      <c r="A3938" s="10">
        <v>46210</v>
      </c>
      <c r="B3938" t="s">
        <v>1</v>
      </c>
      <c r="C3938" s="135" t="s">
        <v>140</v>
      </c>
      <c r="D3938">
        <v>0</v>
      </c>
      <c r="E3938">
        <v>28</v>
      </c>
      <c r="I3938">
        <v>0</v>
      </c>
      <c r="J3938">
        <v>27</v>
      </c>
      <c r="M3938" t="s">
        <v>4058</v>
      </c>
    </row>
    <row r="3939" spans="1:13" ht="15" customHeight="1">
      <c r="A3939" s="10">
        <v>46210</v>
      </c>
      <c r="B3939" t="s">
        <v>1</v>
      </c>
      <c r="C3939" s="135" t="s">
        <v>141</v>
      </c>
      <c r="D3939">
        <v>0</v>
      </c>
      <c r="E3939">
        <v>1</v>
      </c>
      <c r="I3939">
        <v>0</v>
      </c>
      <c r="J3939">
        <v>1</v>
      </c>
      <c r="M3939" t="s">
        <v>4059</v>
      </c>
    </row>
    <row r="3940" spans="1:13" ht="15" customHeight="1">
      <c r="A3940" s="10">
        <v>46210</v>
      </c>
      <c r="B3940" t="s">
        <v>1</v>
      </c>
      <c r="C3940" s="135" t="s">
        <v>143</v>
      </c>
      <c r="D3940">
        <v>0</v>
      </c>
      <c r="E3940">
        <v>47</v>
      </c>
      <c r="I3940">
        <v>0</v>
      </c>
      <c r="J3940">
        <v>44</v>
      </c>
      <c r="M3940" t="s">
        <v>4060</v>
      </c>
    </row>
    <row r="3941" spans="1:13" ht="15" customHeight="1">
      <c r="A3941" s="10">
        <v>46210</v>
      </c>
      <c r="B3941" t="s">
        <v>1</v>
      </c>
      <c r="C3941" s="135" t="s">
        <v>145</v>
      </c>
      <c r="D3941">
        <v>0</v>
      </c>
      <c r="E3941">
        <v>66</v>
      </c>
      <c r="I3941">
        <v>0</v>
      </c>
      <c r="J3941">
        <v>67</v>
      </c>
      <c r="M3941" t="s">
        <v>4061</v>
      </c>
    </row>
    <row r="3942" spans="1:13" ht="15" customHeight="1">
      <c r="A3942" s="10">
        <v>46210</v>
      </c>
      <c r="B3942" t="s">
        <v>1</v>
      </c>
      <c r="C3942" s="135" t="s">
        <v>147</v>
      </c>
      <c r="D3942">
        <v>0</v>
      </c>
      <c r="E3942">
        <v>26</v>
      </c>
      <c r="I3942">
        <v>0</v>
      </c>
      <c r="J3942">
        <v>26</v>
      </c>
      <c r="M3942" t="s">
        <v>4062</v>
      </c>
    </row>
    <row r="3943" spans="1:13" ht="15" customHeight="1">
      <c r="A3943" s="10">
        <v>46210</v>
      </c>
      <c r="B3943" t="s">
        <v>1</v>
      </c>
      <c r="C3943" t="s">
        <v>302</v>
      </c>
      <c r="D3943">
        <v>2</v>
      </c>
      <c r="E3943">
        <v>0</v>
      </c>
      <c r="I3943">
        <v>2</v>
      </c>
      <c r="M3943" t="s">
        <v>4063</v>
      </c>
    </row>
    <row r="3944" spans="1:13" ht="15" customHeight="1">
      <c r="A3944" s="10">
        <v>46210</v>
      </c>
      <c r="B3944" t="s">
        <v>1</v>
      </c>
      <c r="C3944" t="s">
        <v>150</v>
      </c>
      <c r="D3944">
        <v>2</v>
      </c>
      <c r="E3944">
        <v>0</v>
      </c>
      <c r="I3944">
        <v>1</v>
      </c>
      <c r="M3944" t="s">
        <v>4064</v>
      </c>
    </row>
    <row r="3945" spans="1:13" ht="15" customHeight="1">
      <c r="A3945" s="10">
        <v>46210</v>
      </c>
      <c r="B3945" t="s">
        <v>1</v>
      </c>
      <c r="C3945" t="s">
        <v>151</v>
      </c>
      <c r="D3945">
        <v>2</v>
      </c>
      <c r="E3945">
        <v>0</v>
      </c>
      <c r="I3945">
        <v>2</v>
      </c>
      <c r="M3945" t="s">
        <v>4065</v>
      </c>
    </row>
    <row r="3946" spans="1:13" ht="15" customHeight="1">
      <c r="A3946" s="10">
        <v>46210</v>
      </c>
      <c r="B3946" t="s">
        <v>1</v>
      </c>
      <c r="C3946" t="s">
        <v>152</v>
      </c>
      <c r="D3946">
        <v>2</v>
      </c>
      <c r="E3946">
        <v>0</v>
      </c>
      <c r="I3946">
        <v>2</v>
      </c>
      <c r="M3946" t="s">
        <v>4066</v>
      </c>
    </row>
    <row r="3947" spans="1:13" ht="15" customHeight="1">
      <c r="A3947" s="10">
        <v>46210</v>
      </c>
      <c r="B3947" t="s">
        <v>1</v>
      </c>
      <c r="C3947" t="s">
        <v>153</v>
      </c>
      <c r="D3947">
        <v>2</v>
      </c>
      <c r="E3947">
        <v>0</v>
      </c>
      <c r="I3947">
        <v>2</v>
      </c>
      <c r="M3947" t="s">
        <v>4067</v>
      </c>
    </row>
    <row r="3948" spans="1:13" ht="15" customHeight="1">
      <c r="A3948" s="10">
        <v>46210</v>
      </c>
      <c r="B3948" t="s">
        <v>1</v>
      </c>
      <c r="C3948" t="s">
        <v>308</v>
      </c>
      <c r="D3948">
        <v>0</v>
      </c>
      <c r="E3948">
        <v>4</v>
      </c>
      <c r="I3948">
        <v>0</v>
      </c>
      <c r="J3948">
        <v>5</v>
      </c>
      <c r="M3948" t="s">
        <v>4068</v>
      </c>
    </row>
    <row r="3949" spans="1:13" ht="15" customHeight="1">
      <c r="A3949" s="10">
        <v>46210</v>
      </c>
      <c r="B3949" t="s">
        <v>1</v>
      </c>
      <c r="C3949" t="s">
        <v>310</v>
      </c>
      <c r="D3949">
        <v>0</v>
      </c>
      <c r="E3949">
        <v>2</v>
      </c>
      <c r="I3949">
        <v>0</v>
      </c>
      <c r="J3949">
        <v>2</v>
      </c>
      <c r="M3949" t="s">
        <v>4069</v>
      </c>
    </row>
    <row r="3950" spans="1:13" ht="15" customHeight="1">
      <c r="A3950" s="10">
        <v>46210</v>
      </c>
      <c r="B3950" t="s">
        <v>1</v>
      </c>
      <c r="C3950" t="s">
        <v>312</v>
      </c>
      <c r="D3950">
        <v>0</v>
      </c>
      <c r="E3950">
        <v>3</v>
      </c>
      <c r="I3950">
        <v>0</v>
      </c>
      <c r="J3950">
        <v>3</v>
      </c>
      <c r="M3950" t="s">
        <v>4070</v>
      </c>
    </row>
    <row r="3951" spans="1:13" ht="15" customHeight="1">
      <c r="A3951" s="10">
        <v>46210</v>
      </c>
      <c r="B3951" t="s">
        <v>1</v>
      </c>
      <c r="C3951" t="s">
        <v>314</v>
      </c>
      <c r="D3951">
        <v>1</v>
      </c>
      <c r="E3951">
        <v>0</v>
      </c>
      <c r="I3951">
        <v>1</v>
      </c>
      <c r="M3951" t="s">
        <v>4071</v>
      </c>
    </row>
    <row r="3952" spans="1:13" ht="15" customHeight="1">
      <c r="A3952" s="10">
        <v>46210</v>
      </c>
      <c r="B3952" t="s">
        <v>1</v>
      </c>
      <c r="C3952" t="s">
        <v>316</v>
      </c>
      <c r="D3952">
        <v>1</v>
      </c>
      <c r="E3952">
        <v>0</v>
      </c>
      <c r="I3952">
        <v>1</v>
      </c>
      <c r="M3952" t="s">
        <v>4072</v>
      </c>
    </row>
    <row r="3953" spans="1:13" ht="15" customHeight="1">
      <c r="A3953" s="10">
        <v>46210</v>
      </c>
      <c r="B3953" t="s">
        <v>1</v>
      </c>
      <c r="C3953" t="s">
        <v>318</v>
      </c>
      <c r="D3953">
        <v>4</v>
      </c>
      <c r="E3953">
        <v>0</v>
      </c>
      <c r="I3953">
        <v>2</v>
      </c>
      <c r="M3953" t="s">
        <v>4073</v>
      </c>
    </row>
    <row r="3954" spans="1:13" ht="15" customHeight="1">
      <c r="A3954" s="10">
        <v>46210</v>
      </c>
      <c r="B3954" t="s">
        <v>1</v>
      </c>
      <c r="C3954" t="s">
        <v>320</v>
      </c>
      <c r="D3954">
        <v>1</v>
      </c>
      <c r="E3954">
        <v>0</v>
      </c>
      <c r="I3954">
        <v>1</v>
      </c>
      <c r="M3954" t="s">
        <v>4074</v>
      </c>
    </row>
    <row r="3955" spans="1:13" ht="15" customHeight="1">
      <c r="A3955" s="10">
        <v>46210</v>
      </c>
      <c r="B3955" t="s">
        <v>1</v>
      </c>
      <c r="C3955" s="135" t="s">
        <v>168</v>
      </c>
      <c r="D3955">
        <v>1</v>
      </c>
      <c r="E3955">
        <v>0</v>
      </c>
      <c r="I3955">
        <v>1</v>
      </c>
      <c r="M3955" t="s">
        <v>4075</v>
      </c>
    </row>
    <row r="3956" spans="1:13" ht="15" customHeight="1">
      <c r="A3956" s="10">
        <v>46210</v>
      </c>
      <c r="B3956" t="s">
        <v>1</v>
      </c>
      <c r="C3956" s="135" t="s">
        <v>170</v>
      </c>
      <c r="D3956">
        <v>1</v>
      </c>
      <c r="E3956">
        <v>0</v>
      </c>
      <c r="I3956">
        <v>1</v>
      </c>
      <c r="M3956" t="s">
        <v>4076</v>
      </c>
    </row>
    <row r="3957" spans="1:13" ht="15" customHeight="1">
      <c r="A3957" s="10">
        <v>46210</v>
      </c>
      <c r="B3957" t="s">
        <v>1</v>
      </c>
      <c r="C3957" s="135" t="s">
        <v>171</v>
      </c>
      <c r="D3957">
        <v>2</v>
      </c>
      <c r="E3957">
        <v>0</v>
      </c>
      <c r="I3957">
        <v>2</v>
      </c>
      <c r="M3957" t="s">
        <v>4077</v>
      </c>
    </row>
    <row r="3958" spans="1:13" ht="15" customHeight="1">
      <c r="A3958" s="10">
        <v>46210</v>
      </c>
      <c r="B3958" t="s">
        <v>1</v>
      </c>
      <c r="C3958" s="135" t="s">
        <v>172</v>
      </c>
      <c r="D3958">
        <v>1</v>
      </c>
      <c r="E3958">
        <v>0</v>
      </c>
      <c r="I3958">
        <v>1</v>
      </c>
      <c r="M3958" t="s">
        <v>4078</v>
      </c>
    </row>
    <row r="3959" spans="1:13" ht="15" customHeight="1">
      <c r="A3959" s="10">
        <v>46210</v>
      </c>
      <c r="B3959" t="s">
        <v>1</v>
      </c>
      <c r="C3959" s="135" t="s">
        <v>173</v>
      </c>
      <c r="D3959">
        <v>0</v>
      </c>
      <c r="E3959">
        <v>0</v>
      </c>
      <c r="I3959">
        <v>0</v>
      </c>
      <c r="M3959" t="s">
        <v>4079</v>
      </c>
    </row>
    <row r="3960" spans="1:13" ht="15" customHeight="1">
      <c r="A3960" s="10">
        <v>46210</v>
      </c>
      <c r="B3960" t="s">
        <v>1</v>
      </c>
      <c r="C3960" t="s">
        <v>176</v>
      </c>
      <c r="D3960">
        <v>0</v>
      </c>
      <c r="E3960">
        <v>13</v>
      </c>
      <c r="H3960">
        <v>1</v>
      </c>
      <c r="I3960">
        <v>0</v>
      </c>
      <c r="J3960">
        <v>12</v>
      </c>
      <c r="M3960" t="s">
        <v>4080</v>
      </c>
    </row>
    <row r="3961" spans="1:13" ht="15" customHeight="1">
      <c r="A3961" s="10">
        <v>46210</v>
      </c>
      <c r="B3961" t="s">
        <v>1</v>
      </c>
      <c r="C3961" t="s">
        <v>178</v>
      </c>
      <c r="D3961">
        <v>0</v>
      </c>
      <c r="E3961">
        <v>17</v>
      </c>
      <c r="H3961">
        <v>2</v>
      </c>
      <c r="I3961">
        <v>0</v>
      </c>
      <c r="J3961">
        <v>15</v>
      </c>
      <c r="M3961" t="s">
        <v>4081</v>
      </c>
    </row>
    <row r="3962" spans="1:13" ht="15" customHeight="1">
      <c r="A3962" s="10">
        <v>46210</v>
      </c>
      <c r="B3962" t="s">
        <v>1</v>
      </c>
      <c r="C3962" t="s">
        <v>179</v>
      </c>
      <c r="D3962">
        <v>0</v>
      </c>
      <c r="E3962">
        <v>18</v>
      </c>
      <c r="I3962">
        <v>0</v>
      </c>
      <c r="J3962">
        <v>18</v>
      </c>
      <c r="M3962" t="s">
        <v>4082</v>
      </c>
    </row>
    <row r="3963" spans="1:13" ht="15" customHeight="1">
      <c r="A3963" s="10">
        <v>46210</v>
      </c>
      <c r="B3963" t="s">
        <v>1</v>
      </c>
      <c r="C3963" t="s">
        <v>180</v>
      </c>
      <c r="D3963">
        <v>0</v>
      </c>
      <c r="E3963">
        <v>20</v>
      </c>
      <c r="I3963">
        <v>0</v>
      </c>
      <c r="J3963">
        <v>20</v>
      </c>
      <c r="M3963" t="s">
        <v>4083</v>
      </c>
    </row>
    <row r="3964" spans="1:13" ht="15" customHeight="1">
      <c r="A3964" s="10">
        <v>46210</v>
      </c>
      <c r="B3964" t="s">
        <v>1</v>
      </c>
      <c r="C3964" s="135" t="s">
        <v>182</v>
      </c>
      <c r="D3964">
        <v>1</v>
      </c>
      <c r="E3964">
        <v>210</v>
      </c>
      <c r="I3964">
        <v>1</v>
      </c>
      <c r="J3964">
        <v>200</v>
      </c>
      <c r="M3964" t="s">
        <v>4084</v>
      </c>
    </row>
    <row r="3965" spans="1:13" ht="15" customHeight="1">
      <c r="A3965" s="10">
        <v>46210</v>
      </c>
      <c r="B3965" t="s">
        <v>1</v>
      </c>
      <c r="C3965" s="135" t="s">
        <v>184</v>
      </c>
      <c r="D3965">
        <v>1</v>
      </c>
      <c r="E3965">
        <v>60</v>
      </c>
      <c r="I3965">
        <v>1</v>
      </c>
      <c r="J3965">
        <v>60</v>
      </c>
      <c r="M3965" t="s">
        <v>4085</v>
      </c>
    </row>
    <row r="3966" spans="1:13" ht="15" customHeight="1">
      <c r="A3966" s="10">
        <v>46210</v>
      </c>
      <c r="B3966" t="s">
        <v>1</v>
      </c>
      <c r="C3966" s="135" t="s">
        <v>185</v>
      </c>
      <c r="D3966">
        <v>1</v>
      </c>
      <c r="E3966">
        <v>20</v>
      </c>
      <c r="I3966">
        <v>1</v>
      </c>
      <c r="J3966">
        <v>20</v>
      </c>
      <c r="M3966" t="s">
        <v>4086</v>
      </c>
    </row>
    <row r="3967" spans="1:13" ht="15" customHeight="1">
      <c r="A3967" s="10">
        <v>46210</v>
      </c>
      <c r="B3967" t="s">
        <v>1</v>
      </c>
      <c r="C3967" s="135" t="s">
        <v>186</v>
      </c>
      <c r="D3967">
        <v>0</v>
      </c>
      <c r="E3967">
        <v>795</v>
      </c>
      <c r="I3967">
        <v>0</v>
      </c>
      <c r="J3967">
        <v>795</v>
      </c>
      <c r="M3967" t="s">
        <v>4087</v>
      </c>
    </row>
    <row r="3968" spans="1:13" ht="15" customHeight="1">
      <c r="A3968" s="10">
        <v>46210</v>
      </c>
      <c r="B3968" t="s">
        <v>1</v>
      </c>
      <c r="C3968" t="s">
        <v>337</v>
      </c>
      <c r="D3968">
        <v>2</v>
      </c>
      <c r="E3968">
        <v>218</v>
      </c>
      <c r="I3968">
        <v>2</v>
      </c>
      <c r="J3968">
        <v>197</v>
      </c>
      <c r="M3968" t="s">
        <v>4088</v>
      </c>
    </row>
    <row r="3969" spans="1:13" ht="15" customHeight="1">
      <c r="A3969" s="10">
        <v>46210</v>
      </c>
      <c r="B3969" t="s">
        <v>1</v>
      </c>
      <c r="C3969" t="s">
        <v>339</v>
      </c>
      <c r="D3969">
        <v>0</v>
      </c>
      <c r="E3969">
        <v>0</v>
      </c>
      <c r="I3969">
        <v>0</v>
      </c>
      <c r="J3969">
        <v>0</v>
      </c>
      <c r="M3969" t="s">
        <v>4089</v>
      </c>
    </row>
    <row r="3970" spans="1:13" ht="15" customHeight="1">
      <c r="A3970" s="10">
        <v>46210</v>
      </c>
      <c r="B3970" t="s">
        <v>1</v>
      </c>
      <c r="C3970" s="135" t="s">
        <v>191</v>
      </c>
      <c r="D3970">
        <v>1</v>
      </c>
      <c r="E3970">
        <v>175</v>
      </c>
      <c r="I3970">
        <v>1</v>
      </c>
      <c r="J3970">
        <v>175</v>
      </c>
      <c r="M3970" t="s">
        <v>4090</v>
      </c>
    </row>
    <row r="3971" spans="1:13" ht="15" customHeight="1">
      <c r="A3971" s="10">
        <v>46210</v>
      </c>
      <c r="B3971" t="s">
        <v>1</v>
      </c>
      <c r="C3971" s="135" t="s">
        <v>193</v>
      </c>
      <c r="D3971">
        <v>1</v>
      </c>
      <c r="E3971">
        <v>100</v>
      </c>
      <c r="I3971">
        <v>0</v>
      </c>
      <c r="J3971">
        <v>596</v>
      </c>
      <c r="M3971" t="s">
        <v>4091</v>
      </c>
    </row>
    <row r="3972" spans="1:13" ht="15" customHeight="1">
      <c r="A3972" s="10">
        <v>46210</v>
      </c>
      <c r="B3972" t="s">
        <v>1</v>
      </c>
      <c r="C3972" s="135" t="s">
        <v>194</v>
      </c>
      <c r="D3972">
        <v>1</v>
      </c>
      <c r="E3972">
        <v>36</v>
      </c>
      <c r="I3972">
        <v>1</v>
      </c>
      <c r="J3972">
        <v>22</v>
      </c>
      <c r="M3972" t="s">
        <v>4092</v>
      </c>
    </row>
    <row r="3973" spans="1:13" ht="15" customHeight="1">
      <c r="A3973" s="10">
        <v>46210</v>
      </c>
      <c r="B3973" t="s">
        <v>1</v>
      </c>
      <c r="C3973" s="135" t="s">
        <v>196</v>
      </c>
      <c r="D3973">
        <v>1</v>
      </c>
      <c r="E3973">
        <v>125</v>
      </c>
      <c r="I3973">
        <v>1</v>
      </c>
      <c r="J3973">
        <v>97</v>
      </c>
      <c r="M3973" t="s">
        <v>4093</v>
      </c>
    </row>
    <row r="3974" spans="1:13" ht="15" customHeight="1">
      <c r="A3974" s="10">
        <v>46211</v>
      </c>
      <c r="B3974" t="s">
        <v>1</v>
      </c>
      <c r="C3974" t="s">
        <v>23</v>
      </c>
      <c r="D3974">
        <v>0</v>
      </c>
      <c r="E3974">
        <v>1348</v>
      </c>
      <c r="F3974">
        <v>5</v>
      </c>
      <c r="I3974">
        <v>5</v>
      </c>
      <c r="J3974">
        <v>577</v>
      </c>
      <c r="M3974" t="s">
        <v>4094</v>
      </c>
    </row>
    <row r="3975" spans="1:13" ht="15" customHeight="1">
      <c r="A3975" s="10">
        <v>46211</v>
      </c>
      <c r="B3975" t="s">
        <v>1</v>
      </c>
      <c r="C3975" t="s">
        <v>26</v>
      </c>
      <c r="D3975">
        <v>1</v>
      </c>
      <c r="E3975">
        <v>974</v>
      </c>
      <c r="I3975">
        <v>1</v>
      </c>
      <c r="J3975">
        <v>500</v>
      </c>
      <c r="M3975" t="s">
        <v>4095</v>
      </c>
    </row>
    <row r="3976" spans="1:13" ht="15" customHeight="1">
      <c r="A3976" s="10">
        <v>46211</v>
      </c>
      <c r="B3976" t="s">
        <v>1</v>
      </c>
      <c r="C3976" t="s">
        <v>27</v>
      </c>
      <c r="D3976">
        <v>1</v>
      </c>
      <c r="E3976">
        <v>880</v>
      </c>
      <c r="I3976">
        <v>2</v>
      </c>
      <c r="J3976">
        <v>200</v>
      </c>
      <c r="M3976" t="s">
        <v>4096</v>
      </c>
    </row>
    <row r="3977" spans="1:13" ht="15" customHeight="1">
      <c r="A3977" s="10">
        <v>46211</v>
      </c>
      <c r="B3977" t="s">
        <v>1</v>
      </c>
      <c r="C3977" t="s">
        <v>28</v>
      </c>
      <c r="D3977">
        <v>0</v>
      </c>
      <c r="E3977">
        <v>0</v>
      </c>
      <c r="I3977">
        <v>0</v>
      </c>
      <c r="J3977">
        <v>0</v>
      </c>
      <c r="M3977" t="s">
        <v>4097</v>
      </c>
    </row>
    <row r="3978" spans="1:13" ht="15" customHeight="1">
      <c r="A3978" s="10">
        <v>46211</v>
      </c>
      <c r="B3978" t="s">
        <v>1</v>
      </c>
      <c r="C3978" t="s">
        <v>29</v>
      </c>
      <c r="D3978">
        <v>0</v>
      </c>
      <c r="E3978">
        <v>407</v>
      </c>
      <c r="I3978">
        <v>1</v>
      </c>
      <c r="J3978">
        <v>5</v>
      </c>
      <c r="M3978" t="s">
        <v>4098</v>
      </c>
    </row>
    <row r="3979" spans="1:13" ht="15" customHeight="1">
      <c r="A3979" s="10">
        <v>46211</v>
      </c>
      <c r="B3979" t="s">
        <v>1</v>
      </c>
      <c r="C3979" t="s">
        <v>30</v>
      </c>
      <c r="D3979">
        <v>1</v>
      </c>
      <c r="E3979">
        <v>634</v>
      </c>
      <c r="I3979">
        <v>1</v>
      </c>
      <c r="J3979">
        <v>633</v>
      </c>
      <c r="M3979" t="s">
        <v>4099</v>
      </c>
    </row>
    <row r="3980" spans="1:13" ht="15" customHeight="1">
      <c r="A3980" s="10">
        <v>46211</v>
      </c>
      <c r="B3980" t="s">
        <v>1</v>
      </c>
      <c r="C3980" t="s">
        <v>31</v>
      </c>
      <c r="D3980">
        <v>1</v>
      </c>
      <c r="E3980">
        <v>293</v>
      </c>
      <c r="I3980">
        <v>1</v>
      </c>
      <c r="J3980">
        <v>213</v>
      </c>
      <c r="M3980" t="s">
        <v>4100</v>
      </c>
    </row>
    <row r="3981" spans="1:13" ht="15" customHeight="1">
      <c r="A3981" s="10">
        <v>46211</v>
      </c>
      <c r="B3981" t="s">
        <v>1</v>
      </c>
      <c r="C3981" t="s">
        <v>32</v>
      </c>
      <c r="D3981">
        <v>0</v>
      </c>
      <c r="E3981">
        <v>680</v>
      </c>
      <c r="I3981">
        <v>1</v>
      </c>
      <c r="J3981">
        <v>489</v>
      </c>
      <c r="M3981" t="s">
        <v>4101</v>
      </c>
    </row>
    <row r="3982" spans="1:13" ht="15" customHeight="1">
      <c r="A3982" s="10">
        <v>46211</v>
      </c>
      <c r="B3982" t="s">
        <v>1</v>
      </c>
      <c r="C3982" t="s">
        <v>223</v>
      </c>
      <c r="D3982">
        <v>4</v>
      </c>
      <c r="E3982">
        <v>976</v>
      </c>
      <c r="I3982">
        <v>3</v>
      </c>
      <c r="J3982">
        <v>610</v>
      </c>
      <c r="M3982" t="s">
        <v>4102</v>
      </c>
    </row>
    <row r="3983" spans="1:13" ht="15" customHeight="1">
      <c r="A3983" s="10">
        <v>46211</v>
      </c>
      <c r="B3983" t="s">
        <v>1</v>
      </c>
      <c r="C3983" t="s">
        <v>35</v>
      </c>
      <c r="D3983">
        <v>0</v>
      </c>
      <c r="E3983">
        <v>0</v>
      </c>
      <c r="F3983">
        <v>5</v>
      </c>
      <c r="I3983">
        <v>5</v>
      </c>
      <c r="M3983" t="s">
        <v>4103</v>
      </c>
    </row>
    <row r="3984" spans="1:13" ht="15" customHeight="1">
      <c r="A3984" s="10">
        <v>46211</v>
      </c>
      <c r="B3984" t="s">
        <v>1</v>
      </c>
      <c r="C3984" t="s">
        <v>37</v>
      </c>
      <c r="D3984">
        <v>2</v>
      </c>
      <c r="E3984">
        <v>0</v>
      </c>
      <c r="H3984">
        <v>1</v>
      </c>
      <c r="I3984">
        <v>1</v>
      </c>
      <c r="M3984" t="s">
        <v>4104</v>
      </c>
    </row>
    <row r="3985" spans="1:13" ht="15" customHeight="1">
      <c r="A3985" s="10">
        <v>46211</v>
      </c>
      <c r="B3985" t="s">
        <v>1</v>
      </c>
      <c r="C3985" t="s">
        <v>39</v>
      </c>
      <c r="D3985">
        <v>17</v>
      </c>
      <c r="E3985">
        <v>0</v>
      </c>
      <c r="I3985">
        <v>17</v>
      </c>
      <c r="J3985">
        <v>0</v>
      </c>
      <c r="M3985" t="s">
        <v>4105</v>
      </c>
    </row>
    <row r="3986" spans="1:13" ht="15" customHeight="1">
      <c r="A3986" s="10">
        <v>46211</v>
      </c>
      <c r="B3986" t="s">
        <v>1</v>
      </c>
      <c r="C3986" t="s">
        <v>41</v>
      </c>
      <c r="D3986">
        <v>18</v>
      </c>
      <c r="E3986">
        <v>0</v>
      </c>
      <c r="H3986">
        <v>1</v>
      </c>
      <c r="I3986">
        <v>17</v>
      </c>
      <c r="J3986">
        <v>0</v>
      </c>
      <c r="M3986" t="s">
        <v>4106</v>
      </c>
    </row>
    <row r="3987" spans="1:13" ht="15" customHeight="1">
      <c r="A3987" s="10">
        <v>46211</v>
      </c>
      <c r="B3987" t="s">
        <v>1</v>
      </c>
      <c r="C3987" t="s">
        <v>232</v>
      </c>
      <c r="D3987">
        <v>0</v>
      </c>
      <c r="E3987">
        <v>0</v>
      </c>
      <c r="I3987">
        <v>0</v>
      </c>
      <c r="J3987">
        <v>0</v>
      </c>
      <c r="M3987" t="s">
        <v>4107</v>
      </c>
    </row>
    <row r="3988" spans="1:13" ht="15" customHeight="1">
      <c r="A3988" s="10">
        <v>46211</v>
      </c>
      <c r="B3988" t="s">
        <v>1</v>
      </c>
      <c r="C3988" t="s">
        <v>234</v>
      </c>
      <c r="D3988">
        <v>82</v>
      </c>
      <c r="E3988">
        <v>0</v>
      </c>
      <c r="H3988">
        <v>17</v>
      </c>
      <c r="I3988">
        <v>65</v>
      </c>
      <c r="J3988">
        <v>0</v>
      </c>
      <c r="M3988" t="s">
        <v>4108</v>
      </c>
    </row>
    <row r="3989" spans="1:13" ht="15" customHeight="1">
      <c r="A3989" s="10">
        <v>46211</v>
      </c>
      <c r="B3989" t="s">
        <v>1</v>
      </c>
      <c r="C3989" t="s">
        <v>54</v>
      </c>
      <c r="D3989">
        <v>0</v>
      </c>
      <c r="E3989">
        <v>0</v>
      </c>
      <c r="I3989">
        <v>0</v>
      </c>
      <c r="J3989">
        <v>0</v>
      </c>
      <c r="M3989" t="s">
        <v>4109</v>
      </c>
    </row>
    <row r="3990" spans="1:13" ht="15" customHeight="1">
      <c r="A3990" s="10">
        <v>46211</v>
      </c>
      <c r="B3990" t="s">
        <v>1</v>
      </c>
      <c r="C3990" t="s">
        <v>237</v>
      </c>
      <c r="D3990">
        <v>7</v>
      </c>
      <c r="E3990">
        <v>0</v>
      </c>
      <c r="I3990">
        <v>7</v>
      </c>
      <c r="J3990">
        <v>0</v>
      </c>
      <c r="M3990" t="s">
        <v>4110</v>
      </c>
    </row>
    <row r="3991" spans="1:13" ht="15" customHeight="1">
      <c r="A3991" s="10">
        <v>46211</v>
      </c>
      <c r="B3991" t="s">
        <v>1</v>
      </c>
      <c r="C3991" s="135" t="s">
        <v>58</v>
      </c>
      <c r="D3991">
        <v>3</v>
      </c>
      <c r="E3991">
        <v>0</v>
      </c>
      <c r="F3991">
        <v>5</v>
      </c>
      <c r="H3991">
        <v>3</v>
      </c>
      <c r="I3991">
        <v>5</v>
      </c>
      <c r="J3991">
        <v>0</v>
      </c>
      <c r="M3991" t="s">
        <v>4111</v>
      </c>
    </row>
    <row r="3992" spans="1:13" ht="15" customHeight="1">
      <c r="A3992" s="10">
        <v>46211</v>
      </c>
      <c r="B3992" t="s">
        <v>1</v>
      </c>
      <c r="C3992" s="135" t="s">
        <v>60</v>
      </c>
      <c r="D3992">
        <v>0</v>
      </c>
      <c r="E3992">
        <v>0</v>
      </c>
      <c r="F3992">
        <v>5</v>
      </c>
      <c r="H3992">
        <v>1</v>
      </c>
      <c r="I3992">
        <v>4</v>
      </c>
      <c r="J3992">
        <v>0</v>
      </c>
      <c r="M3992" t="s">
        <v>4112</v>
      </c>
    </row>
    <row r="3993" spans="1:13" ht="15" customHeight="1">
      <c r="A3993" s="10">
        <v>46211</v>
      </c>
      <c r="B3993" t="s">
        <v>1</v>
      </c>
      <c r="C3993" s="135" t="s">
        <v>61</v>
      </c>
      <c r="D3993">
        <v>1</v>
      </c>
      <c r="E3993">
        <v>0</v>
      </c>
      <c r="F3993">
        <v>5</v>
      </c>
      <c r="H3993">
        <v>2</v>
      </c>
      <c r="I3993">
        <v>4</v>
      </c>
      <c r="J3993">
        <v>0</v>
      </c>
      <c r="M3993" t="s">
        <v>4113</v>
      </c>
    </row>
    <row r="3994" spans="1:13" ht="15" customHeight="1">
      <c r="A3994" s="10">
        <v>46211</v>
      </c>
      <c r="B3994" t="s">
        <v>1</v>
      </c>
      <c r="C3994" s="135" t="s">
        <v>62</v>
      </c>
      <c r="D3994">
        <v>2</v>
      </c>
      <c r="E3994">
        <v>0</v>
      </c>
      <c r="F3994">
        <v>3</v>
      </c>
      <c r="H3994">
        <v>2</v>
      </c>
      <c r="I3994">
        <v>3</v>
      </c>
      <c r="J3994">
        <v>0</v>
      </c>
      <c r="M3994" t="s">
        <v>4114</v>
      </c>
    </row>
    <row r="3995" spans="1:13" ht="15" customHeight="1">
      <c r="A3995" s="10">
        <v>46211</v>
      </c>
      <c r="B3995" t="s">
        <v>1</v>
      </c>
      <c r="C3995" s="135" t="s">
        <v>63</v>
      </c>
      <c r="D3995">
        <v>3</v>
      </c>
      <c r="E3995">
        <v>0</v>
      </c>
      <c r="F3995">
        <v>3</v>
      </c>
      <c r="H3995">
        <v>2</v>
      </c>
      <c r="I3995">
        <v>4</v>
      </c>
      <c r="J3995">
        <v>0</v>
      </c>
      <c r="M3995" t="s">
        <v>4115</v>
      </c>
    </row>
    <row r="3996" spans="1:13" ht="15" customHeight="1">
      <c r="A3996" s="10">
        <v>46211</v>
      </c>
      <c r="B3996" t="s">
        <v>1</v>
      </c>
      <c r="C3996" s="135" t="s">
        <v>64</v>
      </c>
      <c r="D3996">
        <v>6</v>
      </c>
      <c r="E3996">
        <v>0</v>
      </c>
      <c r="H3996">
        <v>1</v>
      </c>
      <c r="I3996">
        <v>5</v>
      </c>
      <c r="J3996">
        <v>0</v>
      </c>
      <c r="M3996" t="s">
        <v>4116</v>
      </c>
    </row>
    <row r="3997" spans="1:13" ht="15" customHeight="1">
      <c r="A3997" s="10">
        <v>46211</v>
      </c>
      <c r="B3997" t="s">
        <v>1</v>
      </c>
      <c r="C3997" t="s">
        <v>66</v>
      </c>
      <c r="D3997">
        <v>4</v>
      </c>
      <c r="E3997">
        <v>0</v>
      </c>
      <c r="I3997">
        <v>4</v>
      </c>
      <c r="J3997">
        <v>0</v>
      </c>
      <c r="M3997" t="s">
        <v>4117</v>
      </c>
    </row>
    <row r="3998" spans="1:13" ht="15" customHeight="1">
      <c r="A3998" s="10">
        <v>46211</v>
      </c>
      <c r="B3998" t="s">
        <v>1</v>
      </c>
      <c r="C3998" t="s">
        <v>67</v>
      </c>
      <c r="D3998">
        <v>1</v>
      </c>
      <c r="E3998">
        <v>0</v>
      </c>
      <c r="F3998">
        <v>4</v>
      </c>
      <c r="I3998">
        <v>5</v>
      </c>
      <c r="J3998">
        <v>0</v>
      </c>
      <c r="M3998" t="s">
        <v>4118</v>
      </c>
    </row>
    <row r="3999" spans="1:13" ht="15" customHeight="1">
      <c r="A3999" s="10">
        <v>46211</v>
      </c>
      <c r="B3999" t="s">
        <v>1</v>
      </c>
      <c r="C3999" t="s">
        <v>68</v>
      </c>
      <c r="D3999">
        <v>0</v>
      </c>
      <c r="E3999">
        <v>0</v>
      </c>
      <c r="I3999">
        <v>0</v>
      </c>
      <c r="J3999">
        <v>0</v>
      </c>
      <c r="M3999" t="s">
        <v>4119</v>
      </c>
    </row>
    <row r="4000" spans="1:13" ht="15" customHeight="1">
      <c r="A4000" s="10">
        <v>46211</v>
      </c>
      <c r="B4000" t="s">
        <v>1</v>
      </c>
      <c r="C4000" t="s">
        <v>71</v>
      </c>
      <c r="D4000">
        <v>1</v>
      </c>
      <c r="E4000">
        <v>481</v>
      </c>
      <c r="I4000">
        <v>1</v>
      </c>
      <c r="J4000">
        <v>431</v>
      </c>
      <c r="M4000" t="s">
        <v>4120</v>
      </c>
    </row>
    <row r="4001" spans="1:13" ht="15" customHeight="1">
      <c r="A4001" s="10">
        <v>46211</v>
      </c>
      <c r="B4001" t="s">
        <v>1</v>
      </c>
      <c r="C4001" t="s">
        <v>73</v>
      </c>
      <c r="D4001">
        <v>3</v>
      </c>
      <c r="E4001">
        <v>118</v>
      </c>
      <c r="I4001">
        <v>3</v>
      </c>
      <c r="J4001">
        <v>103</v>
      </c>
      <c r="M4001" t="s">
        <v>4121</v>
      </c>
    </row>
    <row r="4002" spans="1:13" ht="15" customHeight="1">
      <c r="A4002" s="10">
        <v>46211</v>
      </c>
      <c r="B4002" t="s">
        <v>1</v>
      </c>
      <c r="C4002" t="s">
        <v>75</v>
      </c>
      <c r="D4002">
        <v>2</v>
      </c>
      <c r="E4002">
        <v>158</v>
      </c>
      <c r="I4002">
        <v>2</v>
      </c>
      <c r="J4002">
        <v>148</v>
      </c>
      <c r="M4002" t="s">
        <v>4122</v>
      </c>
    </row>
    <row r="4003" spans="1:13" ht="15" customHeight="1">
      <c r="A4003" s="10">
        <v>46211</v>
      </c>
      <c r="B4003" t="s">
        <v>1</v>
      </c>
      <c r="C4003" t="s">
        <v>77</v>
      </c>
      <c r="D4003">
        <v>0</v>
      </c>
      <c r="E4003">
        <v>720</v>
      </c>
      <c r="I4003">
        <v>0</v>
      </c>
      <c r="J4003">
        <v>695</v>
      </c>
      <c r="M4003" t="s">
        <v>4123</v>
      </c>
    </row>
    <row r="4004" spans="1:13" ht="15" customHeight="1">
      <c r="A4004" s="10">
        <v>46211</v>
      </c>
      <c r="B4004" t="s">
        <v>1</v>
      </c>
      <c r="C4004" t="s">
        <v>79</v>
      </c>
      <c r="D4004">
        <v>0</v>
      </c>
      <c r="E4004">
        <v>2060</v>
      </c>
      <c r="I4004">
        <v>0</v>
      </c>
      <c r="J4004">
        <v>1925</v>
      </c>
      <c r="M4004" t="s">
        <v>4124</v>
      </c>
    </row>
    <row r="4005" spans="1:13" ht="15" customHeight="1">
      <c r="A4005" s="10">
        <v>46211</v>
      </c>
      <c r="B4005" t="s">
        <v>1</v>
      </c>
      <c r="C4005" t="s">
        <v>81</v>
      </c>
      <c r="D4005">
        <v>1</v>
      </c>
      <c r="E4005">
        <v>137</v>
      </c>
      <c r="I4005">
        <v>1</v>
      </c>
      <c r="J4005">
        <v>137</v>
      </c>
      <c r="M4005" t="s">
        <v>4125</v>
      </c>
    </row>
    <row r="4006" spans="1:13" ht="15" customHeight="1">
      <c r="A4006" s="10">
        <v>46211</v>
      </c>
      <c r="B4006" t="s">
        <v>1</v>
      </c>
      <c r="C4006" t="s">
        <v>83</v>
      </c>
      <c r="D4006">
        <v>1</v>
      </c>
      <c r="E4006">
        <v>55</v>
      </c>
      <c r="I4006">
        <v>1</v>
      </c>
      <c r="J4006">
        <v>55</v>
      </c>
      <c r="M4006" t="s">
        <v>4126</v>
      </c>
    </row>
    <row r="4007" spans="1:13" ht="15" customHeight="1">
      <c r="A4007" s="10">
        <v>46211</v>
      </c>
      <c r="B4007" t="s">
        <v>1</v>
      </c>
      <c r="C4007" t="s">
        <v>84</v>
      </c>
      <c r="D4007">
        <v>2</v>
      </c>
      <c r="E4007">
        <v>52</v>
      </c>
      <c r="I4007">
        <v>1</v>
      </c>
      <c r="J4007">
        <v>412</v>
      </c>
      <c r="M4007" t="s">
        <v>4127</v>
      </c>
    </row>
    <row r="4008" spans="1:13" ht="15" customHeight="1">
      <c r="A4008" s="10">
        <v>46211</v>
      </c>
      <c r="B4008" t="s">
        <v>1</v>
      </c>
      <c r="C4008" t="s">
        <v>85</v>
      </c>
      <c r="D4008">
        <v>0</v>
      </c>
      <c r="E4008">
        <v>120</v>
      </c>
      <c r="I4008">
        <v>0</v>
      </c>
      <c r="J4008">
        <v>120</v>
      </c>
      <c r="M4008" t="s">
        <v>4128</v>
      </c>
    </row>
    <row r="4009" spans="1:13" ht="15" customHeight="1">
      <c r="A4009" s="10">
        <v>46211</v>
      </c>
      <c r="B4009" t="s">
        <v>1</v>
      </c>
      <c r="C4009" t="s">
        <v>87</v>
      </c>
      <c r="D4009">
        <v>2</v>
      </c>
      <c r="E4009">
        <v>274</v>
      </c>
      <c r="I4009">
        <v>2</v>
      </c>
      <c r="J4009">
        <v>270</v>
      </c>
      <c r="M4009" t="s">
        <v>4129</v>
      </c>
    </row>
    <row r="4010" spans="1:13" ht="15" customHeight="1">
      <c r="A4010" s="10">
        <v>46211</v>
      </c>
      <c r="B4010" t="s">
        <v>1</v>
      </c>
      <c r="C4010" t="s">
        <v>88</v>
      </c>
      <c r="D4010">
        <v>1</v>
      </c>
      <c r="E4010">
        <v>207</v>
      </c>
      <c r="I4010">
        <v>1</v>
      </c>
      <c r="J4010">
        <v>207</v>
      </c>
      <c r="M4010" t="s">
        <v>4130</v>
      </c>
    </row>
    <row r="4011" spans="1:13" ht="15" customHeight="1">
      <c r="A4011" s="10">
        <v>46211</v>
      </c>
      <c r="B4011" t="s">
        <v>1</v>
      </c>
      <c r="C4011" t="s">
        <v>89</v>
      </c>
      <c r="D4011">
        <v>1</v>
      </c>
      <c r="E4011">
        <v>87</v>
      </c>
      <c r="I4011">
        <v>1</v>
      </c>
      <c r="J4011">
        <v>87</v>
      </c>
      <c r="M4011" t="s">
        <v>4131</v>
      </c>
    </row>
    <row r="4012" spans="1:13" ht="15" customHeight="1">
      <c r="A4012" s="10">
        <v>46211</v>
      </c>
      <c r="B4012" t="s">
        <v>1</v>
      </c>
      <c r="C4012" t="s">
        <v>90</v>
      </c>
      <c r="D4012">
        <v>1</v>
      </c>
      <c r="E4012">
        <v>580</v>
      </c>
      <c r="I4012">
        <v>1</v>
      </c>
      <c r="J4012">
        <v>580</v>
      </c>
      <c r="M4012" t="s">
        <v>4132</v>
      </c>
    </row>
    <row r="4013" spans="1:13" ht="15" customHeight="1">
      <c r="A4013" s="10">
        <v>46211</v>
      </c>
      <c r="B4013" t="s">
        <v>1</v>
      </c>
      <c r="C4013" t="s">
        <v>92</v>
      </c>
      <c r="D4013">
        <v>1</v>
      </c>
      <c r="E4013">
        <v>618</v>
      </c>
      <c r="I4013">
        <v>1</v>
      </c>
      <c r="J4013">
        <v>598</v>
      </c>
      <c r="M4013" t="s">
        <v>4133</v>
      </c>
    </row>
    <row r="4014" spans="1:13" ht="15" customHeight="1">
      <c r="A4014" s="10">
        <v>46211</v>
      </c>
      <c r="B4014" t="s">
        <v>1</v>
      </c>
      <c r="C4014" t="s">
        <v>94</v>
      </c>
      <c r="D4014">
        <v>2</v>
      </c>
      <c r="E4014">
        <v>118</v>
      </c>
      <c r="F4014">
        <v>2</v>
      </c>
      <c r="I4014">
        <v>3</v>
      </c>
      <c r="J4014">
        <v>100</v>
      </c>
      <c r="M4014" t="s">
        <v>4134</v>
      </c>
    </row>
    <row r="4015" spans="1:13" ht="15" customHeight="1">
      <c r="A4015" s="10">
        <v>46211</v>
      </c>
      <c r="B4015" t="s">
        <v>1</v>
      </c>
      <c r="C4015" t="s">
        <v>96</v>
      </c>
      <c r="D4015">
        <v>0</v>
      </c>
      <c r="E4015">
        <v>0</v>
      </c>
      <c r="I4015">
        <v>0</v>
      </c>
      <c r="J4015">
        <v>0</v>
      </c>
      <c r="M4015" t="s">
        <v>4135</v>
      </c>
    </row>
    <row r="4016" spans="1:13" ht="15" customHeight="1">
      <c r="A4016" s="10">
        <v>46211</v>
      </c>
      <c r="B4016" t="s">
        <v>1</v>
      </c>
      <c r="C4016" t="s">
        <v>98</v>
      </c>
      <c r="D4016">
        <v>3</v>
      </c>
      <c r="E4016">
        <v>0</v>
      </c>
      <c r="I4016">
        <v>2</v>
      </c>
      <c r="J4016">
        <v>0</v>
      </c>
      <c r="M4016" t="s">
        <v>4136</v>
      </c>
    </row>
    <row r="4017" spans="1:13" ht="15" customHeight="1">
      <c r="A4017" s="10">
        <v>46211</v>
      </c>
      <c r="B4017" t="s">
        <v>1</v>
      </c>
      <c r="C4017" t="s">
        <v>203</v>
      </c>
      <c r="D4017">
        <v>0</v>
      </c>
      <c r="E4017">
        <v>221</v>
      </c>
      <c r="F4017">
        <v>2</v>
      </c>
      <c r="I4017">
        <v>2</v>
      </c>
      <c r="J4017">
        <v>103</v>
      </c>
      <c r="M4017" t="s">
        <v>4137</v>
      </c>
    </row>
    <row r="4018" spans="1:13" ht="15" customHeight="1">
      <c r="A4018" s="10">
        <v>46211</v>
      </c>
      <c r="B4018" t="s">
        <v>1</v>
      </c>
      <c r="C4018" t="s">
        <v>100</v>
      </c>
      <c r="D4018">
        <v>0</v>
      </c>
      <c r="E4018">
        <v>0</v>
      </c>
      <c r="I4018">
        <v>0</v>
      </c>
      <c r="J4018">
        <v>0</v>
      </c>
      <c r="M4018" t="s">
        <v>4138</v>
      </c>
    </row>
    <row r="4019" spans="1:13" ht="15" customHeight="1">
      <c r="A4019" s="10">
        <v>46211</v>
      </c>
      <c r="B4019" t="s">
        <v>1</v>
      </c>
      <c r="C4019" t="s">
        <v>101</v>
      </c>
      <c r="D4019">
        <v>0</v>
      </c>
      <c r="E4019">
        <v>0</v>
      </c>
      <c r="I4019">
        <v>0</v>
      </c>
      <c r="J4019">
        <v>0</v>
      </c>
      <c r="M4019" t="s">
        <v>4139</v>
      </c>
    </row>
    <row r="4020" spans="1:13" ht="15" customHeight="1">
      <c r="A4020" s="10">
        <v>46211</v>
      </c>
      <c r="B4020" t="s">
        <v>1</v>
      </c>
      <c r="C4020" t="s">
        <v>103</v>
      </c>
      <c r="D4020">
        <v>0</v>
      </c>
      <c r="E4020">
        <v>2</v>
      </c>
      <c r="I4020">
        <v>0</v>
      </c>
      <c r="J4020">
        <v>0</v>
      </c>
      <c r="M4020" t="s">
        <v>4140</v>
      </c>
    </row>
    <row r="4021" spans="1:13" ht="15" customHeight="1">
      <c r="A4021" s="10">
        <v>46211</v>
      </c>
      <c r="B4021" t="s">
        <v>1</v>
      </c>
      <c r="C4021" t="s">
        <v>106</v>
      </c>
      <c r="D4021">
        <v>1</v>
      </c>
      <c r="E4021">
        <v>898</v>
      </c>
      <c r="I4021">
        <v>1</v>
      </c>
      <c r="J4021">
        <v>868</v>
      </c>
      <c r="M4021" t="s">
        <v>4141</v>
      </c>
    </row>
    <row r="4022" spans="1:13" ht="15" customHeight="1">
      <c r="A4022" s="10">
        <v>46211</v>
      </c>
      <c r="B4022" t="s">
        <v>1</v>
      </c>
      <c r="C4022" t="s">
        <v>108</v>
      </c>
      <c r="D4022">
        <v>0</v>
      </c>
      <c r="E4022">
        <v>922</v>
      </c>
      <c r="F4022">
        <v>1</v>
      </c>
      <c r="I4022">
        <v>1</v>
      </c>
      <c r="J4022">
        <v>907</v>
      </c>
      <c r="M4022" t="s">
        <v>4142</v>
      </c>
    </row>
    <row r="4023" spans="1:13" ht="15" customHeight="1">
      <c r="A4023" s="10">
        <v>46211</v>
      </c>
      <c r="B4023" t="s">
        <v>1</v>
      </c>
      <c r="C4023" t="s">
        <v>109</v>
      </c>
      <c r="D4023">
        <v>2</v>
      </c>
      <c r="E4023">
        <v>365</v>
      </c>
      <c r="I4023">
        <v>2</v>
      </c>
      <c r="J4023">
        <v>230</v>
      </c>
      <c r="M4023" t="s">
        <v>4143</v>
      </c>
    </row>
    <row r="4024" spans="1:13" ht="15" customHeight="1">
      <c r="A4024" s="10">
        <v>46211</v>
      </c>
      <c r="B4024" t="s">
        <v>1</v>
      </c>
      <c r="C4024" t="s">
        <v>112</v>
      </c>
      <c r="D4024">
        <v>1</v>
      </c>
      <c r="E4024">
        <v>20</v>
      </c>
      <c r="I4024">
        <v>1</v>
      </c>
      <c r="J4024">
        <v>17</v>
      </c>
      <c r="M4024" t="s">
        <v>4144</v>
      </c>
    </row>
    <row r="4025" spans="1:13" ht="15" customHeight="1">
      <c r="A4025" s="10">
        <v>46211</v>
      </c>
      <c r="B4025" t="s">
        <v>1</v>
      </c>
      <c r="C4025" t="s">
        <v>114</v>
      </c>
      <c r="D4025">
        <v>2</v>
      </c>
      <c r="E4025">
        <v>14</v>
      </c>
      <c r="I4025">
        <v>2</v>
      </c>
      <c r="J4025">
        <v>12</v>
      </c>
      <c r="M4025" t="s">
        <v>4145</v>
      </c>
    </row>
    <row r="4026" spans="1:13" ht="15" customHeight="1">
      <c r="A4026" s="10">
        <v>46211</v>
      </c>
      <c r="B4026" t="s">
        <v>1</v>
      </c>
      <c r="C4026" t="s">
        <v>115</v>
      </c>
      <c r="D4026">
        <v>1</v>
      </c>
      <c r="E4026">
        <v>28</v>
      </c>
      <c r="I4026">
        <v>1</v>
      </c>
      <c r="J4026">
        <v>24</v>
      </c>
      <c r="M4026" t="s">
        <v>4146</v>
      </c>
    </row>
    <row r="4027" spans="1:13" ht="15" customHeight="1">
      <c r="A4027" s="10">
        <v>46211</v>
      </c>
      <c r="B4027" t="s">
        <v>1</v>
      </c>
      <c r="C4027" t="s">
        <v>116</v>
      </c>
      <c r="D4027">
        <v>2</v>
      </c>
      <c r="E4027">
        <v>29</v>
      </c>
      <c r="I4027">
        <v>2</v>
      </c>
      <c r="J4027">
        <v>9</v>
      </c>
      <c r="M4027" t="s">
        <v>4147</v>
      </c>
    </row>
    <row r="4028" spans="1:13" ht="15" customHeight="1">
      <c r="A4028" s="10">
        <v>46211</v>
      </c>
      <c r="B4028" t="s">
        <v>1</v>
      </c>
      <c r="C4028" t="s">
        <v>119</v>
      </c>
      <c r="D4028">
        <v>2</v>
      </c>
      <c r="E4028">
        <v>0</v>
      </c>
      <c r="I4028">
        <v>2</v>
      </c>
      <c r="M4028" t="s">
        <v>4148</v>
      </c>
    </row>
    <row r="4029" spans="1:13" ht="15" customHeight="1">
      <c r="A4029" s="10">
        <v>46211</v>
      </c>
      <c r="B4029" t="s">
        <v>1</v>
      </c>
      <c r="C4029" t="s">
        <v>120</v>
      </c>
      <c r="D4029">
        <v>2</v>
      </c>
      <c r="E4029">
        <v>0</v>
      </c>
      <c r="I4029">
        <v>2</v>
      </c>
      <c r="M4029" t="s">
        <v>4149</v>
      </c>
    </row>
    <row r="4030" spans="1:13" ht="15" customHeight="1">
      <c r="A4030" s="10">
        <v>46211</v>
      </c>
      <c r="B4030" t="s">
        <v>1</v>
      </c>
      <c r="C4030" t="s">
        <v>121</v>
      </c>
      <c r="D4030">
        <v>2</v>
      </c>
      <c r="E4030">
        <v>0</v>
      </c>
      <c r="I4030">
        <v>2</v>
      </c>
      <c r="M4030" t="s">
        <v>4150</v>
      </c>
    </row>
    <row r="4031" spans="1:13" ht="15" customHeight="1">
      <c r="A4031" s="10">
        <v>46211</v>
      </c>
      <c r="B4031" t="s">
        <v>1</v>
      </c>
      <c r="C4031" t="s">
        <v>123</v>
      </c>
      <c r="D4031">
        <v>1</v>
      </c>
      <c r="E4031">
        <v>0</v>
      </c>
      <c r="I4031">
        <v>2</v>
      </c>
      <c r="M4031" t="s">
        <v>4151</v>
      </c>
    </row>
    <row r="4032" spans="1:13" ht="15" customHeight="1">
      <c r="A4032" s="10">
        <v>46211</v>
      </c>
      <c r="B4032" t="s">
        <v>1</v>
      </c>
      <c r="C4032" t="s">
        <v>124</v>
      </c>
      <c r="D4032">
        <v>1</v>
      </c>
      <c r="E4032">
        <v>0</v>
      </c>
      <c r="I4032">
        <v>1</v>
      </c>
      <c r="M4032" t="s">
        <v>4152</v>
      </c>
    </row>
    <row r="4033" spans="1:13" ht="15" customHeight="1">
      <c r="A4033" s="10">
        <v>46211</v>
      </c>
      <c r="B4033" t="s">
        <v>1</v>
      </c>
      <c r="C4033" t="s">
        <v>125</v>
      </c>
      <c r="D4033">
        <v>2</v>
      </c>
      <c r="E4033">
        <v>0</v>
      </c>
      <c r="I4033">
        <v>2</v>
      </c>
      <c r="M4033" t="s">
        <v>4153</v>
      </c>
    </row>
    <row r="4034" spans="1:13" ht="15" customHeight="1">
      <c r="A4034" s="10">
        <v>46211</v>
      </c>
      <c r="B4034" t="s">
        <v>1</v>
      </c>
      <c r="C4034" t="s">
        <v>126</v>
      </c>
      <c r="D4034">
        <v>2</v>
      </c>
      <c r="E4034">
        <v>0</v>
      </c>
      <c r="I4034">
        <v>2</v>
      </c>
      <c r="M4034" t="s">
        <v>4154</v>
      </c>
    </row>
    <row r="4035" spans="1:13" ht="15" customHeight="1">
      <c r="A4035" s="10">
        <v>46211</v>
      </c>
      <c r="B4035" t="s">
        <v>1</v>
      </c>
      <c r="C4035" t="s">
        <v>128</v>
      </c>
      <c r="D4035">
        <v>2</v>
      </c>
      <c r="E4035">
        <v>0</v>
      </c>
      <c r="I4035">
        <v>2</v>
      </c>
      <c r="M4035" t="s">
        <v>4155</v>
      </c>
    </row>
    <row r="4036" spans="1:13" ht="15" customHeight="1">
      <c r="A4036" s="10">
        <v>46211</v>
      </c>
      <c r="B4036" t="s">
        <v>1</v>
      </c>
      <c r="C4036" t="s">
        <v>130</v>
      </c>
      <c r="D4036">
        <v>5</v>
      </c>
      <c r="E4036">
        <v>0</v>
      </c>
      <c r="I4036">
        <v>4</v>
      </c>
      <c r="M4036" t="s">
        <v>4156</v>
      </c>
    </row>
    <row r="4037" spans="1:13" ht="15" customHeight="1">
      <c r="A4037" s="10">
        <v>46211</v>
      </c>
      <c r="B4037" t="s">
        <v>1</v>
      </c>
      <c r="C4037" t="s">
        <v>285</v>
      </c>
      <c r="D4037">
        <v>2</v>
      </c>
      <c r="E4037">
        <v>0</v>
      </c>
      <c r="I4037">
        <v>2</v>
      </c>
      <c r="M4037" t="s">
        <v>4157</v>
      </c>
    </row>
    <row r="4038" spans="1:13" ht="15" customHeight="1">
      <c r="A4038" s="10">
        <v>46211</v>
      </c>
      <c r="B4038" t="s">
        <v>1</v>
      </c>
      <c r="C4038" t="s">
        <v>287</v>
      </c>
      <c r="D4038">
        <v>2</v>
      </c>
      <c r="E4038">
        <v>0</v>
      </c>
      <c r="I4038">
        <v>2</v>
      </c>
      <c r="M4038" t="s">
        <v>4158</v>
      </c>
    </row>
    <row r="4039" spans="1:13" ht="15" customHeight="1">
      <c r="A4039" s="10">
        <v>46211</v>
      </c>
      <c r="B4039" t="s">
        <v>1</v>
      </c>
      <c r="C4039" t="s">
        <v>289</v>
      </c>
      <c r="D4039">
        <v>2</v>
      </c>
      <c r="E4039">
        <v>0</v>
      </c>
      <c r="I4039">
        <v>2</v>
      </c>
      <c r="M4039" t="s">
        <v>4159</v>
      </c>
    </row>
    <row r="4040" spans="1:13" ht="15" customHeight="1">
      <c r="A4040" s="10">
        <v>46211</v>
      </c>
      <c r="B4040" t="s">
        <v>1</v>
      </c>
      <c r="C4040" t="s">
        <v>291</v>
      </c>
      <c r="D4040">
        <v>2</v>
      </c>
      <c r="E4040">
        <v>0</v>
      </c>
      <c r="I4040">
        <v>2</v>
      </c>
      <c r="M4040" t="s">
        <v>4160</v>
      </c>
    </row>
    <row r="4041" spans="1:13" ht="15" customHeight="1">
      <c r="A4041" s="10">
        <v>46211</v>
      </c>
      <c r="B4041" t="s">
        <v>1</v>
      </c>
      <c r="C4041" t="s">
        <v>293</v>
      </c>
      <c r="D4041">
        <v>3</v>
      </c>
      <c r="E4041">
        <v>0</v>
      </c>
      <c r="I4041">
        <v>3</v>
      </c>
      <c r="M4041" t="s">
        <v>4161</v>
      </c>
    </row>
    <row r="4042" spans="1:13" ht="15" customHeight="1">
      <c r="A4042" s="10">
        <v>46211</v>
      </c>
      <c r="B4042" t="s">
        <v>1</v>
      </c>
      <c r="C4042" s="135" t="s">
        <v>138</v>
      </c>
      <c r="D4042">
        <v>0</v>
      </c>
      <c r="E4042">
        <v>23</v>
      </c>
      <c r="G4042">
        <v>25</v>
      </c>
      <c r="I4042">
        <v>0</v>
      </c>
      <c r="J4042">
        <v>42</v>
      </c>
      <c r="M4042" t="s">
        <v>4162</v>
      </c>
    </row>
    <row r="4043" spans="1:13" ht="15" customHeight="1">
      <c r="A4043" s="10">
        <v>46211</v>
      </c>
      <c r="B4043" t="s">
        <v>1</v>
      </c>
      <c r="C4043" s="135" t="s">
        <v>139</v>
      </c>
      <c r="D4043">
        <v>0</v>
      </c>
      <c r="E4043">
        <v>30</v>
      </c>
      <c r="I4043">
        <v>0</v>
      </c>
      <c r="J4043">
        <v>29</v>
      </c>
      <c r="M4043" t="s">
        <v>4163</v>
      </c>
    </row>
    <row r="4044" spans="1:13" ht="15" customHeight="1">
      <c r="A4044" s="10">
        <v>46211</v>
      </c>
      <c r="B4044" t="s">
        <v>1</v>
      </c>
      <c r="C4044" s="135" t="s">
        <v>140</v>
      </c>
      <c r="D4044">
        <v>0</v>
      </c>
      <c r="E4044">
        <v>27</v>
      </c>
      <c r="I4044">
        <v>0</v>
      </c>
      <c r="J4044">
        <v>26</v>
      </c>
      <c r="M4044" t="s">
        <v>4164</v>
      </c>
    </row>
    <row r="4045" spans="1:13" ht="15" customHeight="1">
      <c r="A4045" s="10">
        <v>46211</v>
      </c>
      <c r="B4045" t="s">
        <v>1</v>
      </c>
      <c r="C4045" s="135" t="s">
        <v>141</v>
      </c>
      <c r="D4045">
        <v>0</v>
      </c>
      <c r="E4045">
        <v>1</v>
      </c>
      <c r="I4045">
        <v>0</v>
      </c>
      <c r="J4045">
        <v>1</v>
      </c>
      <c r="M4045" t="s">
        <v>4165</v>
      </c>
    </row>
    <row r="4046" spans="1:13" ht="15" customHeight="1">
      <c r="A4046" s="10">
        <v>46211</v>
      </c>
      <c r="B4046" t="s">
        <v>1</v>
      </c>
      <c r="C4046" s="135" t="s">
        <v>143</v>
      </c>
      <c r="D4046">
        <v>0</v>
      </c>
      <c r="E4046">
        <v>44</v>
      </c>
      <c r="I4046">
        <v>0</v>
      </c>
      <c r="J4046">
        <v>42</v>
      </c>
      <c r="M4046" t="s">
        <v>4166</v>
      </c>
    </row>
    <row r="4047" spans="1:13" ht="15" customHeight="1">
      <c r="A4047" s="10">
        <v>46211</v>
      </c>
      <c r="B4047" t="s">
        <v>1</v>
      </c>
      <c r="C4047" s="135" t="s">
        <v>145</v>
      </c>
      <c r="D4047">
        <v>0</v>
      </c>
      <c r="E4047">
        <v>67</v>
      </c>
      <c r="I4047">
        <v>0</v>
      </c>
      <c r="J4047">
        <v>65</v>
      </c>
      <c r="M4047" t="s">
        <v>4167</v>
      </c>
    </row>
    <row r="4048" spans="1:13" ht="15" customHeight="1">
      <c r="A4048" s="10">
        <v>46211</v>
      </c>
      <c r="B4048" t="s">
        <v>1</v>
      </c>
      <c r="C4048" s="135" t="s">
        <v>147</v>
      </c>
      <c r="D4048">
        <v>0</v>
      </c>
      <c r="E4048">
        <v>26</v>
      </c>
      <c r="I4048">
        <v>0</v>
      </c>
      <c r="J4048">
        <v>26</v>
      </c>
      <c r="M4048" t="s">
        <v>4168</v>
      </c>
    </row>
    <row r="4049" spans="1:13" ht="15" customHeight="1">
      <c r="A4049" s="10">
        <v>46211</v>
      </c>
      <c r="B4049" t="s">
        <v>1</v>
      </c>
      <c r="C4049" t="s">
        <v>302</v>
      </c>
      <c r="D4049">
        <v>2</v>
      </c>
      <c r="E4049">
        <v>0</v>
      </c>
      <c r="I4049">
        <v>2</v>
      </c>
      <c r="M4049" t="s">
        <v>4169</v>
      </c>
    </row>
    <row r="4050" spans="1:13" ht="15" customHeight="1">
      <c r="A4050" s="10">
        <v>46211</v>
      </c>
      <c r="B4050" t="s">
        <v>1</v>
      </c>
      <c r="C4050" t="s">
        <v>150</v>
      </c>
      <c r="D4050">
        <v>1</v>
      </c>
      <c r="E4050">
        <v>0</v>
      </c>
      <c r="I4050">
        <v>1</v>
      </c>
      <c r="M4050" t="s">
        <v>4170</v>
      </c>
    </row>
    <row r="4051" spans="1:13" ht="15" customHeight="1">
      <c r="A4051" s="10">
        <v>46211</v>
      </c>
      <c r="B4051" t="s">
        <v>1</v>
      </c>
      <c r="C4051" t="s">
        <v>151</v>
      </c>
      <c r="D4051">
        <v>2</v>
      </c>
      <c r="E4051">
        <v>0</v>
      </c>
      <c r="I4051">
        <v>2</v>
      </c>
      <c r="M4051" t="s">
        <v>4171</v>
      </c>
    </row>
    <row r="4052" spans="1:13" ht="15" customHeight="1">
      <c r="A4052" s="10">
        <v>46211</v>
      </c>
      <c r="B4052" t="s">
        <v>1</v>
      </c>
      <c r="C4052" t="s">
        <v>152</v>
      </c>
      <c r="D4052">
        <v>2</v>
      </c>
      <c r="E4052">
        <v>0</v>
      </c>
      <c r="I4052">
        <v>2</v>
      </c>
      <c r="M4052" t="s">
        <v>4172</v>
      </c>
    </row>
    <row r="4053" spans="1:13" ht="15" customHeight="1">
      <c r="A4053" s="10">
        <v>46211</v>
      </c>
      <c r="B4053" t="s">
        <v>1</v>
      </c>
      <c r="C4053" t="s">
        <v>153</v>
      </c>
      <c r="D4053">
        <v>2</v>
      </c>
      <c r="E4053">
        <v>0</v>
      </c>
      <c r="I4053">
        <v>2</v>
      </c>
      <c r="M4053" t="s">
        <v>4173</v>
      </c>
    </row>
    <row r="4054" spans="1:13" ht="15" customHeight="1">
      <c r="A4054" s="10">
        <v>46211</v>
      </c>
      <c r="B4054" t="s">
        <v>1</v>
      </c>
      <c r="C4054" t="s">
        <v>308</v>
      </c>
      <c r="D4054">
        <v>0</v>
      </c>
      <c r="E4054">
        <v>5</v>
      </c>
      <c r="I4054">
        <v>0</v>
      </c>
      <c r="J4054">
        <v>4</v>
      </c>
      <c r="M4054" t="s">
        <v>4174</v>
      </c>
    </row>
    <row r="4055" spans="1:13" ht="15" customHeight="1">
      <c r="A4055" s="10">
        <v>46211</v>
      </c>
      <c r="B4055" t="s">
        <v>1</v>
      </c>
      <c r="C4055" t="s">
        <v>310</v>
      </c>
      <c r="D4055">
        <v>0</v>
      </c>
      <c r="E4055">
        <v>2</v>
      </c>
      <c r="I4055">
        <v>0</v>
      </c>
      <c r="J4055">
        <v>2</v>
      </c>
      <c r="M4055" t="s">
        <v>4175</v>
      </c>
    </row>
    <row r="4056" spans="1:13" ht="15" customHeight="1">
      <c r="A4056" s="10">
        <v>46211</v>
      </c>
      <c r="B4056" t="s">
        <v>1</v>
      </c>
      <c r="C4056" t="s">
        <v>312</v>
      </c>
      <c r="D4056">
        <v>0</v>
      </c>
      <c r="E4056">
        <v>3</v>
      </c>
      <c r="I4056">
        <v>0</v>
      </c>
      <c r="J4056">
        <v>3</v>
      </c>
      <c r="M4056" t="s">
        <v>4176</v>
      </c>
    </row>
    <row r="4057" spans="1:13" ht="15" customHeight="1">
      <c r="A4057" s="10">
        <v>46211</v>
      </c>
      <c r="B4057" t="s">
        <v>1</v>
      </c>
      <c r="C4057" t="s">
        <v>314</v>
      </c>
      <c r="D4057">
        <v>1</v>
      </c>
      <c r="E4057">
        <v>0</v>
      </c>
      <c r="I4057">
        <v>1</v>
      </c>
      <c r="M4057" t="s">
        <v>4177</v>
      </c>
    </row>
    <row r="4058" spans="1:13" ht="15" customHeight="1">
      <c r="A4058" s="10">
        <v>46211</v>
      </c>
      <c r="B4058" t="s">
        <v>1</v>
      </c>
      <c r="C4058" t="s">
        <v>316</v>
      </c>
      <c r="D4058">
        <v>1</v>
      </c>
      <c r="E4058">
        <v>0</v>
      </c>
      <c r="I4058">
        <v>1</v>
      </c>
      <c r="M4058" t="s">
        <v>4178</v>
      </c>
    </row>
    <row r="4059" spans="1:13" ht="15" customHeight="1">
      <c r="A4059" s="10">
        <v>46211</v>
      </c>
      <c r="B4059" t="s">
        <v>1</v>
      </c>
      <c r="C4059" t="s">
        <v>318</v>
      </c>
      <c r="D4059">
        <v>2</v>
      </c>
      <c r="E4059">
        <v>0</v>
      </c>
      <c r="I4059">
        <v>1</v>
      </c>
      <c r="M4059" t="s">
        <v>4179</v>
      </c>
    </row>
    <row r="4060" spans="1:13" ht="15" customHeight="1">
      <c r="A4060" s="10">
        <v>46211</v>
      </c>
      <c r="B4060" t="s">
        <v>1</v>
      </c>
      <c r="C4060" t="s">
        <v>320</v>
      </c>
      <c r="D4060">
        <v>1</v>
      </c>
      <c r="E4060">
        <v>0</v>
      </c>
      <c r="I4060">
        <v>1</v>
      </c>
      <c r="M4060" t="s">
        <v>4180</v>
      </c>
    </row>
    <row r="4061" spans="1:13" ht="15" customHeight="1">
      <c r="A4061" s="10">
        <v>46211</v>
      </c>
      <c r="B4061" t="s">
        <v>1</v>
      </c>
      <c r="C4061" t="s">
        <v>322</v>
      </c>
      <c r="D4061">
        <v>0</v>
      </c>
      <c r="E4061">
        <v>0</v>
      </c>
      <c r="I4061">
        <v>0</v>
      </c>
      <c r="M4061" t="s">
        <v>4181</v>
      </c>
    </row>
    <row r="4062" spans="1:13" ht="15" customHeight="1">
      <c r="A4062" s="10">
        <v>46211</v>
      </c>
      <c r="B4062" t="s">
        <v>1</v>
      </c>
      <c r="C4062" s="135" t="s">
        <v>168</v>
      </c>
      <c r="D4062">
        <v>1</v>
      </c>
      <c r="E4062">
        <v>0</v>
      </c>
      <c r="I4062">
        <v>1</v>
      </c>
      <c r="M4062" t="s">
        <v>4182</v>
      </c>
    </row>
    <row r="4063" spans="1:13" ht="15" customHeight="1">
      <c r="A4063" s="10">
        <v>46211</v>
      </c>
      <c r="B4063" t="s">
        <v>1</v>
      </c>
      <c r="C4063" s="135" t="s">
        <v>170</v>
      </c>
      <c r="D4063">
        <v>1</v>
      </c>
      <c r="E4063">
        <v>0</v>
      </c>
      <c r="I4063">
        <v>1</v>
      </c>
      <c r="M4063" t="s">
        <v>4183</v>
      </c>
    </row>
    <row r="4064" spans="1:13" ht="15" customHeight="1">
      <c r="A4064" s="10">
        <v>46211</v>
      </c>
      <c r="B4064" t="s">
        <v>1</v>
      </c>
      <c r="C4064" s="135" t="s">
        <v>171</v>
      </c>
      <c r="D4064">
        <v>2</v>
      </c>
      <c r="E4064">
        <v>0</v>
      </c>
      <c r="I4064">
        <v>2</v>
      </c>
      <c r="M4064" t="s">
        <v>4184</v>
      </c>
    </row>
    <row r="4065" spans="1:13" ht="15" customHeight="1">
      <c r="A4065" s="10">
        <v>46211</v>
      </c>
      <c r="B4065" t="s">
        <v>1</v>
      </c>
      <c r="C4065" s="135" t="s">
        <v>172</v>
      </c>
      <c r="D4065">
        <v>1</v>
      </c>
      <c r="E4065">
        <v>0</v>
      </c>
      <c r="I4065">
        <v>1</v>
      </c>
      <c r="M4065" t="s">
        <v>4185</v>
      </c>
    </row>
    <row r="4066" spans="1:13" ht="15" customHeight="1">
      <c r="A4066" s="10">
        <v>46211</v>
      </c>
      <c r="B4066" t="s">
        <v>1</v>
      </c>
      <c r="C4066" s="135" t="s">
        <v>173</v>
      </c>
      <c r="D4066">
        <v>0</v>
      </c>
      <c r="E4066">
        <v>0</v>
      </c>
      <c r="I4066">
        <v>0</v>
      </c>
      <c r="M4066" t="s">
        <v>4186</v>
      </c>
    </row>
    <row r="4067" spans="1:13" ht="15" customHeight="1">
      <c r="A4067" s="10">
        <v>46211</v>
      </c>
      <c r="B4067" t="s">
        <v>1</v>
      </c>
      <c r="C4067" t="s">
        <v>176</v>
      </c>
      <c r="D4067">
        <v>0</v>
      </c>
      <c r="E4067">
        <v>12</v>
      </c>
      <c r="I4067">
        <v>0</v>
      </c>
      <c r="J4067">
        <v>12</v>
      </c>
      <c r="M4067" t="s">
        <v>4187</v>
      </c>
    </row>
    <row r="4068" spans="1:13" ht="15" customHeight="1">
      <c r="A4068" s="10">
        <v>46211</v>
      </c>
      <c r="B4068" t="s">
        <v>1</v>
      </c>
      <c r="C4068" t="s">
        <v>178</v>
      </c>
      <c r="D4068">
        <v>0</v>
      </c>
      <c r="E4068">
        <v>15</v>
      </c>
      <c r="H4068">
        <v>2</v>
      </c>
      <c r="I4068">
        <v>0</v>
      </c>
      <c r="J4068">
        <v>13</v>
      </c>
      <c r="M4068" t="s">
        <v>4188</v>
      </c>
    </row>
    <row r="4069" spans="1:13" ht="15" customHeight="1">
      <c r="A4069" s="10">
        <v>46211</v>
      </c>
      <c r="B4069" t="s">
        <v>1</v>
      </c>
      <c r="C4069" t="s">
        <v>179</v>
      </c>
      <c r="D4069">
        <v>0</v>
      </c>
      <c r="E4069">
        <v>18</v>
      </c>
      <c r="I4069">
        <v>0</v>
      </c>
      <c r="J4069">
        <v>18</v>
      </c>
      <c r="M4069" t="s">
        <v>4189</v>
      </c>
    </row>
    <row r="4070" spans="1:13" ht="15" customHeight="1">
      <c r="A4070" s="10">
        <v>46211</v>
      </c>
      <c r="B4070" t="s">
        <v>1</v>
      </c>
      <c r="C4070" t="s">
        <v>180</v>
      </c>
      <c r="D4070">
        <v>0</v>
      </c>
      <c r="E4070">
        <v>20</v>
      </c>
      <c r="H4070">
        <v>1</v>
      </c>
      <c r="I4070">
        <v>0</v>
      </c>
      <c r="J4070">
        <v>19</v>
      </c>
      <c r="M4070" t="s">
        <v>4190</v>
      </c>
    </row>
    <row r="4071" spans="1:13" ht="15" customHeight="1">
      <c r="A4071" s="10">
        <v>46211</v>
      </c>
      <c r="B4071" t="s">
        <v>1</v>
      </c>
      <c r="C4071" s="135" t="s">
        <v>182</v>
      </c>
      <c r="D4071">
        <v>1</v>
      </c>
      <c r="E4071">
        <v>200</v>
      </c>
      <c r="I4071">
        <v>1</v>
      </c>
      <c r="J4071">
        <v>200</v>
      </c>
      <c r="M4071" t="s">
        <v>4191</v>
      </c>
    </row>
    <row r="4072" spans="1:13" ht="15" customHeight="1">
      <c r="A4072" s="10">
        <v>46211</v>
      </c>
      <c r="B4072" t="s">
        <v>1</v>
      </c>
      <c r="C4072" s="135" t="s">
        <v>184</v>
      </c>
      <c r="D4072">
        <v>1</v>
      </c>
      <c r="E4072">
        <v>60</v>
      </c>
      <c r="I4072">
        <v>1</v>
      </c>
      <c r="J4072">
        <v>45</v>
      </c>
      <c r="M4072" t="s">
        <v>4192</v>
      </c>
    </row>
    <row r="4073" spans="1:13" ht="15" customHeight="1">
      <c r="A4073" s="10">
        <v>46211</v>
      </c>
      <c r="B4073" t="s">
        <v>1</v>
      </c>
      <c r="C4073" s="135" t="s">
        <v>185</v>
      </c>
      <c r="D4073">
        <v>1</v>
      </c>
      <c r="E4073">
        <v>20</v>
      </c>
      <c r="I4073">
        <v>1</v>
      </c>
      <c r="J4073">
        <v>20</v>
      </c>
      <c r="M4073" t="s">
        <v>4193</v>
      </c>
    </row>
    <row r="4074" spans="1:13" ht="15" customHeight="1">
      <c r="A4074" s="10">
        <v>46211</v>
      </c>
      <c r="B4074" t="s">
        <v>1</v>
      </c>
      <c r="C4074" s="135" t="s">
        <v>186</v>
      </c>
      <c r="D4074">
        <v>0</v>
      </c>
      <c r="E4074">
        <v>795</v>
      </c>
      <c r="I4074">
        <v>0</v>
      </c>
      <c r="J4074">
        <v>765</v>
      </c>
      <c r="M4074" t="s">
        <v>4194</v>
      </c>
    </row>
    <row r="4075" spans="1:13" ht="15" customHeight="1">
      <c r="A4075" s="10">
        <v>46211</v>
      </c>
      <c r="B4075" t="s">
        <v>1</v>
      </c>
      <c r="C4075" t="s">
        <v>337</v>
      </c>
      <c r="D4075">
        <v>2</v>
      </c>
      <c r="E4075">
        <v>197</v>
      </c>
      <c r="I4075">
        <v>1</v>
      </c>
      <c r="J4075">
        <v>400</v>
      </c>
      <c r="M4075" t="s">
        <v>4195</v>
      </c>
    </row>
    <row r="4076" spans="1:13" ht="15" customHeight="1">
      <c r="A4076" s="10">
        <v>46211</v>
      </c>
      <c r="B4076" t="s">
        <v>1</v>
      </c>
      <c r="C4076" t="s">
        <v>339</v>
      </c>
      <c r="D4076">
        <v>0</v>
      </c>
      <c r="E4076">
        <v>0</v>
      </c>
      <c r="I4076">
        <v>0</v>
      </c>
      <c r="J4076">
        <v>0</v>
      </c>
      <c r="M4076" t="s">
        <v>4196</v>
      </c>
    </row>
    <row r="4077" spans="1:13" ht="15" customHeight="1">
      <c r="A4077" s="10">
        <v>46211</v>
      </c>
      <c r="B4077" t="s">
        <v>1</v>
      </c>
      <c r="C4077" s="135" t="s">
        <v>191</v>
      </c>
      <c r="D4077">
        <v>1</v>
      </c>
      <c r="E4077">
        <v>175</v>
      </c>
      <c r="I4077">
        <v>1</v>
      </c>
      <c r="J4077">
        <v>155</v>
      </c>
      <c r="M4077" t="s">
        <v>4197</v>
      </c>
    </row>
    <row r="4078" spans="1:13" ht="15" customHeight="1">
      <c r="A4078" s="10">
        <v>46211</v>
      </c>
      <c r="B4078" t="s">
        <v>1</v>
      </c>
      <c r="C4078" s="135" t="s">
        <v>193</v>
      </c>
      <c r="D4078">
        <v>0</v>
      </c>
      <c r="E4078">
        <v>596</v>
      </c>
      <c r="I4078">
        <v>0</v>
      </c>
      <c r="J4078">
        <v>556</v>
      </c>
      <c r="M4078" t="s">
        <v>4198</v>
      </c>
    </row>
    <row r="4079" spans="1:13" ht="15" customHeight="1">
      <c r="A4079" s="10">
        <v>46211</v>
      </c>
      <c r="B4079" t="s">
        <v>1</v>
      </c>
      <c r="C4079" s="135" t="s">
        <v>194</v>
      </c>
      <c r="D4079">
        <v>1</v>
      </c>
      <c r="E4079">
        <v>22</v>
      </c>
      <c r="I4079">
        <v>1</v>
      </c>
      <c r="J4079">
        <v>29</v>
      </c>
      <c r="M4079" t="s">
        <v>4199</v>
      </c>
    </row>
    <row r="4080" spans="1:13" ht="15" customHeight="1">
      <c r="A4080" s="10">
        <v>46211</v>
      </c>
      <c r="B4080" t="s">
        <v>1</v>
      </c>
      <c r="C4080" s="135" t="s">
        <v>196</v>
      </c>
      <c r="D4080">
        <v>1</v>
      </c>
      <c r="E4080">
        <v>97</v>
      </c>
      <c r="I4080">
        <v>1</v>
      </c>
      <c r="J4080">
        <v>37</v>
      </c>
      <c r="M4080" t="s">
        <v>4200</v>
      </c>
    </row>
    <row r="4081" spans="1:13" ht="15" customHeight="1">
      <c r="A4081" s="10">
        <v>46212</v>
      </c>
      <c r="B4081" t="s">
        <v>1</v>
      </c>
      <c r="C4081" t="s">
        <v>23</v>
      </c>
      <c r="D4081">
        <v>5</v>
      </c>
      <c r="E4081">
        <v>577</v>
      </c>
      <c r="I4081">
        <v>3</v>
      </c>
      <c r="J4081">
        <v>1305</v>
      </c>
      <c r="M4081" t="s">
        <v>4201</v>
      </c>
    </row>
    <row r="4082" spans="1:13" ht="15" customHeight="1">
      <c r="A4082" s="10">
        <v>46212</v>
      </c>
      <c r="B4082" t="s">
        <v>1</v>
      </c>
      <c r="C4082" t="s">
        <v>26</v>
      </c>
      <c r="D4082">
        <v>1</v>
      </c>
      <c r="E4082">
        <v>500</v>
      </c>
      <c r="I4082">
        <v>1</v>
      </c>
      <c r="J4082">
        <v>807</v>
      </c>
      <c r="M4082" t="s">
        <v>4202</v>
      </c>
    </row>
    <row r="4083" spans="1:13" ht="15" customHeight="1">
      <c r="A4083" s="10">
        <v>46212</v>
      </c>
      <c r="B4083" t="s">
        <v>1</v>
      </c>
      <c r="C4083" t="s">
        <v>27</v>
      </c>
      <c r="D4083">
        <v>2</v>
      </c>
      <c r="E4083">
        <v>200</v>
      </c>
      <c r="I4083">
        <v>2</v>
      </c>
      <c r="J4083">
        <v>191</v>
      </c>
      <c r="M4083" t="s">
        <v>4203</v>
      </c>
    </row>
    <row r="4084" spans="1:13" ht="15" customHeight="1">
      <c r="A4084" s="10">
        <v>46212</v>
      </c>
      <c r="B4084" t="s">
        <v>1</v>
      </c>
      <c r="C4084" t="s">
        <v>28</v>
      </c>
      <c r="D4084">
        <v>0</v>
      </c>
      <c r="E4084">
        <v>0</v>
      </c>
      <c r="I4084">
        <v>0</v>
      </c>
      <c r="J4084">
        <v>0</v>
      </c>
      <c r="M4084" t="s">
        <v>4204</v>
      </c>
    </row>
    <row r="4085" spans="1:13" ht="15" customHeight="1">
      <c r="A4085" s="10">
        <v>46212</v>
      </c>
      <c r="B4085" t="s">
        <v>1</v>
      </c>
      <c r="C4085" t="s">
        <v>29</v>
      </c>
      <c r="D4085">
        <v>1</v>
      </c>
      <c r="E4085">
        <v>5</v>
      </c>
      <c r="I4085">
        <v>1</v>
      </c>
      <c r="J4085">
        <v>0</v>
      </c>
      <c r="M4085" t="s">
        <v>4205</v>
      </c>
    </row>
    <row r="4086" spans="1:13" ht="15" customHeight="1">
      <c r="A4086" s="10">
        <v>46212</v>
      </c>
      <c r="B4086" t="s">
        <v>1</v>
      </c>
      <c r="C4086" t="s">
        <v>30</v>
      </c>
      <c r="D4086">
        <v>1</v>
      </c>
      <c r="E4086">
        <v>633</v>
      </c>
      <c r="I4086">
        <v>1</v>
      </c>
      <c r="J4086">
        <v>627</v>
      </c>
      <c r="M4086" t="s">
        <v>4206</v>
      </c>
    </row>
    <row r="4087" spans="1:13" ht="15" customHeight="1">
      <c r="A4087" s="10">
        <v>46212</v>
      </c>
      <c r="B4087" t="s">
        <v>1</v>
      </c>
      <c r="C4087" t="s">
        <v>31</v>
      </c>
      <c r="D4087">
        <v>1</v>
      </c>
      <c r="E4087">
        <v>213</v>
      </c>
      <c r="I4087">
        <v>1</v>
      </c>
      <c r="J4087">
        <v>207</v>
      </c>
      <c r="M4087" t="s">
        <v>4207</v>
      </c>
    </row>
    <row r="4088" spans="1:13" ht="15" customHeight="1">
      <c r="A4088" s="10">
        <v>46212</v>
      </c>
      <c r="B4088" t="s">
        <v>1</v>
      </c>
      <c r="C4088" t="s">
        <v>32</v>
      </c>
      <c r="D4088">
        <v>1</v>
      </c>
      <c r="E4088">
        <v>489</v>
      </c>
      <c r="I4088">
        <v>1</v>
      </c>
      <c r="J4088">
        <v>299</v>
      </c>
      <c r="M4088" t="s">
        <v>4208</v>
      </c>
    </row>
    <row r="4089" spans="1:13" ht="15" customHeight="1">
      <c r="A4089" s="10">
        <v>46212</v>
      </c>
      <c r="B4089" t="s">
        <v>1</v>
      </c>
      <c r="C4089" t="s">
        <v>223</v>
      </c>
      <c r="D4089">
        <v>3</v>
      </c>
      <c r="E4089">
        <v>610</v>
      </c>
      <c r="I4089">
        <v>2</v>
      </c>
      <c r="J4089">
        <v>237</v>
      </c>
      <c r="M4089" t="s">
        <v>4209</v>
      </c>
    </row>
    <row r="4090" spans="1:13" ht="15" customHeight="1">
      <c r="A4090" s="10">
        <v>46212</v>
      </c>
      <c r="B4090" t="s">
        <v>1</v>
      </c>
      <c r="C4090" t="s">
        <v>35</v>
      </c>
      <c r="D4090">
        <v>5</v>
      </c>
      <c r="E4090">
        <v>0</v>
      </c>
      <c r="H4090">
        <v>3</v>
      </c>
      <c r="I4090">
        <v>2</v>
      </c>
      <c r="M4090" t="s">
        <v>4210</v>
      </c>
    </row>
    <row r="4091" spans="1:13" ht="15" customHeight="1">
      <c r="A4091" s="10">
        <v>46212</v>
      </c>
      <c r="B4091" t="s">
        <v>1</v>
      </c>
      <c r="C4091" t="s">
        <v>37</v>
      </c>
      <c r="D4091">
        <v>1</v>
      </c>
      <c r="E4091">
        <v>0</v>
      </c>
      <c r="I4091">
        <v>1</v>
      </c>
      <c r="M4091" t="s">
        <v>4211</v>
      </c>
    </row>
    <row r="4092" spans="1:13" ht="15" customHeight="1">
      <c r="A4092" s="10">
        <v>46212</v>
      </c>
      <c r="B4092" t="s">
        <v>1</v>
      </c>
      <c r="C4092" t="s">
        <v>39</v>
      </c>
      <c r="D4092">
        <v>17</v>
      </c>
      <c r="E4092">
        <v>0</v>
      </c>
      <c r="I4092">
        <v>17</v>
      </c>
      <c r="J4092">
        <v>0</v>
      </c>
      <c r="M4092" t="s">
        <v>4212</v>
      </c>
    </row>
    <row r="4093" spans="1:13" ht="15" customHeight="1">
      <c r="A4093" s="10">
        <v>46212</v>
      </c>
      <c r="B4093" t="s">
        <v>1</v>
      </c>
      <c r="C4093" t="s">
        <v>41</v>
      </c>
      <c r="D4093">
        <v>17</v>
      </c>
      <c r="E4093">
        <v>0</v>
      </c>
      <c r="H4093">
        <v>2</v>
      </c>
      <c r="I4093">
        <v>15</v>
      </c>
      <c r="J4093">
        <v>0</v>
      </c>
      <c r="M4093" t="s">
        <v>4213</v>
      </c>
    </row>
    <row r="4094" spans="1:13" ht="15" customHeight="1">
      <c r="A4094" s="10">
        <v>46212</v>
      </c>
      <c r="B4094" t="s">
        <v>1</v>
      </c>
      <c r="C4094" t="s">
        <v>232</v>
      </c>
      <c r="D4094">
        <v>0</v>
      </c>
      <c r="E4094">
        <v>0</v>
      </c>
      <c r="I4094">
        <v>0</v>
      </c>
      <c r="J4094">
        <v>0</v>
      </c>
      <c r="M4094" t="s">
        <v>4214</v>
      </c>
    </row>
    <row r="4095" spans="1:13" ht="15" customHeight="1">
      <c r="A4095" s="10">
        <v>46212</v>
      </c>
      <c r="B4095" t="s">
        <v>1</v>
      </c>
      <c r="C4095" t="s">
        <v>234</v>
      </c>
      <c r="D4095">
        <v>65</v>
      </c>
      <c r="E4095">
        <v>0</v>
      </c>
      <c r="H4095">
        <v>14</v>
      </c>
      <c r="I4095">
        <v>51</v>
      </c>
      <c r="J4095">
        <v>0</v>
      </c>
      <c r="M4095" t="s">
        <v>4215</v>
      </c>
    </row>
    <row r="4096" spans="1:13" ht="15" customHeight="1">
      <c r="A4096" s="10">
        <v>46212</v>
      </c>
      <c r="B4096" t="s">
        <v>1</v>
      </c>
      <c r="C4096" t="s">
        <v>54</v>
      </c>
      <c r="D4096">
        <v>0</v>
      </c>
      <c r="E4096">
        <v>0</v>
      </c>
      <c r="I4096">
        <v>0</v>
      </c>
      <c r="J4096">
        <v>0</v>
      </c>
      <c r="M4096" t="s">
        <v>4216</v>
      </c>
    </row>
    <row r="4097" spans="1:13" ht="15" customHeight="1">
      <c r="A4097" s="10">
        <v>46212</v>
      </c>
      <c r="B4097" t="s">
        <v>1</v>
      </c>
      <c r="C4097" t="s">
        <v>237</v>
      </c>
      <c r="D4097">
        <v>7</v>
      </c>
      <c r="E4097">
        <v>0</v>
      </c>
      <c r="I4097">
        <v>7</v>
      </c>
      <c r="J4097">
        <v>0</v>
      </c>
      <c r="M4097" t="s">
        <v>4217</v>
      </c>
    </row>
    <row r="4098" spans="1:13" ht="15" customHeight="1">
      <c r="A4098" s="10">
        <v>46212</v>
      </c>
      <c r="B4098" t="s">
        <v>1</v>
      </c>
      <c r="C4098" s="135" t="s">
        <v>58</v>
      </c>
      <c r="D4098">
        <v>5</v>
      </c>
      <c r="E4098">
        <v>0</v>
      </c>
      <c r="H4098">
        <v>3</v>
      </c>
      <c r="I4098">
        <v>2</v>
      </c>
      <c r="J4098">
        <v>0</v>
      </c>
      <c r="M4098" t="s">
        <v>4218</v>
      </c>
    </row>
    <row r="4099" spans="1:13" ht="15" customHeight="1">
      <c r="A4099" s="10">
        <v>46212</v>
      </c>
      <c r="B4099" t="s">
        <v>1</v>
      </c>
      <c r="C4099" s="135" t="s">
        <v>60</v>
      </c>
      <c r="D4099">
        <v>4</v>
      </c>
      <c r="E4099">
        <v>0</v>
      </c>
      <c r="H4099">
        <v>4</v>
      </c>
      <c r="I4099">
        <v>0</v>
      </c>
      <c r="J4099">
        <v>0</v>
      </c>
      <c r="M4099" t="s">
        <v>4219</v>
      </c>
    </row>
    <row r="4100" spans="1:13" ht="15" customHeight="1">
      <c r="A4100" s="10">
        <v>46212</v>
      </c>
      <c r="B4100" t="s">
        <v>1</v>
      </c>
      <c r="C4100" s="135" t="s">
        <v>61</v>
      </c>
      <c r="D4100">
        <v>4</v>
      </c>
      <c r="E4100">
        <v>0</v>
      </c>
      <c r="H4100">
        <v>3</v>
      </c>
      <c r="I4100">
        <v>1</v>
      </c>
      <c r="J4100">
        <v>0</v>
      </c>
      <c r="M4100" t="s">
        <v>4220</v>
      </c>
    </row>
    <row r="4101" spans="1:13" ht="15" customHeight="1">
      <c r="A4101" s="10">
        <v>46212</v>
      </c>
      <c r="B4101" t="s">
        <v>1</v>
      </c>
      <c r="C4101" s="135" t="s">
        <v>62</v>
      </c>
      <c r="D4101">
        <v>3</v>
      </c>
      <c r="E4101">
        <v>0</v>
      </c>
      <c r="H4101">
        <v>2</v>
      </c>
      <c r="I4101">
        <v>1</v>
      </c>
      <c r="J4101">
        <v>0</v>
      </c>
      <c r="M4101" t="s">
        <v>4221</v>
      </c>
    </row>
    <row r="4102" spans="1:13" ht="15" customHeight="1">
      <c r="A4102" s="10">
        <v>46212</v>
      </c>
      <c r="B4102" t="s">
        <v>1</v>
      </c>
      <c r="C4102" s="135" t="s">
        <v>63</v>
      </c>
      <c r="D4102">
        <v>4</v>
      </c>
      <c r="E4102">
        <v>0</v>
      </c>
      <c r="I4102">
        <v>4</v>
      </c>
      <c r="J4102">
        <v>0</v>
      </c>
      <c r="M4102" t="s">
        <v>4222</v>
      </c>
    </row>
    <row r="4103" spans="1:13" ht="15" customHeight="1">
      <c r="A4103" s="10">
        <v>46212</v>
      </c>
      <c r="B4103" t="s">
        <v>1</v>
      </c>
      <c r="C4103" s="135" t="s">
        <v>64</v>
      </c>
      <c r="D4103">
        <v>5</v>
      </c>
      <c r="E4103">
        <v>0</v>
      </c>
      <c r="H4103">
        <v>3</v>
      </c>
      <c r="I4103">
        <v>2</v>
      </c>
      <c r="J4103">
        <v>0</v>
      </c>
      <c r="M4103" t="s">
        <v>4223</v>
      </c>
    </row>
    <row r="4104" spans="1:13" ht="15" customHeight="1">
      <c r="A4104" s="10">
        <v>46212</v>
      </c>
      <c r="B4104" t="s">
        <v>1</v>
      </c>
      <c r="C4104" t="s">
        <v>66</v>
      </c>
      <c r="D4104">
        <v>4</v>
      </c>
      <c r="E4104">
        <v>0</v>
      </c>
      <c r="I4104">
        <v>4</v>
      </c>
      <c r="J4104">
        <v>0</v>
      </c>
      <c r="M4104" t="s">
        <v>4224</v>
      </c>
    </row>
    <row r="4105" spans="1:13" ht="15" customHeight="1">
      <c r="A4105" s="10">
        <v>46212</v>
      </c>
      <c r="B4105" t="s">
        <v>1</v>
      </c>
      <c r="C4105" t="s">
        <v>67</v>
      </c>
      <c r="D4105">
        <v>5</v>
      </c>
      <c r="E4105">
        <v>0</v>
      </c>
      <c r="I4105">
        <v>5</v>
      </c>
      <c r="J4105">
        <v>0</v>
      </c>
      <c r="M4105" t="s">
        <v>4225</v>
      </c>
    </row>
    <row r="4106" spans="1:13" ht="15" customHeight="1">
      <c r="A4106" s="10">
        <v>46212</v>
      </c>
      <c r="B4106" t="s">
        <v>1</v>
      </c>
      <c r="C4106" t="s">
        <v>68</v>
      </c>
      <c r="D4106">
        <v>0</v>
      </c>
      <c r="E4106">
        <v>0</v>
      </c>
      <c r="I4106">
        <v>0</v>
      </c>
      <c r="J4106">
        <v>0</v>
      </c>
      <c r="M4106" t="s">
        <v>4226</v>
      </c>
    </row>
    <row r="4107" spans="1:13" ht="15" customHeight="1">
      <c r="A4107" s="10">
        <v>46212</v>
      </c>
      <c r="B4107" t="s">
        <v>1</v>
      </c>
      <c r="C4107" t="s">
        <v>71</v>
      </c>
      <c r="D4107">
        <v>1</v>
      </c>
      <c r="E4107">
        <v>431</v>
      </c>
      <c r="I4107">
        <v>1</v>
      </c>
      <c r="J4107">
        <v>224</v>
      </c>
      <c r="M4107" t="s">
        <v>4227</v>
      </c>
    </row>
    <row r="4108" spans="1:13" ht="15" customHeight="1">
      <c r="A4108" s="10">
        <v>46212</v>
      </c>
      <c r="B4108" t="s">
        <v>1</v>
      </c>
      <c r="C4108" t="s">
        <v>73</v>
      </c>
      <c r="D4108">
        <v>3</v>
      </c>
      <c r="E4108">
        <v>103</v>
      </c>
      <c r="I4108">
        <v>3</v>
      </c>
      <c r="J4108">
        <v>27</v>
      </c>
      <c r="M4108" t="s">
        <v>4228</v>
      </c>
    </row>
    <row r="4109" spans="1:13" ht="15" customHeight="1">
      <c r="A4109" s="10">
        <v>46212</v>
      </c>
      <c r="B4109" t="s">
        <v>1</v>
      </c>
      <c r="C4109" t="s">
        <v>75</v>
      </c>
      <c r="D4109">
        <v>2</v>
      </c>
      <c r="E4109">
        <v>148</v>
      </c>
      <c r="I4109">
        <v>2</v>
      </c>
      <c r="J4109">
        <v>137</v>
      </c>
      <c r="M4109" t="s">
        <v>4229</v>
      </c>
    </row>
    <row r="4110" spans="1:13" ht="15" customHeight="1">
      <c r="A4110" s="10">
        <v>46212</v>
      </c>
      <c r="B4110" t="s">
        <v>1</v>
      </c>
      <c r="C4110" t="s">
        <v>77</v>
      </c>
      <c r="D4110">
        <v>0</v>
      </c>
      <c r="E4110">
        <v>695</v>
      </c>
      <c r="I4110">
        <v>0</v>
      </c>
      <c r="J4110">
        <v>695</v>
      </c>
      <c r="M4110" t="s">
        <v>4230</v>
      </c>
    </row>
    <row r="4111" spans="1:13" ht="15" customHeight="1">
      <c r="A4111" s="10">
        <v>46212</v>
      </c>
      <c r="B4111" t="s">
        <v>1</v>
      </c>
      <c r="C4111" t="s">
        <v>79</v>
      </c>
      <c r="D4111">
        <v>0</v>
      </c>
      <c r="E4111">
        <v>1925</v>
      </c>
      <c r="I4111">
        <v>0</v>
      </c>
      <c r="J4111">
        <v>1933</v>
      </c>
      <c r="M4111" t="s">
        <v>4231</v>
      </c>
    </row>
    <row r="4112" spans="1:13" ht="15" customHeight="1">
      <c r="A4112" s="10">
        <v>46212</v>
      </c>
      <c r="B4112" t="s">
        <v>1</v>
      </c>
      <c r="C4112" t="s">
        <v>81</v>
      </c>
      <c r="D4112">
        <v>1</v>
      </c>
      <c r="E4112">
        <v>137</v>
      </c>
      <c r="I4112">
        <v>1</v>
      </c>
      <c r="J4112">
        <v>137</v>
      </c>
      <c r="M4112" t="s">
        <v>4232</v>
      </c>
    </row>
    <row r="4113" spans="1:13" ht="15" customHeight="1">
      <c r="A4113" s="10">
        <v>46212</v>
      </c>
      <c r="B4113" t="s">
        <v>1</v>
      </c>
      <c r="C4113" t="s">
        <v>83</v>
      </c>
      <c r="D4113">
        <v>1</v>
      </c>
      <c r="E4113">
        <v>55</v>
      </c>
      <c r="I4113">
        <v>1</v>
      </c>
      <c r="J4113">
        <v>55</v>
      </c>
      <c r="M4113" t="s">
        <v>4233</v>
      </c>
    </row>
    <row r="4114" spans="1:13" ht="15" customHeight="1">
      <c r="A4114" s="10">
        <v>46212</v>
      </c>
      <c r="B4114" t="s">
        <v>1</v>
      </c>
      <c r="C4114" t="s">
        <v>84</v>
      </c>
      <c r="D4114">
        <v>1</v>
      </c>
      <c r="E4114">
        <v>412</v>
      </c>
      <c r="I4114">
        <v>1</v>
      </c>
      <c r="J4114">
        <v>412</v>
      </c>
      <c r="M4114" t="s">
        <v>4234</v>
      </c>
    </row>
    <row r="4115" spans="1:13" ht="15" customHeight="1">
      <c r="A4115" s="10">
        <v>46212</v>
      </c>
      <c r="B4115" t="s">
        <v>1</v>
      </c>
      <c r="C4115" t="s">
        <v>85</v>
      </c>
      <c r="D4115">
        <v>0</v>
      </c>
      <c r="E4115">
        <v>120</v>
      </c>
      <c r="I4115">
        <v>0</v>
      </c>
      <c r="J4115">
        <v>120</v>
      </c>
      <c r="M4115" t="s">
        <v>4235</v>
      </c>
    </row>
    <row r="4116" spans="1:13" ht="15" customHeight="1">
      <c r="A4116" s="10">
        <v>46212</v>
      </c>
      <c r="B4116" t="s">
        <v>1</v>
      </c>
      <c r="C4116" t="s">
        <v>87</v>
      </c>
      <c r="D4116">
        <v>2</v>
      </c>
      <c r="E4116">
        <v>270</v>
      </c>
      <c r="I4116">
        <v>2</v>
      </c>
      <c r="J4116">
        <v>269</v>
      </c>
      <c r="M4116" t="s">
        <v>4236</v>
      </c>
    </row>
    <row r="4117" spans="1:13" ht="15" customHeight="1">
      <c r="A4117" s="10">
        <v>46212</v>
      </c>
      <c r="B4117" t="s">
        <v>1</v>
      </c>
      <c r="C4117" t="s">
        <v>88</v>
      </c>
      <c r="D4117">
        <v>1</v>
      </c>
      <c r="E4117">
        <v>207</v>
      </c>
      <c r="I4117">
        <v>1</v>
      </c>
      <c r="J4117">
        <v>204</v>
      </c>
      <c r="M4117" t="s">
        <v>4237</v>
      </c>
    </row>
    <row r="4118" spans="1:13" ht="15" customHeight="1">
      <c r="A4118" s="10">
        <v>46212</v>
      </c>
      <c r="B4118" t="s">
        <v>1</v>
      </c>
      <c r="C4118" t="s">
        <v>89</v>
      </c>
      <c r="D4118">
        <v>1</v>
      </c>
      <c r="E4118">
        <v>87</v>
      </c>
      <c r="I4118">
        <v>1</v>
      </c>
      <c r="J4118">
        <v>84</v>
      </c>
      <c r="M4118" t="s">
        <v>4238</v>
      </c>
    </row>
    <row r="4119" spans="1:13" ht="15" customHeight="1">
      <c r="A4119" s="10">
        <v>46212</v>
      </c>
      <c r="B4119" t="s">
        <v>1</v>
      </c>
      <c r="C4119" t="s">
        <v>90</v>
      </c>
      <c r="D4119">
        <v>1</v>
      </c>
      <c r="E4119">
        <v>580</v>
      </c>
      <c r="I4119">
        <v>1</v>
      </c>
      <c r="J4119">
        <v>280</v>
      </c>
      <c r="M4119" t="s">
        <v>4239</v>
      </c>
    </row>
    <row r="4120" spans="1:13" ht="15" customHeight="1">
      <c r="A4120" s="10">
        <v>46212</v>
      </c>
      <c r="B4120" t="s">
        <v>1</v>
      </c>
      <c r="C4120" t="s">
        <v>92</v>
      </c>
      <c r="D4120">
        <v>1</v>
      </c>
      <c r="E4120">
        <v>598</v>
      </c>
      <c r="I4120">
        <v>1</v>
      </c>
      <c r="J4120">
        <v>598</v>
      </c>
      <c r="M4120" t="s">
        <v>4240</v>
      </c>
    </row>
    <row r="4121" spans="1:13" ht="15" customHeight="1">
      <c r="A4121" s="10">
        <v>46212</v>
      </c>
      <c r="B4121" t="s">
        <v>1</v>
      </c>
      <c r="C4121" t="s">
        <v>94</v>
      </c>
      <c r="D4121">
        <v>3</v>
      </c>
      <c r="E4121">
        <v>100</v>
      </c>
      <c r="I4121">
        <v>1</v>
      </c>
      <c r="J4121">
        <v>748</v>
      </c>
      <c r="K4121">
        <v>313</v>
      </c>
      <c r="L4121" s="135" t="s">
        <v>4241</v>
      </c>
      <c r="M4121" t="s">
        <v>4242</v>
      </c>
    </row>
    <row r="4122" spans="1:13" ht="15" customHeight="1">
      <c r="A4122" s="10">
        <v>46212</v>
      </c>
      <c r="B4122" t="s">
        <v>1</v>
      </c>
      <c r="C4122" t="s">
        <v>96</v>
      </c>
      <c r="D4122">
        <v>0</v>
      </c>
      <c r="E4122">
        <v>0</v>
      </c>
      <c r="I4122">
        <v>0</v>
      </c>
      <c r="J4122">
        <v>0</v>
      </c>
      <c r="M4122" t="s">
        <v>4243</v>
      </c>
    </row>
    <row r="4123" spans="1:13" ht="15" customHeight="1">
      <c r="A4123" s="10">
        <v>46212</v>
      </c>
      <c r="B4123" t="s">
        <v>1</v>
      </c>
      <c r="C4123" t="s">
        <v>98</v>
      </c>
      <c r="D4123">
        <v>2</v>
      </c>
      <c r="E4123">
        <v>0</v>
      </c>
      <c r="I4123">
        <v>3</v>
      </c>
      <c r="J4123">
        <v>0</v>
      </c>
      <c r="M4123" t="s">
        <v>4244</v>
      </c>
    </row>
    <row r="4124" spans="1:13" ht="15" customHeight="1">
      <c r="A4124" s="10">
        <v>46212</v>
      </c>
      <c r="B4124" t="s">
        <v>1</v>
      </c>
      <c r="C4124" t="s">
        <v>203</v>
      </c>
      <c r="D4124">
        <v>2</v>
      </c>
      <c r="E4124">
        <v>103</v>
      </c>
      <c r="I4124">
        <v>2</v>
      </c>
      <c r="J4124">
        <v>0</v>
      </c>
      <c r="M4124" t="s">
        <v>4245</v>
      </c>
    </row>
    <row r="4125" spans="1:13" ht="15" customHeight="1">
      <c r="A4125" s="10">
        <v>46212</v>
      </c>
      <c r="B4125" t="s">
        <v>1</v>
      </c>
      <c r="C4125" t="s">
        <v>100</v>
      </c>
      <c r="D4125">
        <v>0</v>
      </c>
      <c r="E4125">
        <v>0</v>
      </c>
      <c r="I4125">
        <v>0</v>
      </c>
      <c r="J4125">
        <v>0</v>
      </c>
      <c r="M4125" t="s">
        <v>4246</v>
      </c>
    </row>
    <row r="4126" spans="1:13" ht="15" customHeight="1">
      <c r="A4126" s="10">
        <v>46212</v>
      </c>
      <c r="B4126" t="s">
        <v>1</v>
      </c>
      <c r="C4126" t="s">
        <v>101</v>
      </c>
      <c r="D4126">
        <v>0</v>
      </c>
      <c r="E4126">
        <v>0</v>
      </c>
      <c r="I4126">
        <v>0</v>
      </c>
      <c r="J4126">
        <v>417</v>
      </c>
      <c r="M4126" t="s">
        <v>4247</v>
      </c>
    </row>
    <row r="4127" spans="1:13" ht="15" customHeight="1">
      <c r="A4127" s="10">
        <v>46212</v>
      </c>
      <c r="B4127" t="s">
        <v>1</v>
      </c>
      <c r="C4127" t="s">
        <v>103</v>
      </c>
      <c r="D4127">
        <v>0</v>
      </c>
      <c r="E4127">
        <v>0</v>
      </c>
      <c r="G4127">
        <v>6</v>
      </c>
      <c r="I4127">
        <v>0</v>
      </c>
      <c r="J4127">
        <v>4</v>
      </c>
      <c r="M4127" t="s">
        <v>4248</v>
      </c>
    </row>
    <row r="4128" spans="1:13" ht="15" customHeight="1">
      <c r="A4128" s="10">
        <v>46212</v>
      </c>
      <c r="B4128" t="s">
        <v>1</v>
      </c>
      <c r="C4128" t="s">
        <v>106</v>
      </c>
      <c r="D4128">
        <v>1</v>
      </c>
      <c r="E4128">
        <v>868</v>
      </c>
      <c r="I4128">
        <v>1</v>
      </c>
      <c r="J4128">
        <v>748</v>
      </c>
      <c r="M4128" t="s">
        <v>4249</v>
      </c>
    </row>
    <row r="4129" spans="1:13" ht="15" customHeight="1">
      <c r="A4129" s="10">
        <v>46212</v>
      </c>
      <c r="B4129" t="s">
        <v>1</v>
      </c>
      <c r="C4129" t="s">
        <v>108</v>
      </c>
      <c r="D4129">
        <v>1</v>
      </c>
      <c r="E4129">
        <v>907</v>
      </c>
      <c r="I4129">
        <v>1</v>
      </c>
      <c r="J4129">
        <v>804</v>
      </c>
      <c r="M4129" t="s">
        <v>4250</v>
      </c>
    </row>
    <row r="4130" spans="1:13" ht="15" customHeight="1">
      <c r="A4130" s="10">
        <v>46212</v>
      </c>
      <c r="B4130" t="s">
        <v>1</v>
      </c>
      <c r="C4130" t="s">
        <v>109</v>
      </c>
      <c r="D4130">
        <v>2</v>
      </c>
      <c r="E4130">
        <v>230</v>
      </c>
      <c r="I4130">
        <v>1</v>
      </c>
      <c r="J4130">
        <v>1029</v>
      </c>
      <c r="M4130" t="s">
        <v>4251</v>
      </c>
    </row>
    <row r="4131" spans="1:13" ht="15" customHeight="1">
      <c r="A4131" s="10">
        <v>46212</v>
      </c>
      <c r="B4131" t="s">
        <v>1</v>
      </c>
      <c r="C4131" t="s">
        <v>112</v>
      </c>
      <c r="D4131">
        <v>1</v>
      </c>
      <c r="E4131">
        <v>17</v>
      </c>
      <c r="I4131">
        <v>1</v>
      </c>
      <c r="J4131">
        <v>16</v>
      </c>
      <c r="M4131" t="s">
        <v>4252</v>
      </c>
    </row>
    <row r="4132" spans="1:13" ht="15" customHeight="1">
      <c r="A4132" s="10">
        <v>46212</v>
      </c>
      <c r="B4132" t="s">
        <v>1</v>
      </c>
      <c r="C4132" t="s">
        <v>114</v>
      </c>
      <c r="D4132">
        <v>2</v>
      </c>
      <c r="E4132">
        <v>12</v>
      </c>
      <c r="I4132">
        <v>2</v>
      </c>
      <c r="J4132">
        <v>10</v>
      </c>
      <c r="M4132" t="s">
        <v>4253</v>
      </c>
    </row>
    <row r="4133" spans="1:13" ht="15" customHeight="1">
      <c r="A4133" s="10">
        <v>46212</v>
      </c>
      <c r="B4133" t="s">
        <v>1</v>
      </c>
      <c r="C4133" t="s">
        <v>115</v>
      </c>
      <c r="D4133">
        <v>1</v>
      </c>
      <c r="E4133">
        <v>24</v>
      </c>
      <c r="I4133">
        <v>1</v>
      </c>
      <c r="J4133">
        <v>17</v>
      </c>
      <c r="M4133" t="s">
        <v>4254</v>
      </c>
    </row>
    <row r="4134" spans="1:13" ht="15" customHeight="1">
      <c r="A4134" s="10">
        <v>46212</v>
      </c>
      <c r="B4134" t="s">
        <v>1</v>
      </c>
      <c r="C4134" t="s">
        <v>116</v>
      </c>
      <c r="D4134">
        <v>2</v>
      </c>
      <c r="E4134">
        <v>9</v>
      </c>
      <c r="I4134">
        <v>1</v>
      </c>
      <c r="J4134">
        <v>41</v>
      </c>
      <c r="M4134" t="s">
        <v>4255</v>
      </c>
    </row>
    <row r="4135" spans="1:13" ht="15" customHeight="1">
      <c r="A4135" s="10">
        <v>46212</v>
      </c>
      <c r="B4135" t="s">
        <v>1</v>
      </c>
      <c r="C4135" t="s">
        <v>119</v>
      </c>
      <c r="D4135">
        <v>2</v>
      </c>
      <c r="E4135">
        <v>0</v>
      </c>
      <c r="I4135">
        <v>2</v>
      </c>
      <c r="M4135" t="s">
        <v>4256</v>
      </c>
    </row>
    <row r="4136" spans="1:13" ht="15" customHeight="1">
      <c r="A4136" s="10">
        <v>46212</v>
      </c>
      <c r="B4136" t="s">
        <v>1</v>
      </c>
      <c r="C4136" t="s">
        <v>120</v>
      </c>
      <c r="D4136">
        <v>2</v>
      </c>
      <c r="E4136">
        <v>0</v>
      </c>
      <c r="I4136">
        <v>2</v>
      </c>
      <c r="M4136" t="s">
        <v>4257</v>
      </c>
    </row>
    <row r="4137" spans="1:13" ht="15" customHeight="1">
      <c r="A4137" s="10">
        <v>46212</v>
      </c>
      <c r="B4137" t="s">
        <v>1</v>
      </c>
      <c r="C4137" t="s">
        <v>121</v>
      </c>
      <c r="D4137">
        <v>2</v>
      </c>
      <c r="E4137">
        <v>0</v>
      </c>
      <c r="I4137">
        <v>2</v>
      </c>
      <c r="M4137" t="s">
        <v>4258</v>
      </c>
    </row>
    <row r="4138" spans="1:13" ht="15" customHeight="1">
      <c r="A4138" s="10">
        <v>46212</v>
      </c>
      <c r="B4138" t="s">
        <v>1</v>
      </c>
      <c r="C4138" t="s">
        <v>123</v>
      </c>
      <c r="D4138">
        <v>2</v>
      </c>
      <c r="E4138">
        <v>0</v>
      </c>
      <c r="I4138">
        <v>2</v>
      </c>
      <c r="M4138" t="s">
        <v>4259</v>
      </c>
    </row>
    <row r="4139" spans="1:13" ht="15" customHeight="1">
      <c r="A4139" s="10">
        <v>46212</v>
      </c>
      <c r="B4139" t="s">
        <v>1</v>
      </c>
      <c r="C4139" t="s">
        <v>124</v>
      </c>
      <c r="D4139">
        <v>1</v>
      </c>
      <c r="E4139">
        <v>0</v>
      </c>
      <c r="I4139">
        <v>0</v>
      </c>
      <c r="M4139" t="s">
        <v>4260</v>
      </c>
    </row>
    <row r="4140" spans="1:13" ht="15" customHeight="1">
      <c r="A4140" s="10">
        <v>46212</v>
      </c>
      <c r="B4140" t="s">
        <v>1</v>
      </c>
      <c r="C4140" t="s">
        <v>125</v>
      </c>
      <c r="D4140">
        <v>2</v>
      </c>
      <c r="E4140">
        <v>0</v>
      </c>
      <c r="I4140">
        <v>2</v>
      </c>
      <c r="M4140" t="s">
        <v>4261</v>
      </c>
    </row>
    <row r="4141" spans="1:13" ht="15" customHeight="1">
      <c r="A4141" s="10">
        <v>46212</v>
      </c>
      <c r="B4141" t="s">
        <v>1</v>
      </c>
      <c r="C4141" t="s">
        <v>126</v>
      </c>
      <c r="D4141">
        <v>2</v>
      </c>
      <c r="E4141">
        <v>0</v>
      </c>
      <c r="I4141">
        <v>2</v>
      </c>
      <c r="M4141" t="s">
        <v>4262</v>
      </c>
    </row>
    <row r="4142" spans="1:13" ht="15" customHeight="1">
      <c r="A4142" s="10">
        <v>46212</v>
      </c>
      <c r="B4142" t="s">
        <v>1</v>
      </c>
      <c r="C4142" t="s">
        <v>128</v>
      </c>
      <c r="D4142">
        <v>2</v>
      </c>
      <c r="E4142">
        <v>0</v>
      </c>
      <c r="I4142">
        <v>2</v>
      </c>
      <c r="M4142" t="s">
        <v>4263</v>
      </c>
    </row>
    <row r="4143" spans="1:13" ht="15" customHeight="1">
      <c r="A4143" s="10">
        <v>46212</v>
      </c>
      <c r="B4143" t="s">
        <v>1</v>
      </c>
      <c r="C4143" t="s">
        <v>130</v>
      </c>
      <c r="D4143">
        <v>4</v>
      </c>
      <c r="E4143">
        <v>0</v>
      </c>
      <c r="I4143">
        <v>4</v>
      </c>
      <c r="M4143" t="s">
        <v>4264</v>
      </c>
    </row>
    <row r="4144" spans="1:13" ht="15" customHeight="1">
      <c r="A4144" s="10">
        <v>46212</v>
      </c>
      <c r="B4144" t="s">
        <v>1</v>
      </c>
      <c r="C4144" t="s">
        <v>285</v>
      </c>
      <c r="D4144">
        <v>2</v>
      </c>
      <c r="E4144">
        <v>0</v>
      </c>
      <c r="I4144">
        <v>2</v>
      </c>
      <c r="M4144" t="s">
        <v>4265</v>
      </c>
    </row>
    <row r="4145" spans="1:13" ht="15" customHeight="1">
      <c r="A4145" s="10">
        <v>46212</v>
      </c>
      <c r="B4145" t="s">
        <v>1</v>
      </c>
      <c r="C4145" t="s">
        <v>287</v>
      </c>
      <c r="D4145">
        <v>2</v>
      </c>
      <c r="E4145">
        <v>0</v>
      </c>
      <c r="I4145">
        <v>2</v>
      </c>
      <c r="M4145" t="s">
        <v>4266</v>
      </c>
    </row>
    <row r="4146" spans="1:13" ht="15" customHeight="1">
      <c r="A4146" s="10">
        <v>46212</v>
      </c>
      <c r="B4146" t="s">
        <v>1</v>
      </c>
      <c r="C4146" t="s">
        <v>289</v>
      </c>
      <c r="D4146">
        <v>2</v>
      </c>
      <c r="E4146">
        <v>0</v>
      </c>
      <c r="I4146">
        <v>2</v>
      </c>
      <c r="M4146" t="s">
        <v>4267</v>
      </c>
    </row>
    <row r="4147" spans="1:13" ht="15" customHeight="1">
      <c r="A4147" s="10">
        <v>46212</v>
      </c>
      <c r="B4147" t="s">
        <v>1</v>
      </c>
      <c r="C4147" t="s">
        <v>291</v>
      </c>
      <c r="D4147">
        <v>2</v>
      </c>
      <c r="E4147">
        <v>0</v>
      </c>
      <c r="I4147">
        <v>2</v>
      </c>
      <c r="M4147" t="s">
        <v>4268</v>
      </c>
    </row>
    <row r="4148" spans="1:13" ht="15" customHeight="1">
      <c r="A4148" s="10">
        <v>46212</v>
      </c>
      <c r="B4148" t="s">
        <v>1</v>
      </c>
      <c r="C4148" t="s">
        <v>293</v>
      </c>
      <c r="D4148">
        <v>3</v>
      </c>
      <c r="E4148">
        <v>0</v>
      </c>
      <c r="I4148">
        <v>3</v>
      </c>
      <c r="M4148" t="s">
        <v>4269</v>
      </c>
    </row>
    <row r="4149" spans="1:13" ht="15" customHeight="1">
      <c r="A4149" s="10">
        <v>46212</v>
      </c>
      <c r="B4149" t="s">
        <v>1</v>
      </c>
      <c r="C4149" s="135" t="s">
        <v>138</v>
      </c>
      <c r="D4149">
        <v>0</v>
      </c>
      <c r="E4149">
        <v>42</v>
      </c>
      <c r="I4149">
        <v>0</v>
      </c>
      <c r="J4149">
        <v>30</v>
      </c>
      <c r="M4149" t="s">
        <v>4270</v>
      </c>
    </row>
    <row r="4150" spans="1:13" ht="15" customHeight="1">
      <c r="A4150" s="10">
        <v>46212</v>
      </c>
      <c r="B4150" t="s">
        <v>1</v>
      </c>
      <c r="C4150" s="135" t="s">
        <v>139</v>
      </c>
      <c r="D4150">
        <v>0</v>
      </c>
      <c r="E4150">
        <v>29</v>
      </c>
      <c r="I4150">
        <v>0</v>
      </c>
      <c r="J4150">
        <v>25</v>
      </c>
      <c r="M4150" t="s">
        <v>4271</v>
      </c>
    </row>
    <row r="4151" spans="1:13" ht="15" customHeight="1">
      <c r="A4151" s="10">
        <v>46212</v>
      </c>
      <c r="B4151" t="s">
        <v>1</v>
      </c>
      <c r="C4151" s="135" t="s">
        <v>140</v>
      </c>
      <c r="D4151">
        <v>0</v>
      </c>
      <c r="E4151">
        <v>26</v>
      </c>
      <c r="I4151">
        <v>0</v>
      </c>
      <c r="J4151">
        <v>26</v>
      </c>
      <c r="M4151" t="s">
        <v>4272</v>
      </c>
    </row>
    <row r="4152" spans="1:13" ht="15" customHeight="1">
      <c r="A4152" s="10">
        <v>46212</v>
      </c>
      <c r="B4152" t="s">
        <v>1</v>
      </c>
      <c r="C4152" s="135" t="s">
        <v>141</v>
      </c>
      <c r="D4152">
        <v>0</v>
      </c>
      <c r="E4152">
        <v>1</v>
      </c>
      <c r="I4152">
        <v>0</v>
      </c>
      <c r="J4152">
        <v>1</v>
      </c>
      <c r="M4152" t="s">
        <v>4273</v>
      </c>
    </row>
    <row r="4153" spans="1:13" ht="15" customHeight="1">
      <c r="A4153" s="10">
        <v>46212</v>
      </c>
      <c r="B4153" t="s">
        <v>1</v>
      </c>
      <c r="C4153" s="135" t="s">
        <v>143</v>
      </c>
      <c r="D4153">
        <v>0</v>
      </c>
      <c r="E4153">
        <v>42</v>
      </c>
      <c r="I4153">
        <v>0</v>
      </c>
      <c r="J4153">
        <v>37</v>
      </c>
      <c r="M4153" t="s">
        <v>4274</v>
      </c>
    </row>
    <row r="4154" spans="1:13" ht="15" customHeight="1">
      <c r="A4154" s="10">
        <v>46212</v>
      </c>
      <c r="B4154" t="s">
        <v>1</v>
      </c>
      <c r="C4154" s="135" t="s">
        <v>145</v>
      </c>
      <c r="D4154">
        <v>0</v>
      </c>
      <c r="E4154">
        <v>65</v>
      </c>
      <c r="I4154">
        <v>0</v>
      </c>
      <c r="J4154">
        <v>62</v>
      </c>
      <c r="M4154" t="s">
        <v>4275</v>
      </c>
    </row>
    <row r="4155" spans="1:13" ht="15" customHeight="1">
      <c r="A4155" s="10">
        <v>46212</v>
      </c>
      <c r="B4155" t="s">
        <v>1</v>
      </c>
      <c r="C4155" s="135" t="s">
        <v>147</v>
      </c>
      <c r="D4155">
        <v>0</v>
      </c>
      <c r="E4155">
        <v>26</v>
      </c>
      <c r="I4155">
        <v>0</v>
      </c>
      <c r="J4155">
        <v>25</v>
      </c>
      <c r="M4155" t="s">
        <v>4276</v>
      </c>
    </row>
    <row r="4156" spans="1:13" ht="15" customHeight="1">
      <c r="A4156" s="10">
        <v>46212</v>
      </c>
      <c r="B4156" t="s">
        <v>1</v>
      </c>
      <c r="C4156" t="s">
        <v>302</v>
      </c>
      <c r="D4156">
        <v>2</v>
      </c>
      <c r="E4156">
        <v>0</v>
      </c>
      <c r="I4156">
        <v>2</v>
      </c>
      <c r="M4156" t="s">
        <v>4277</v>
      </c>
    </row>
    <row r="4157" spans="1:13" ht="15" customHeight="1">
      <c r="A4157" s="10">
        <v>46212</v>
      </c>
      <c r="B4157" t="s">
        <v>1</v>
      </c>
      <c r="C4157" t="s">
        <v>150</v>
      </c>
      <c r="D4157">
        <v>1</v>
      </c>
      <c r="E4157">
        <v>0</v>
      </c>
      <c r="I4157">
        <v>1</v>
      </c>
      <c r="M4157" t="s">
        <v>4278</v>
      </c>
    </row>
    <row r="4158" spans="1:13" ht="15" customHeight="1">
      <c r="A4158" s="10">
        <v>46212</v>
      </c>
      <c r="B4158" t="s">
        <v>1</v>
      </c>
      <c r="C4158" t="s">
        <v>151</v>
      </c>
      <c r="D4158">
        <v>2</v>
      </c>
      <c r="E4158">
        <v>0</v>
      </c>
      <c r="I4158">
        <v>2</v>
      </c>
      <c r="M4158" t="s">
        <v>4279</v>
      </c>
    </row>
    <row r="4159" spans="1:13" ht="15" customHeight="1">
      <c r="A4159" s="10">
        <v>46212</v>
      </c>
      <c r="B4159" t="s">
        <v>1</v>
      </c>
      <c r="C4159" t="s">
        <v>152</v>
      </c>
      <c r="D4159">
        <v>2</v>
      </c>
      <c r="E4159">
        <v>0</v>
      </c>
      <c r="I4159">
        <v>2</v>
      </c>
      <c r="M4159" t="s">
        <v>4280</v>
      </c>
    </row>
    <row r="4160" spans="1:13" ht="15" customHeight="1">
      <c r="A4160" s="10">
        <v>46212</v>
      </c>
      <c r="B4160" t="s">
        <v>1</v>
      </c>
      <c r="C4160" t="s">
        <v>153</v>
      </c>
      <c r="D4160">
        <v>2</v>
      </c>
      <c r="E4160">
        <v>0</v>
      </c>
      <c r="I4160">
        <v>2</v>
      </c>
      <c r="M4160" t="s">
        <v>4281</v>
      </c>
    </row>
    <row r="4161" spans="1:13" ht="15" customHeight="1">
      <c r="A4161" s="10">
        <v>46212</v>
      </c>
      <c r="B4161" t="s">
        <v>1</v>
      </c>
      <c r="C4161" t="s">
        <v>308</v>
      </c>
      <c r="D4161">
        <v>0</v>
      </c>
      <c r="E4161">
        <v>4</v>
      </c>
      <c r="I4161">
        <v>0</v>
      </c>
      <c r="J4161">
        <v>4</v>
      </c>
      <c r="M4161" t="s">
        <v>4282</v>
      </c>
    </row>
    <row r="4162" spans="1:13" ht="15" customHeight="1">
      <c r="A4162" s="10">
        <v>46212</v>
      </c>
      <c r="B4162" t="s">
        <v>1</v>
      </c>
      <c r="C4162" t="s">
        <v>310</v>
      </c>
      <c r="D4162">
        <v>0</v>
      </c>
      <c r="E4162">
        <v>2</v>
      </c>
      <c r="I4162">
        <v>0</v>
      </c>
      <c r="J4162">
        <v>2</v>
      </c>
      <c r="M4162" t="s">
        <v>4283</v>
      </c>
    </row>
    <row r="4163" spans="1:13" ht="15" customHeight="1">
      <c r="A4163" s="10">
        <v>46212</v>
      </c>
      <c r="B4163" t="s">
        <v>1</v>
      </c>
      <c r="C4163" t="s">
        <v>312</v>
      </c>
      <c r="D4163">
        <v>0</v>
      </c>
      <c r="E4163">
        <v>3</v>
      </c>
      <c r="I4163">
        <v>0</v>
      </c>
      <c r="J4163">
        <v>3</v>
      </c>
      <c r="M4163" t="s">
        <v>4284</v>
      </c>
    </row>
    <row r="4164" spans="1:13" ht="15" customHeight="1">
      <c r="A4164" s="10">
        <v>46212</v>
      </c>
      <c r="B4164" t="s">
        <v>1</v>
      </c>
      <c r="C4164" t="s">
        <v>314</v>
      </c>
      <c r="D4164">
        <v>1</v>
      </c>
      <c r="E4164">
        <v>0</v>
      </c>
      <c r="I4164">
        <v>1</v>
      </c>
      <c r="M4164" t="s">
        <v>4285</v>
      </c>
    </row>
    <row r="4165" spans="1:13" ht="15" customHeight="1">
      <c r="A4165" s="10">
        <v>46212</v>
      </c>
      <c r="B4165" t="s">
        <v>1</v>
      </c>
      <c r="C4165" t="s">
        <v>316</v>
      </c>
      <c r="D4165">
        <v>1</v>
      </c>
      <c r="E4165">
        <v>0</v>
      </c>
      <c r="I4165">
        <v>1</v>
      </c>
      <c r="M4165" t="s">
        <v>4286</v>
      </c>
    </row>
    <row r="4166" spans="1:13" ht="15" customHeight="1">
      <c r="A4166" s="10">
        <v>46212</v>
      </c>
      <c r="B4166" t="s">
        <v>1</v>
      </c>
      <c r="C4166" t="s">
        <v>318</v>
      </c>
      <c r="D4166">
        <v>1</v>
      </c>
      <c r="E4166">
        <v>0</v>
      </c>
      <c r="I4166">
        <v>1</v>
      </c>
      <c r="M4166" t="s">
        <v>4287</v>
      </c>
    </row>
    <row r="4167" spans="1:13" ht="15" customHeight="1">
      <c r="A4167" s="10">
        <v>46212</v>
      </c>
      <c r="B4167" t="s">
        <v>1</v>
      </c>
      <c r="C4167" t="s">
        <v>320</v>
      </c>
      <c r="D4167">
        <v>1</v>
      </c>
      <c r="E4167">
        <v>0</v>
      </c>
      <c r="I4167">
        <v>1</v>
      </c>
      <c r="M4167" t="s">
        <v>4288</v>
      </c>
    </row>
    <row r="4168" spans="1:13" ht="15" customHeight="1">
      <c r="A4168" s="10">
        <v>46212</v>
      </c>
      <c r="B4168" t="s">
        <v>1</v>
      </c>
      <c r="C4168" t="s">
        <v>322</v>
      </c>
      <c r="D4168">
        <v>0</v>
      </c>
      <c r="E4168">
        <v>0</v>
      </c>
      <c r="I4168">
        <v>0</v>
      </c>
      <c r="M4168" t="s">
        <v>4289</v>
      </c>
    </row>
    <row r="4169" spans="1:13" ht="15" customHeight="1">
      <c r="A4169" s="10">
        <v>46212</v>
      </c>
      <c r="B4169" t="s">
        <v>1</v>
      </c>
      <c r="C4169" s="135" t="s">
        <v>168</v>
      </c>
      <c r="D4169">
        <v>1</v>
      </c>
      <c r="E4169">
        <v>0</v>
      </c>
      <c r="I4169">
        <v>1</v>
      </c>
      <c r="M4169" t="s">
        <v>4290</v>
      </c>
    </row>
    <row r="4170" spans="1:13" ht="15" customHeight="1">
      <c r="A4170" s="10">
        <v>46212</v>
      </c>
      <c r="B4170" t="s">
        <v>1</v>
      </c>
      <c r="C4170" s="135" t="s">
        <v>170</v>
      </c>
      <c r="D4170">
        <v>1</v>
      </c>
      <c r="E4170">
        <v>0</v>
      </c>
      <c r="I4170">
        <v>1</v>
      </c>
      <c r="M4170" t="s">
        <v>4291</v>
      </c>
    </row>
    <row r="4171" spans="1:13" ht="15" customHeight="1">
      <c r="A4171" s="10">
        <v>46212</v>
      </c>
      <c r="B4171" t="s">
        <v>1</v>
      </c>
      <c r="C4171" s="135" t="s">
        <v>171</v>
      </c>
      <c r="D4171">
        <v>2</v>
      </c>
      <c r="E4171">
        <v>0</v>
      </c>
      <c r="I4171">
        <v>2</v>
      </c>
      <c r="M4171" t="s">
        <v>4292</v>
      </c>
    </row>
    <row r="4172" spans="1:13" ht="15" customHeight="1">
      <c r="A4172" s="10">
        <v>46212</v>
      </c>
      <c r="B4172" t="s">
        <v>1</v>
      </c>
      <c r="C4172" s="135" t="s">
        <v>172</v>
      </c>
      <c r="D4172">
        <v>1</v>
      </c>
      <c r="E4172">
        <v>0</v>
      </c>
      <c r="I4172">
        <v>1</v>
      </c>
      <c r="M4172" t="s">
        <v>4293</v>
      </c>
    </row>
    <row r="4173" spans="1:13" ht="15" customHeight="1">
      <c r="A4173" s="10">
        <v>46212</v>
      </c>
      <c r="B4173" t="s">
        <v>1</v>
      </c>
      <c r="C4173" s="135" t="s">
        <v>173</v>
      </c>
      <c r="D4173">
        <v>0</v>
      </c>
      <c r="E4173">
        <v>0</v>
      </c>
      <c r="I4173">
        <v>0</v>
      </c>
      <c r="M4173" t="s">
        <v>4294</v>
      </c>
    </row>
    <row r="4174" spans="1:13" ht="15" customHeight="1">
      <c r="A4174" s="10">
        <v>46212</v>
      </c>
      <c r="B4174" t="s">
        <v>1</v>
      </c>
      <c r="C4174" t="s">
        <v>176</v>
      </c>
      <c r="D4174">
        <v>0</v>
      </c>
      <c r="E4174">
        <v>12</v>
      </c>
      <c r="H4174">
        <v>1</v>
      </c>
      <c r="I4174">
        <v>0</v>
      </c>
      <c r="J4174">
        <v>11</v>
      </c>
      <c r="M4174" t="s">
        <v>4295</v>
      </c>
    </row>
    <row r="4175" spans="1:13" ht="15" customHeight="1">
      <c r="A4175" s="10">
        <v>46212</v>
      </c>
      <c r="B4175" t="s">
        <v>1</v>
      </c>
      <c r="C4175" t="s">
        <v>178</v>
      </c>
      <c r="D4175">
        <v>0</v>
      </c>
      <c r="E4175">
        <v>13</v>
      </c>
      <c r="H4175">
        <v>2</v>
      </c>
      <c r="I4175">
        <v>0</v>
      </c>
      <c r="J4175">
        <v>11</v>
      </c>
      <c r="M4175" t="s">
        <v>4296</v>
      </c>
    </row>
    <row r="4176" spans="1:13" ht="15" customHeight="1">
      <c r="A4176" s="10">
        <v>46212</v>
      </c>
      <c r="B4176" t="s">
        <v>1</v>
      </c>
      <c r="C4176" t="s">
        <v>179</v>
      </c>
      <c r="D4176">
        <v>0</v>
      </c>
      <c r="E4176">
        <v>18</v>
      </c>
      <c r="H4176">
        <v>1</v>
      </c>
      <c r="I4176">
        <v>0</v>
      </c>
      <c r="J4176">
        <v>17</v>
      </c>
      <c r="M4176" t="s">
        <v>4297</v>
      </c>
    </row>
    <row r="4177" spans="1:13" ht="15" customHeight="1">
      <c r="A4177" s="10">
        <v>46212</v>
      </c>
      <c r="B4177" t="s">
        <v>1</v>
      </c>
      <c r="C4177" t="s">
        <v>180</v>
      </c>
      <c r="D4177">
        <v>0</v>
      </c>
      <c r="E4177">
        <v>19</v>
      </c>
      <c r="I4177">
        <v>0</v>
      </c>
      <c r="J4177">
        <v>19</v>
      </c>
      <c r="M4177" t="s">
        <v>4298</v>
      </c>
    </row>
    <row r="4178" spans="1:13" ht="15" customHeight="1">
      <c r="A4178" s="10">
        <v>46212</v>
      </c>
      <c r="B4178" t="s">
        <v>1</v>
      </c>
      <c r="C4178" s="135" t="s">
        <v>182</v>
      </c>
      <c r="D4178">
        <v>1</v>
      </c>
      <c r="E4178">
        <v>200</v>
      </c>
      <c r="I4178">
        <v>1</v>
      </c>
      <c r="J4178">
        <v>190</v>
      </c>
      <c r="M4178" t="s">
        <v>4299</v>
      </c>
    </row>
    <row r="4179" spans="1:13" ht="15" customHeight="1">
      <c r="A4179" s="10">
        <v>46212</v>
      </c>
      <c r="B4179" t="s">
        <v>1</v>
      </c>
      <c r="C4179" s="135" t="s">
        <v>184</v>
      </c>
      <c r="D4179">
        <v>1</v>
      </c>
      <c r="E4179">
        <v>45</v>
      </c>
      <c r="I4179">
        <v>1</v>
      </c>
      <c r="J4179">
        <v>44</v>
      </c>
      <c r="M4179" t="s">
        <v>4300</v>
      </c>
    </row>
    <row r="4180" spans="1:13" ht="15" customHeight="1">
      <c r="A4180" s="10">
        <v>46212</v>
      </c>
      <c r="B4180" t="s">
        <v>1</v>
      </c>
      <c r="C4180" s="135" t="s">
        <v>185</v>
      </c>
      <c r="D4180">
        <v>1</v>
      </c>
      <c r="E4180">
        <v>20</v>
      </c>
      <c r="I4180">
        <v>1</v>
      </c>
      <c r="J4180">
        <v>14</v>
      </c>
      <c r="M4180" t="s">
        <v>4301</v>
      </c>
    </row>
    <row r="4181" spans="1:13" ht="15" customHeight="1">
      <c r="A4181" s="10">
        <v>46212</v>
      </c>
      <c r="B4181" t="s">
        <v>1</v>
      </c>
      <c r="C4181" s="135" t="s">
        <v>186</v>
      </c>
      <c r="D4181">
        <v>0</v>
      </c>
      <c r="E4181">
        <v>765</v>
      </c>
      <c r="I4181">
        <v>0</v>
      </c>
      <c r="J4181">
        <v>760</v>
      </c>
      <c r="M4181" t="s">
        <v>4302</v>
      </c>
    </row>
    <row r="4182" spans="1:13" ht="15" customHeight="1">
      <c r="A4182" s="10">
        <v>46212</v>
      </c>
      <c r="B4182" t="s">
        <v>1</v>
      </c>
      <c r="C4182" t="s">
        <v>337</v>
      </c>
      <c r="D4182">
        <v>1</v>
      </c>
      <c r="E4182">
        <v>400</v>
      </c>
      <c r="I4182">
        <v>1</v>
      </c>
      <c r="J4182">
        <v>295</v>
      </c>
      <c r="M4182" t="s">
        <v>4303</v>
      </c>
    </row>
    <row r="4183" spans="1:13" ht="15" customHeight="1">
      <c r="A4183" s="10">
        <v>46212</v>
      </c>
      <c r="B4183" t="s">
        <v>1</v>
      </c>
      <c r="C4183" t="s">
        <v>339</v>
      </c>
      <c r="D4183">
        <v>0</v>
      </c>
      <c r="E4183">
        <v>0</v>
      </c>
      <c r="I4183">
        <v>0</v>
      </c>
      <c r="J4183">
        <v>0</v>
      </c>
      <c r="M4183" t="s">
        <v>4304</v>
      </c>
    </row>
    <row r="4184" spans="1:13" ht="15" customHeight="1">
      <c r="A4184" s="10">
        <v>46212</v>
      </c>
      <c r="B4184" t="s">
        <v>1</v>
      </c>
      <c r="C4184" s="135" t="s">
        <v>191</v>
      </c>
      <c r="D4184">
        <v>1</v>
      </c>
      <c r="E4184">
        <v>155</v>
      </c>
      <c r="I4184">
        <v>1</v>
      </c>
      <c r="J4184">
        <v>113</v>
      </c>
      <c r="M4184" t="s">
        <v>4305</v>
      </c>
    </row>
    <row r="4185" spans="1:13" ht="15" customHeight="1">
      <c r="A4185" s="10">
        <v>46212</v>
      </c>
      <c r="B4185" t="s">
        <v>1</v>
      </c>
      <c r="C4185" s="135" t="s">
        <v>193</v>
      </c>
      <c r="D4185">
        <v>0</v>
      </c>
      <c r="E4185">
        <v>556</v>
      </c>
      <c r="I4185">
        <v>0</v>
      </c>
      <c r="J4185">
        <v>507</v>
      </c>
      <c r="M4185" t="s">
        <v>4306</v>
      </c>
    </row>
    <row r="4186" spans="1:13" ht="15" customHeight="1">
      <c r="A4186" s="10">
        <v>46212</v>
      </c>
      <c r="B4186" t="s">
        <v>1</v>
      </c>
      <c r="C4186" s="135" t="s">
        <v>194</v>
      </c>
      <c r="D4186">
        <v>1</v>
      </c>
      <c r="E4186">
        <v>29</v>
      </c>
      <c r="I4186">
        <v>1</v>
      </c>
      <c r="J4186">
        <v>19</v>
      </c>
      <c r="M4186" t="s">
        <v>4307</v>
      </c>
    </row>
    <row r="4187" spans="1:13" ht="15" customHeight="1">
      <c r="A4187" s="10">
        <v>46212</v>
      </c>
      <c r="B4187" t="s">
        <v>1</v>
      </c>
      <c r="C4187" s="135" t="s">
        <v>196</v>
      </c>
      <c r="D4187">
        <v>1</v>
      </c>
      <c r="E4187">
        <v>37</v>
      </c>
      <c r="I4187">
        <v>1</v>
      </c>
      <c r="J4187">
        <v>0</v>
      </c>
      <c r="M4187" t="s">
        <v>4308</v>
      </c>
    </row>
    <row r="4188" spans="1:13" ht="15" customHeight="1">
      <c r="A4188" s="10">
        <v>46213</v>
      </c>
      <c r="B4188" t="s">
        <v>1</v>
      </c>
      <c r="C4188" t="s">
        <v>23</v>
      </c>
      <c r="D4188">
        <v>3</v>
      </c>
      <c r="E4188">
        <v>1305</v>
      </c>
      <c r="I4188">
        <v>2</v>
      </c>
      <c r="J4188">
        <v>538</v>
      </c>
      <c r="M4188" t="s">
        <v>4309</v>
      </c>
    </row>
    <row r="4189" spans="1:13" ht="15" customHeight="1">
      <c r="A4189" s="10">
        <v>46213</v>
      </c>
      <c r="B4189" t="s">
        <v>1</v>
      </c>
      <c r="C4189" t="s">
        <v>26</v>
      </c>
      <c r="D4189">
        <v>1</v>
      </c>
      <c r="E4189">
        <v>807</v>
      </c>
      <c r="I4189">
        <v>1</v>
      </c>
      <c r="J4189">
        <v>807</v>
      </c>
      <c r="M4189" t="s">
        <v>4310</v>
      </c>
    </row>
    <row r="4190" spans="1:13" ht="15" customHeight="1">
      <c r="A4190" s="10">
        <v>46213</v>
      </c>
      <c r="B4190" t="s">
        <v>1</v>
      </c>
      <c r="C4190" t="s">
        <v>27</v>
      </c>
      <c r="D4190">
        <v>2</v>
      </c>
      <c r="E4190">
        <v>191</v>
      </c>
      <c r="I4190">
        <v>2</v>
      </c>
      <c r="J4190">
        <v>190</v>
      </c>
      <c r="M4190" t="s">
        <v>4311</v>
      </c>
    </row>
    <row r="4191" spans="1:13" ht="15" customHeight="1">
      <c r="A4191" s="10">
        <v>46213</v>
      </c>
      <c r="B4191" t="s">
        <v>1</v>
      </c>
      <c r="C4191" t="s">
        <v>28</v>
      </c>
      <c r="D4191">
        <v>0</v>
      </c>
      <c r="E4191">
        <v>0</v>
      </c>
      <c r="I4191">
        <v>0</v>
      </c>
      <c r="J4191">
        <v>0</v>
      </c>
      <c r="M4191" t="s">
        <v>4312</v>
      </c>
    </row>
    <row r="4192" spans="1:13" ht="15" customHeight="1">
      <c r="A4192" s="10">
        <v>46213</v>
      </c>
      <c r="B4192" t="s">
        <v>1</v>
      </c>
      <c r="C4192" t="s">
        <v>29</v>
      </c>
      <c r="D4192">
        <v>1</v>
      </c>
      <c r="E4192">
        <v>0</v>
      </c>
      <c r="I4192">
        <v>0</v>
      </c>
      <c r="J4192">
        <v>995</v>
      </c>
      <c r="M4192" t="s">
        <v>4313</v>
      </c>
    </row>
    <row r="4193" spans="1:13" ht="15" customHeight="1">
      <c r="A4193" s="10">
        <v>46213</v>
      </c>
      <c r="B4193" t="s">
        <v>1</v>
      </c>
      <c r="C4193" t="s">
        <v>30</v>
      </c>
      <c r="D4193">
        <v>1</v>
      </c>
      <c r="E4193">
        <v>627</v>
      </c>
      <c r="I4193">
        <v>1</v>
      </c>
      <c r="J4193">
        <v>547</v>
      </c>
      <c r="M4193" t="s">
        <v>4314</v>
      </c>
    </row>
    <row r="4194" spans="1:13" ht="15" customHeight="1">
      <c r="A4194" s="10">
        <v>46213</v>
      </c>
      <c r="B4194" t="s">
        <v>1</v>
      </c>
      <c r="C4194" t="s">
        <v>31</v>
      </c>
      <c r="D4194">
        <v>1</v>
      </c>
      <c r="E4194">
        <v>207</v>
      </c>
      <c r="I4194">
        <v>0</v>
      </c>
      <c r="J4194">
        <v>912</v>
      </c>
      <c r="M4194" t="s">
        <v>4315</v>
      </c>
    </row>
    <row r="4195" spans="1:13" ht="15" customHeight="1">
      <c r="A4195" s="10">
        <v>46213</v>
      </c>
      <c r="B4195" t="s">
        <v>1</v>
      </c>
      <c r="C4195" t="s">
        <v>32</v>
      </c>
      <c r="D4195">
        <v>1</v>
      </c>
      <c r="E4195">
        <v>299</v>
      </c>
      <c r="I4195">
        <v>1</v>
      </c>
      <c r="J4195">
        <v>119</v>
      </c>
      <c r="M4195" t="s">
        <v>4316</v>
      </c>
    </row>
    <row r="4196" spans="1:13" ht="15" customHeight="1">
      <c r="A4196" s="10">
        <v>46213</v>
      </c>
      <c r="B4196" t="s">
        <v>1</v>
      </c>
      <c r="C4196" t="s">
        <v>223</v>
      </c>
      <c r="D4196">
        <v>2</v>
      </c>
      <c r="E4196">
        <v>237</v>
      </c>
      <c r="I4196">
        <v>1</v>
      </c>
      <c r="J4196">
        <v>201</v>
      </c>
      <c r="M4196" t="s">
        <v>4317</v>
      </c>
    </row>
    <row r="4197" spans="1:13" ht="15" customHeight="1">
      <c r="A4197" s="10">
        <v>46213</v>
      </c>
      <c r="B4197" t="s">
        <v>1</v>
      </c>
      <c r="C4197" t="s">
        <v>35</v>
      </c>
      <c r="D4197">
        <v>2</v>
      </c>
      <c r="E4197">
        <v>0</v>
      </c>
      <c r="H4197">
        <v>2</v>
      </c>
      <c r="I4197">
        <v>0</v>
      </c>
      <c r="M4197" t="s">
        <v>4318</v>
      </c>
    </row>
    <row r="4198" spans="1:13" ht="15" customHeight="1">
      <c r="A4198" s="10">
        <v>46213</v>
      </c>
      <c r="B4198" t="s">
        <v>1</v>
      </c>
      <c r="C4198" t="s">
        <v>37</v>
      </c>
      <c r="D4198">
        <v>1</v>
      </c>
      <c r="E4198">
        <v>0</v>
      </c>
      <c r="I4198">
        <v>1</v>
      </c>
      <c r="M4198" t="s">
        <v>4319</v>
      </c>
    </row>
    <row r="4199" spans="1:13" ht="15" customHeight="1">
      <c r="A4199" s="10">
        <v>46213</v>
      </c>
      <c r="B4199" t="s">
        <v>1</v>
      </c>
      <c r="C4199" t="s">
        <v>39</v>
      </c>
      <c r="D4199">
        <v>17</v>
      </c>
      <c r="E4199">
        <v>0</v>
      </c>
      <c r="H4199">
        <v>1</v>
      </c>
      <c r="I4199">
        <v>16</v>
      </c>
      <c r="J4199">
        <v>0</v>
      </c>
      <c r="M4199" t="s">
        <v>4320</v>
      </c>
    </row>
    <row r="4200" spans="1:13" ht="15" customHeight="1">
      <c r="A4200" s="10">
        <v>46213</v>
      </c>
      <c r="B4200" t="s">
        <v>1</v>
      </c>
      <c r="C4200" t="s">
        <v>41</v>
      </c>
      <c r="D4200">
        <v>15</v>
      </c>
      <c r="E4200">
        <v>0</v>
      </c>
      <c r="H4200">
        <v>2</v>
      </c>
      <c r="I4200">
        <v>13</v>
      </c>
      <c r="J4200">
        <v>0</v>
      </c>
      <c r="M4200" t="s">
        <v>4321</v>
      </c>
    </row>
    <row r="4201" spans="1:13" ht="15" customHeight="1">
      <c r="A4201" s="10">
        <v>46213</v>
      </c>
      <c r="B4201" t="s">
        <v>1</v>
      </c>
      <c r="C4201" t="s">
        <v>232</v>
      </c>
      <c r="D4201">
        <v>0</v>
      </c>
      <c r="E4201">
        <v>0</v>
      </c>
      <c r="I4201">
        <v>0</v>
      </c>
      <c r="J4201">
        <v>0</v>
      </c>
      <c r="M4201" t="s">
        <v>4322</v>
      </c>
    </row>
    <row r="4202" spans="1:13" ht="15" customHeight="1">
      <c r="A4202" s="10">
        <v>46213</v>
      </c>
      <c r="B4202" t="s">
        <v>1</v>
      </c>
      <c r="C4202" t="s">
        <v>234</v>
      </c>
      <c r="D4202">
        <v>51</v>
      </c>
      <c r="E4202">
        <v>0</v>
      </c>
      <c r="H4202">
        <v>7</v>
      </c>
      <c r="I4202">
        <v>43</v>
      </c>
      <c r="J4202">
        <v>0</v>
      </c>
      <c r="K4202">
        <v>1</v>
      </c>
      <c r="L4202" s="135" t="s">
        <v>4323</v>
      </c>
      <c r="M4202" t="s">
        <v>4324</v>
      </c>
    </row>
    <row r="4203" spans="1:13" ht="15" customHeight="1">
      <c r="A4203" s="10">
        <v>46213</v>
      </c>
      <c r="B4203" t="s">
        <v>1</v>
      </c>
      <c r="C4203" t="s">
        <v>54</v>
      </c>
      <c r="D4203">
        <v>0</v>
      </c>
      <c r="E4203">
        <v>0</v>
      </c>
      <c r="I4203">
        <v>0</v>
      </c>
      <c r="J4203">
        <v>0</v>
      </c>
      <c r="M4203" t="s">
        <v>4325</v>
      </c>
    </row>
    <row r="4204" spans="1:13" ht="15" customHeight="1">
      <c r="A4204" s="10">
        <v>46213</v>
      </c>
      <c r="B4204" t="s">
        <v>1</v>
      </c>
      <c r="C4204" t="s">
        <v>237</v>
      </c>
      <c r="D4204">
        <v>7</v>
      </c>
      <c r="E4204">
        <v>0</v>
      </c>
      <c r="I4204">
        <v>7</v>
      </c>
      <c r="J4204">
        <v>0</v>
      </c>
      <c r="M4204" t="s">
        <v>4326</v>
      </c>
    </row>
    <row r="4205" spans="1:13" ht="15" customHeight="1">
      <c r="A4205" s="10">
        <v>46213</v>
      </c>
      <c r="B4205" t="s">
        <v>1</v>
      </c>
      <c r="C4205" s="135" t="s">
        <v>58</v>
      </c>
      <c r="D4205">
        <v>2</v>
      </c>
      <c r="E4205">
        <v>0</v>
      </c>
      <c r="I4205">
        <v>2</v>
      </c>
      <c r="J4205">
        <v>0</v>
      </c>
      <c r="M4205" t="s">
        <v>4327</v>
      </c>
    </row>
    <row r="4206" spans="1:13" ht="15" customHeight="1">
      <c r="A4206" s="10">
        <v>46213</v>
      </c>
      <c r="B4206" t="s">
        <v>1</v>
      </c>
      <c r="C4206" s="135" t="s">
        <v>60</v>
      </c>
      <c r="D4206">
        <v>0</v>
      </c>
      <c r="E4206">
        <v>0</v>
      </c>
      <c r="I4206">
        <v>0</v>
      </c>
      <c r="J4206">
        <v>0</v>
      </c>
      <c r="M4206" t="s">
        <v>4328</v>
      </c>
    </row>
    <row r="4207" spans="1:13" ht="15" customHeight="1">
      <c r="A4207" s="10">
        <v>46213</v>
      </c>
      <c r="B4207" t="s">
        <v>1</v>
      </c>
      <c r="C4207" s="135" t="s">
        <v>61</v>
      </c>
      <c r="D4207">
        <v>1</v>
      </c>
      <c r="E4207">
        <v>0</v>
      </c>
      <c r="I4207">
        <v>1</v>
      </c>
      <c r="J4207">
        <v>0</v>
      </c>
      <c r="M4207" t="s">
        <v>4329</v>
      </c>
    </row>
    <row r="4208" spans="1:13" ht="15" customHeight="1">
      <c r="A4208" s="10">
        <v>46213</v>
      </c>
      <c r="B4208" t="s">
        <v>1</v>
      </c>
      <c r="C4208" s="135" t="s">
        <v>62</v>
      </c>
      <c r="D4208">
        <v>1</v>
      </c>
      <c r="E4208">
        <v>0</v>
      </c>
      <c r="I4208">
        <v>1</v>
      </c>
      <c r="J4208">
        <v>0</v>
      </c>
      <c r="M4208" t="s">
        <v>4330</v>
      </c>
    </row>
    <row r="4209" spans="1:13" ht="15" customHeight="1">
      <c r="A4209" s="10">
        <v>46213</v>
      </c>
      <c r="B4209" t="s">
        <v>1</v>
      </c>
      <c r="C4209" s="135" t="s">
        <v>63</v>
      </c>
      <c r="D4209">
        <v>4</v>
      </c>
      <c r="E4209">
        <v>0</v>
      </c>
      <c r="I4209">
        <v>4</v>
      </c>
      <c r="J4209">
        <v>0</v>
      </c>
      <c r="M4209" t="s">
        <v>4331</v>
      </c>
    </row>
    <row r="4210" spans="1:13" ht="15" customHeight="1">
      <c r="A4210" s="10">
        <v>46213</v>
      </c>
      <c r="B4210" t="s">
        <v>1</v>
      </c>
      <c r="C4210" s="135" t="s">
        <v>64</v>
      </c>
      <c r="D4210">
        <v>2</v>
      </c>
      <c r="E4210">
        <v>0</v>
      </c>
      <c r="I4210">
        <v>2</v>
      </c>
      <c r="J4210">
        <v>0</v>
      </c>
      <c r="M4210" t="s">
        <v>4332</v>
      </c>
    </row>
    <row r="4211" spans="1:13" ht="15" customHeight="1">
      <c r="A4211" s="10">
        <v>46213</v>
      </c>
      <c r="B4211" t="s">
        <v>1</v>
      </c>
      <c r="C4211" t="s">
        <v>66</v>
      </c>
      <c r="D4211">
        <v>4</v>
      </c>
      <c r="E4211">
        <v>0</v>
      </c>
      <c r="I4211">
        <v>4</v>
      </c>
      <c r="J4211">
        <v>0</v>
      </c>
      <c r="M4211" t="s">
        <v>4333</v>
      </c>
    </row>
    <row r="4212" spans="1:13" ht="15" customHeight="1">
      <c r="A4212" s="10">
        <v>46213</v>
      </c>
      <c r="B4212" t="s">
        <v>1</v>
      </c>
      <c r="C4212" t="s">
        <v>67</v>
      </c>
      <c r="D4212">
        <v>5</v>
      </c>
      <c r="E4212">
        <v>0</v>
      </c>
      <c r="I4212">
        <v>5</v>
      </c>
      <c r="J4212">
        <v>0</v>
      </c>
      <c r="M4212" t="s">
        <v>4334</v>
      </c>
    </row>
    <row r="4213" spans="1:13" ht="15" customHeight="1">
      <c r="A4213" s="10">
        <v>46213</v>
      </c>
      <c r="B4213" t="s">
        <v>1</v>
      </c>
      <c r="C4213" t="s">
        <v>68</v>
      </c>
      <c r="D4213">
        <v>0</v>
      </c>
      <c r="E4213">
        <v>0</v>
      </c>
      <c r="I4213">
        <v>0</v>
      </c>
      <c r="J4213">
        <v>0</v>
      </c>
      <c r="M4213" t="s">
        <v>4335</v>
      </c>
    </row>
    <row r="4214" spans="1:13" ht="15" customHeight="1">
      <c r="A4214" s="10">
        <v>46213</v>
      </c>
      <c r="B4214" t="s">
        <v>1</v>
      </c>
      <c r="C4214" t="s">
        <v>71</v>
      </c>
      <c r="D4214">
        <v>1</v>
      </c>
      <c r="E4214">
        <v>224</v>
      </c>
      <c r="I4214">
        <v>1</v>
      </c>
      <c r="J4214">
        <v>150</v>
      </c>
      <c r="M4214" t="s">
        <v>4336</v>
      </c>
    </row>
    <row r="4215" spans="1:13" ht="15" customHeight="1">
      <c r="A4215" s="10">
        <v>46213</v>
      </c>
      <c r="B4215" t="s">
        <v>1</v>
      </c>
      <c r="C4215" t="s">
        <v>73</v>
      </c>
      <c r="D4215">
        <v>3</v>
      </c>
      <c r="E4215">
        <v>27</v>
      </c>
      <c r="I4215">
        <v>2</v>
      </c>
      <c r="J4215">
        <v>469</v>
      </c>
      <c r="M4215" t="s">
        <v>4337</v>
      </c>
    </row>
    <row r="4216" spans="1:13" ht="15" customHeight="1">
      <c r="A4216" s="10">
        <v>46213</v>
      </c>
      <c r="B4216" t="s">
        <v>1</v>
      </c>
      <c r="C4216" t="s">
        <v>75</v>
      </c>
      <c r="D4216">
        <v>2</v>
      </c>
      <c r="E4216">
        <v>137</v>
      </c>
      <c r="I4216">
        <v>2</v>
      </c>
      <c r="J4216">
        <v>137</v>
      </c>
      <c r="M4216" t="s">
        <v>4338</v>
      </c>
    </row>
    <row r="4217" spans="1:13" ht="15" customHeight="1">
      <c r="A4217" s="10">
        <v>46213</v>
      </c>
      <c r="B4217" t="s">
        <v>1</v>
      </c>
      <c r="C4217" t="s">
        <v>77</v>
      </c>
      <c r="D4217">
        <v>0</v>
      </c>
      <c r="E4217">
        <v>695</v>
      </c>
      <c r="I4217">
        <v>0</v>
      </c>
      <c r="J4217">
        <v>695</v>
      </c>
      <c r="M4217" t="s">
        <v>4339</v>
      </c>
    </row>
    <row r="4218" spans="1:13" ht="15" customHeight="1">
      <c r="A4218" s="10">
        <v>46213</v>
      </c>
      <c r="B4218" t="s">
        <v>1</v>
      </c>
      <c r="C4218" t="s">
        <v>79</v>
      </c>
      <c r="D4218">
        <v>0</v>
      </c>
      <c r="E4218">
        <v>1933</v>
      </c>
      <c r="I4218">
        <v>0</v>
      </c>
      <c r="J4218">
        <v>1523</v>
      </c>
      <c r="M4218" t="s">
        <v>4340</v>
      </c>
    </row>
    <row r="4219" spans="1:13" ht="15" customHeight="1">
      <c r="A4219" s="10">
        <v>46213</v>
      </c>
      <c r="B4219" t="s">
        <v>1</v>
      </c>
      <c r="C4219" t="s">
        <v>81</v>
      </c>
      <c r="D4219">
        <v>1</v>
      </c>
      <c r="E4219">
        <v>137</v>
      </c>
      <c r="I4219">
        <v>1</v>
      </c>
      <c r="J4219">
        <v>131</v>
      </c>
      <c r="M4219" t="s">
        <v>4341</v>
      </c>
    </row>
    <row r="4220" spans="1:13" ht="15" customHeight="1">
      <c r="A4220" s="10">
        <v>46213</v>
      </c>
      <c r="B4220" t="s">
        <v>1</v>
      </c>
      <c r="C4220" t="s">
        <v>83</v>
      </c>
      <c r="D4220">
        <v>1</v>
      </c>
      <c r="E4220">
        <v>55</v>
      </c>
      <c r="I4220">
        <v>1</v>
      </c>
      <c r="J4220">
        <v>50</v>
      </c>
      <c r="M4220" t="s">
        <v>4342</v>
      </c>
    </row>
    <row r="4221" spans="1:13" ht="15" customHeight="1">
      <c r="A4221" s="10">
        <v>46213</v>
      </c>
      <c r="B4221" t="s">
        <v>1</v>
      </c>
      <c r="C4221" t="s">
        <v>84</v>
      </c>
      <c r="D4221">
        <v>1</v>
      </c>
      <c r="E4221">
        <v>412</v>
      </c>
      <c r="I4221">
        <v>1</v>
      </c>
      <c r="J4221">
        <v>404</v>
      </c>
      <c r="M4221" t="s">
        <v>4343</v>
      </c>
    </row>
    <row r="4222" spans="1:13" ht="15" customHeight="1">
      <c r="A4222" s="10">
        <v>46213</v>
      </c>
      <c r="B4222" t="s">
        <v>1</v>
      </c>
      <c r="C4222" t="s">
        <v>85</v>
      </c>
      <c r="D4222">
        <v>0</v>
      </c>
      <c r="E4222">
        <v>120</v>
      </c>
      <c r="I4222">
        <v>0</v>
      </c>
      <c r="J4222">
        <v>120</v>
      </c>
      <c r="M4222" t="s">
        <v>4344</v>
      </c>
    </row>
    <row r="4223" spans="1:13" ht="15" customHeight="1">
      <c r="A4223" s="10">
        <v>46213</v>
      </c>
      <c r="B4223" t="s">
        <v>1</v>
      </c>
      <c r="C4223" t="s">
        <v>87</v>
      </c>
      <c r="D4223">
        <v>2</v>
      </c>
      <c r="E4223">
        <v>269</v>
      </c>
      <c r="I4223">
        <v>2</v>
      </c>
      <c r="J4223">
        <v>269</v>
      </c>
      <c r="M4223" t="s">
        <v>4345</v>
      </c>
    </row>
    <row r="4224" spans="1:13" ht="15" customHeight="1">
      <c r="A4224" s="10">
        <v>46213</v>
      </c>
      <c r="B4224" t="s">
        <v>1</v>
      </c>
      <c r="C4224" t="s">
        <v>88</v>
      </c>
      <c r="D4224">
        <v>1</v>
      </c>
      <c r="E4224">
        <v>204</v>
      </c>
      <c r="I4224">
        <v>1</v>
      </c>
      <c r="J4224">
        <v>204</v>
      </c>
      <c r="M4224" t="s">
        <v>4346</v>
      </c>
    </row>
    <row r="4225" spans="1:13" ht="15" customHeight="1">
      <c r="A4225" s="10">
        <v>46213</v>
      </c>
      <c r="B4225" t="s">
        <v>1</v>
      </c>
      <c r="C4225" t="s">
        <v>89</v>
      </c>
      <c r="D4225">
        <v>1</v>
      </c>
      <c r="E4225">
        <v>84</v>
      </c>
      <c r="I4225">
        <v>1</v>
      </c>
      <c r="J4225">
        <v>84</v>
      </c>
      <c r="M4225" t="s">
        <v>4347</v>
      </c>
    </row>
    <row r="4226" spans="1:13" ht="15" customHeight="1">
      <c r="A4226" s="10">
        <v>46213</v>
      </c>
      <c r="B4226" t="s">
        <v>1</v>
      </c>
      <c r="C4226" t="s">
        <v>90</v>
      </c>
      <c r="D4226">
        <v>1</v>
      </c>
      <c r="E4226">
        <v>280</v>
      </c>
      <c r="I4226">
        <v>1</v>
      </c>
      <c r="J4226">
        <v>530</v>
      </c>
      <c r="M4226" t="s">
        <v>4348</v>
      </c>
    </row>
    <row r="4227" spans="1:13" ht="15" customHeight="1">
      <c r="A4227" s="10">
        <v>46213</v>
      </c>
      <c r="B4227" t="s">
        <v>1</v>
      </c>
      <c r="C4227" t="s">
        <v>92</v>
      </c>
      <c r="D4227">
        <v>1</v>
      </c>
      <c r="E4227">
        <v>598</v>
      </c>
      <c r="I4227">
        <v>1</v>
      </c>
      <c r="J4227">
        <v>598</v>
      </c>
      <c r="M4227" t="s">
        <v>4349</v>
      </c>
    </row>
    <row r="4228" spans="1:13" ht="15" customHeight="1">
      <c r="A4228" s="10">
        <v>46213</v>
      </c>
      <c r="B4228" t="s">
        <v>1</v>
      </c>
      <c r="C4228" t="s">
        <v>98</v>
      </c>
      <c r="D4228">
        <v>3</v>
      </c>
      <c r="E4228">
        <v>0</v>
      </c>
      <c r="I4228">
        <v>2</v>
      </c>
      <c r="J4228">
        <v>187</v>
      </c>
      <c r="M4228" t="s">
        <v>4350</v>
      </c>
    </row>
    <row r="4229" spans="1:13" ht="15" customHeight="1">
      <c r="A4229" s="10">
        <v>46213</v>
      </c>
      <c r="B4229" t="s">
        <v>1</v>
      </c>
      <c r="C4229" t="s">
        <v>203</v>
      </c>
      <c r="D4229">
        <v>2</v>
      </c>
      <c r="E4229">
        <v>0</v>
      </c>
      <c r="I4229">
        <v>2</v>
      </c>
      <c r="M4229" t="s">
        <v>4351</v>
      </c>
    </row>
    <row r="4230" spans="1:13" ht="15" customHeight="1">
      <c r="A4230" s="10">
        <v>46213</v>
      </c>
      <c r="B4230" t="s">
        <v>1</v>
      </c>
      <c r="C4230" t="s">
        <v>100</v>
      </c>
      <c r="D4230">
        <v>0</v>
      </c>
      <c r="E4230">
        <v>0</v>
      </c>
      <c r="I4230">
        <v>0</v>
      </c>
      <c r="J4230">
        <v>0</v>
      </c>
      <c r="M4230" t="s">
        <v>4352</v>
      </c>
    </row>
    <row r="4231" spans="1:13" ht="15" customHeight="1">
      <c r="A4231" s="10">
        <v>46213</v>
      </c>
      <c r="B4231" t="s">
        <v>1</v>
      </c>
      <c r="C4231" t="s">
        <v>101</v>
      </c>
      <c r="D4231">
        <v>0</v>
      </c>
      <c r="E4231">
        <v>417</v>
      </c>
      <c r="I4231">
        <v>0</v>
      </c>
      <c r="J4231">
        <v>226</v>
      </c>
      <c r="M4231" t="s">
        <v>4353</v>
      </c>
    </row>
    <row r="4232" spans="1:13" ht="15" customHeight="1">
      <c r="A4232" s="10">
        <v>46213</v>
      </c>
      <c r="B4232" t="s">
        <v>1</v>
      </c>
      <c r="C4232" t="s">
        <v>103</v>
      </c>
      <c r="D4232">
        <v>0</v>
      </c>
      <c r="E4232">
        <v>4</v>
      </c>
      <c r="I4232">
        <v>0</v>
      </c>
      <c r="J4232">
        <v>0</v>
      </c>
      <c r="M4232" t="s">
        <v>4354</v>
      </c>
    </row>
    <row r="4233" spans="1:13" ht="15" customHeight="1">
      <c r="A4233" s="10">
        <v>46213</v>
      </c>
      <c r="B4233" t="s">
        <v>1</v>
      </c>
      <c r="C4233" t="s">
        <v>106</v>
      </c>
      <c r="D4233">
        <v>1</v>
      </c>
      <c r="E4233">
        <v>748</v>
      </c>
      <c r="I4233">
        <v>1</v>
      </c>
      <c r="J4233">
        <v>672</v>
      </c>
      <c r="M4233" t="s">
        <v>4355</v>
      </c>
    </row>
    <row r="4234" spans="1:13" ht="15" customHeight="1">
      <c r="A4234" s="10">
        <v>46213</v>
      </c>
      <c r="B4234" t="s">
        <v>1</v>
      </c>
      <c r="C4234" t="s">
        <v>108</v>
      </c>
      <c r="D4234">
        <v>1</v>
      </c>
      <c r="E4234">
        <v>804</v>
      </c>
      <c r="I4234">
        <v>1</v>
      </c>
      <c r="J4234">
        <v>695</v>
      </c>
      <c r="M4234" t="s">
        <v>4356</v>
      </c>
    </row>
    <row r="4235" spans="1:13" ht="15" customHeight="1">
      <c r="A4235" s="10">
        <v>46213</v>
      </c>
      <c r="B4235" t="s">
        <v>1</v>
      </c>
      <c r="C4235" t="s">
        <v>109</v>
      </c>
      <c r="D4235">
        <v>1</v>
      </c>
      <c r="E4235">
        <v>1029</v>
      </c>
      <c r="I4235">
        <v>1</v>
      </c>
      <c r="J4235">
        <v>785</v>
      </c>
      <c r="M4235" t="s">
        <v>4357</v>
      </c>
    </row>
    <row r="4236" spans="1:13" ht="15" customHeight="1">
      <c r="A4236" s="10">
        <v>46213</v>
      </c>
      <c r="B4236" t="s">
        <v>1</v>
      </c>
      <c r="C4236" t="s">
        <v>112</v>
      </c>
      <c r="D4236">
        <v>1</v>
      </c>
      <c r="E4236">
        <v>16</v>
      </c>
      <c r="I4236">
        <v>1</v>
      </c>
      <c r="J4236">
        <v>12</v>
      </c>
      <c r="M4236" t="s">
        <v>4358</v>
      </c>
    </row>
    <row r="4237" spans="1:13" ht="15" customHeight="1">
      <c r="A4237" s="10">
        <v>46213</v>
      </c>
      <c r="B4237" t="s">
        <v>1</v>
      </c>
      <c r="C4237" t="s">
        <v>114</v>
      </c>
      <c r="D4237">
        <v>2</v>
      </c>
      <c r="E4237">
        <v>10</v>
      </c>
      <c r="I4237">
        <v>2</v>
      </c>
      <c r="J4237">
        <v>8</v>
      </c>
      <c r="M4237" t="s">
        <v>4359</v>
      </c>
    </row>
    <row r="4238" spans="1:13" ht="15" customHeight="1">
      <c r="A4238" s="10">
        <v>46213</v>
      </c>
      <c r="B4238" t="s">
        <v>1</v>
      </c>
      <c r="C4238" t="s">
        <v>115</v>
      </c>
      <c r="D4238">
        <v>1</v>
      </c>
      <c r="E4238">
        <v>17</v>
      </c>
      <c r="I4238">
        <v>1</v>
      </c>
      <c r="J4238">
        <v>8</v>
      </c>
      <c r="M4238" t="s">
        <v>4360</v>
      </c>
    </row>
    <row r="4239" spans="1:13" ht="15" customHeight="1">
      <c r="A4239" s="10">
        <v>46213</v>
      </c>
      <c r="B4239" t="s">
        <v>1</v>
      </c>
      <c r="C4239" t="s">
        <v>116</v>
      </c>
      <c r="D4239">
        <v>1</v>
      </c>
      <c r="E4239">
        <v>41</v>
      </c>
      <c r="I4239">
        <v>1</v>
      </c>
      <c r="J4239">
        <v>31</v>
      </c>
      <c r="M4239" t="s">
        <v>4361</v>
      </c>
    </row>
    <row r="4240" spans="1:13" ht="15" customHeight="1">
      <c r="A4240" s="10">
        <v>46213</v>
      </c>
      <c r="B4240" t="s">
        <v>1</v>
      </c>
      <c r="C4240" t="s">
        <v>119</v>
      </c>
      <c r="D4240">
        <v>2</v>
      </c>
      <c r="E4240">
        <v>0</v>
      </c>
      <c r="I4240">
        <v>2</v>
      </c>
      <c r="M4240" t="s">
        <v>4362</v>
      </c>
    </row>
    <row r="4241" spans="1:13" ht="15" customHeight="1">
      <c r="A4241" s="10">
        <v>46213</v>
      </c>
      <c r="B4241" t="s">
        <v>1</v>
      </c>
      <c r="C4241" t="s">
        <v>120</v>
      </c>
      <c r="D4241">
        <v>2</v>
      </c>
      <c r="E4241">
        <v>0</v>
      </c>
      <c r="I4241">
        <v>2</v>
      </c>
      <c r="M4241" t="s">
        <v>4363</v>
      </c>
    </row>
    <row r="4242" spans="1:13" ht="15" customHeight="1">
      <c r="A4242" s="10">
        <v>46213</v>
      </c>
      <c r="B4242" t="s">
        <v>1</v>
      </c>
      <c r="C4242" t="s">
        <v>121</v>
      </c>
      <c r="D4242">
        <v>2</v>
      </c>
      <c r="E4242">
        <v>0</v>
      </c>
      <c r="I4242">
        <v>2</v>
      </c>
      <c r="M4242" t="s">
        <v>4364</v>
      </c>
    </row>
    <row r="4243" spans="1:13" ht="15" customHeight="1">
      <c r="A4243" s="10">
        <v>46213</v>
      </c>
      <c r="B4243" t="s">
        <v>1</v>
      </c>
      <c r="C4243" t="s">
        <v>123</v>
      </c>
      <c r="D4243">
        <v>2</v>
      </c>
      <c r="E4243">
        <v>0</v>
      </c>
      <c r="I4243">
        <v>2</v>
      </c>
      <c r="M4243" t="s">
        <v>4365</v>
      </c>
    </row>
    <row r="4244" spans="1:13" ht="15" customHeight="1">
      <c r="A4244" s="10">
        <v>46213</v>
      </c>
      <c r="B4244" t="s">
        <v>1</v>
      </c>
      <c r="C4244" t="s">
        <v>124</v>
      </c>
      <c r="D4244">
        <v>0</v>
      </c>
      <c r="E4244">
        <v>0</v>
      </c>
      <c r="I4244">
        <v>0</v>
      </c>
      <c r="M4244" t="s">
        <v>4366</v>
      </c>
    </row>
    <row r="4245" spans="1:13" ht="15" customHeight="1">
      <c r="A4245" s="10">
        <v>46213</v>
      </c>
      <c r="B4245" t="s">
        <v>1</v>
      </c>
      <c r="C4245" t="s">
        <v>125</v>
      </c>
      <c r="D4245">
        <v>2</v>
      </c>
      <c r="E4245">
        <v>0</v>
      </c>
      <c r="I4245">
        <v>2</v>
      </c>
      <c r="M4245" t="s">
        <v>4367</v>
      </c>
    </row>
    <row r="4246" spans="1:13" ht="15" customHeight="1">
      <c r="A4246" s="10">
        <v>46213</v>
      </c>
      <c r="B4246" t="s">
        <v>1</v>
      </c>
      <c r="C4246" t="s">
        <v>126</v>
      </c>
      <c r="D4246">
        <v>2</v>
      </c>
      <c r="E4246">
        <v>0</v>
      </c>
      <c r="I4246">
        <v>2</v>
      </c>
      <c r="M4246" t="s">
        <v>4368</v>
      </c>
    </row>
    <row r="4247" spans="1:13" ht="15" customHeight="1">
      <c r="A4247" s="10">
        <v>46213</v>
      </c>
      <c r="B4247" t="s">
        <v>1</v>
      </c>
      <c r="C4247" t="s">
        <v>128</v>
      </c>
      <c r="D4247">
        <v>2</v>
      </c>
      <c r="E4247">
        <v>0</v>
      </c>
      <c r="I4247">
        <v>2</v>
      </c>
      <c r="M4247" t="s">
        <v>4369</v>
      </c>
    </row>
    <row r="4248" spans="1:13" ht="15" customHeight="1">
      <c r="A4248" s="10">
        <v>46213</v>
      </c>
      <c r="B4248" t="s">
        <v>1</v>
      </c>
      <c r="C4248" t="s">
        <v>130</v>
      </c>
      <c r="D4248">
        <v>4</v>
      </c>
      <c r="E4248">
        <v>0</v>
      </c>
      <c r="I4248">
        <v>4</v>
      </c>
      <c r="M4248" t="s">
        <v>4370</v>
      </c>
    </row>
    <row r="4249" spans="1:13" ht="15" customHeight="1">
      <c r="A4249" s="10">
        <v>46213</v>
      </c>
      <c r="B4249" t="s">
        <v>1</v>
      </c>
      <c r="C4249" t="s">
        <v>285</v>
      </c>
      <c r="D4249">
        <v>2</v>
      </c>
      <c r="E4249">
        <v>0</v>
      </c>
      <c r="I4249">
        <v>2</v>
      </c>
      <c r="M4249" t="s">
        <v>4371</v>
      </c>
    </row>
    <row r="4250" spans="1:13" ht="15" customHeight="1">
      <c r="A4250" s="10">
        <v>46213</v>
      </c>
      <c r="B4250" t="s">
        <v>1</v>
      </c>
      <c r="C4250" t="s">
        <v>287</v>
      </c>
      <c r="D4250">
        <v>2</v>
      </c>
      <c r="E4250">
        <v>0</v>
      </c>
      <c r="I4250">
        <v>2</v>
      </c>
      <c r="M4250" t="s">
        <v>4372</v>
      </c>
    </row>
    <row r="4251" spans="1:13" ht="15" customHeight="1">
      <c r="A4251" s="10">
        <v>46213</v>
      </c>
      <c r="B4251" t="s">
        <v>1</v>
      </c>
      <c r="C4251" t="s">
        <v>289</v>
      </c>
      <c r="D4251">
        <v>2</v>
      </c>
      <c r="E4251">
        <v>0</v>
      </c>
      <c r="I4251">
        <v>2</v>
      </c>
      <c r="M4251" t="s">
        <v>4373</v>
      </c>
    </row>
    <row r="4252" spans="1:13" ht="15" customHeight="1">
      <c r="A4252" s="10">
        <v>46213</v>
      </c>
      <c r="B4252" t="s">
        <v>1</v>
      </c>
      <c r="C4252" t="s">
        <v>291</v>
      </c>
      <c r="D4252">
        <v>2</v>
      </c>
      <c r="E4252">
        <v>0</v>
      </c>
      <c r="I4252">
        <v>2</v>
      </c>
      <c r="M4252" t="s">
        <v>4374</v>
      </c>
    </row>
    <row r="4253" spans="1:13" ht="15" customHeight="1">
      <c r="A4253" s="10">
        <v>46213</v>
      </c>
      <c r="B4253" t="s">
        <v>1</v>
      </c>
      <c r="C4253" t="s">
        <v>293</v>
      </c>
      <c r="D4253">
        <v>3</v>
      </c>
      <c r="E4253">
        <v>0</v>
      </c>
      <c r="I4253">
        <v>3</v>
      </c>
      <c r="M4253" t="s">
        <v>4375</v>
      </c>
    </row>
    <row r="4254" spans="1:13" ht="15" customHeight="1">
      <c r="A4254" s="10">
        <v>46213</v>
      </c>
      <c r="B4254" t="s">
        <v>1</v>
      </c>
      <c r="C4254" s="135" t="s">
        <v>138</v>
      </c>
      <c r="D4254">
        <v>0</v>
      </c>
      <c r="E4254">
        <v>30</v>
      </c>
      <c r="I4254">
        <v>0</v>
      </c>
      <c r="J4254">
        <v>20</v>
      </c>
      <c r="M4254" t="s">
        <v>4376</v>
      </c>
    </row>
    <row r="4255" spans="1:13" ht="15" customHeight="1">
      <c r="A4255" s="10">
        <v>46213</v>
      </c>
      <c r="B4255" t="s">
        <v>1</v>
      </c>
      <c r="C4255" s="135" t="s">
        <v>139</v>
      </c>
      <c r="D4255">
        <v>0</v>
      </c>
      <c r="E4255">
        <v>25</v>
      </c>
      <c r="I4255">
        <v>0</v>
      </c>
      <c r="J4255">
        <v>18</v>
      </c>
      <c r="M4255" t="s">
        <v>4377</v>
      </c>
    </row>
    <row r="4256" spans="1:13" ht="15" customHeight="1">
      <c r="A4256" s="10">
        <v>46213</v>
      </c>
      <c r="B4256" t="s">
        <v>1</v>
      </c>
      <c r="C4256" s="135" t="s">
        <v>140</v>
      </c>
      <c r="D4256">
        <v>0</v>
      </c>
      <c r="E4256">
        <v>26</v>
      </c>
      <c r="I4256">
        <v>0</v>
      </c>
      <c r="J4256">
        <v>25</v>
      </c>
      <c r="M4256" t="s">
        <v>4378</v>
      </c>
    </row>
    <row r="4257" spans="1:13" ht="15" customHeight="1">
      <c r="A4257" s="10">
        <v>46213</v>
      </c>
      <c r="B4257" t="s">
        <v>1</v>
      </c>
      <c r="C4257" s="135" t="s">
        <v>141</v>
      </c>
      <c r="D4257">
        <v>0</v>
      </c>
      <c r="E4257">
        <v>1</v>
      </c>
      <c r="I4257">
        <v>0</v>
      </c>
      <c r="J4257">
        <v>1</v>
      </c>
      <c r="M4257" t="s">
        <v>4379</v>
      </c>
    </row>
    <row r="4258" spans="1:13" ht="15" customHeight="1">
      <c r="A4258" s="10">
        <v>46213</v>
      </c>
      <c r="B4258" t="s">
        <v>1</v>
      </c>
      <c r="C4258" s="135" t="s">
        <v>143</v>
      </c>
      <c r="D4258">
        <v>0</v>
      </c>
      <c r="E4258">
        <v>37</v>
      </c>
      <c r="I4258">
        <v>0</v>
      </c>
      <c r="J4258">
        <v>36</v>
      </c>
      <c r="M4258" t="s">
        <v>4380</v>
      </c>
    </row>
    <row r="4259" spans="1:13" ht="15" customHeight="1">
      <c r="A4259" s="10">
        <v>46213</v>
      </c>
      <c r="B4259" t="s">
        <v>1</v>
      </c>
      <c r="C4259" s="135" t="s">
        <v>145</v>
      </c>
      <c r="D4259">
        <v>0</v>
      </c>
      <c r="E4259">
        <v>62</v>
      </c>
      <c r="I4259">
        <v>0</v>
      </c>
      <c r="J4259">
        <v>61</v>
      </c>
      <c r="M4259" t="s">
        <v>4381</v>
      </c>
    </row>
    <row r="4260" spans="1:13" ht="15" customHeight="1">
      <c r="A4260" s="10">
        <v>46213</v>
      </c>
      <c r="B4260" t="s">
        <v>1</v>
      </c>
      <c r="C4260" s="135" t="s">
        <v>147</v>
      </c>
      <c r="D4260">
        <v>0</v>
      </c>
      <c r="E4260">
        <v>25</v>
      </c>
      <c r="I4260">
        <v>0</v>
      </c>
      <c r="J4260">
        <v>25</v>
      </c>
      <c r="M4260" t="s">
        <v>4382</v>
      </c>
    </row>
    <row r="4261" spans="1:13" ht="15" customHeight="1">
      <c r="A4261" s="10">
        <v>46213</v>
      </c>
      <c r="B4261" t="s">
        <v>1</v>
      </c>
      <c r="C4261" t="s">
        <v>302</v>
      </c>
      <c r="D4261">
        <v>2</v>
      </c>
      <c r="E4261">
        <v>0</v>
      </c>
      <c r="I4261">
        <v>2</v>
      </c>
      <c r="M4261" t="s">
        <v>4383</v>
      </c>
    </row>
    <row r="4262" spans="1:13" ht="15" customHeight="1">
      <c r="A4262" s="10">
        <v>46213</v>
      </c>
      <c r="B4262" t="s">
        <v>1</v>
      </c>
      <c r="C4262" t="s">
        <v>150</v>
      </c>
      <c r="D4262">
        <v>1</v>
      </c>
      <c r="E4262">
        <v>0</v>
      </c>
      <c r="I4262">
        <v>1</v>
      </c>
      <c r="M4262" t="s">
        <v>4384</v>
      </c>
    </row>
    <row r="4263" spans="1:13" ht="15" customHeight="1">
      <c r="A4263" s="10">
        <v>46213</v>
      </c>
      <c r="B4263" t="s">
        <v>1</v>
      </c>
      <c r="C4263" t="s">
        <v>151</v>
      </c>
      <c r="D4263">
        <v>2</v>
      </c>
      <c r="E4263">
        <v>0</v>
      </c>
      <c r="I4263">
        <v>2</v>
      </c>
      <c r="M4263" t="s">
        <v>4385</v>
      </c>
    </row>
    <row r="4264" spans="1:13" ht="15" customHeight="1">
      <c r="A4264" s="10">
        <v>46213</v>
      </c>
      <c r="B4264" t="s">
        <v>1</v>
      </c>
      <c r="C4264" t="s">
        <v>152</v>
      </c>
      <c r="D4264">
        <v>2</v>
      </c>
      <c r="E4264">
        <v>0</v>
      </c>
      <c r="I4264">
        <v>2</v>
      </c>
      <c r="M4264" t="s">
        <v>4386</v>
      </c>
    </row>
    <row r="4265" spans="1:13" ht="15" customHeight="1">
      <c r="A4265" s="10">
        <v>46213</v>
      </c>
      <c r="B4265" t="s">
        <v>1</v>
      </c>
      <c r="C4265" t="s">
        <v>153</v>
      </c>
      <c r="D4265">
        <v>2</v>
      </c>
      <c r="E4265">
        <v>0</v>
      </c>
      <c r="I4265">
        <v>2</v>
      </c>
      <c r="M4265" t="s">
        <v>4387</v>
      </c>
    </row>
    <row r="4266" spans="1:13" ht="15" customHeight="1">
      <c r="A4266" s="10">
        <v>46213</v>
      </c>
      <c r="B4266" t="s">
        <v>1</v>
      </c>
      <c r="C4266" t="s">
        <v>308</v>
      </c>
      <c r="D4266">
        <v>0</v>
      </c>
      <c r="E4266">
        <v>4</v>
      </c>
      <c r="I4266">
        <v>0</v>
      </c>
      <c r="J4266">
        <v>3</v>
      </c>
      <c r="M4266" t="s">
        <v>4388</v>
      </c>
    </row>
    <row r="4267" spans="1:13" ht="15" customHeight="1">
      <c r="A4267" s="10">
        <v>46213</v>
      </c>
      <c r="B4267" t="s">
        <v>1</v>
      </c>
      <c r="C4267" t="s">
        <v>310</v>
      </c>
      <c r="D4267">
        <v>0</v>
      </c>
      <c r="E4267">
        <v>2</v>
      </c>
      <c r="I4267">
        <v>0</v>
      </c>
      <c r="J4267">
        <v>2</v>
      </c>
      <c r="M4267" t="s">
        <v>4389</v>
      </c>
    </row>
    <row r="4268" spans="1:13" ht="15" customHeight="1">
      <c r="A4268" s="10">
        <v>46213</v>
      </c>
      <c r="B4268" t="s">
        <v>1</v>
      </c>
      <c r="C4268" t="s">
        <v>312</v>
      </c>
      <c r="D4268">
        <v>0</v>
      </c>
      <c r="E4268">
        <v>3</v>
      </c>
      <c r="I4268">
        <v>0</v>
      </c>
      <c r="J4268">
        <v>3</v>
      </c>
      <c r="M4268" t="s">
        <v>4390</v>
      </c>
    </row>
    <row r="4269" spans="1:13" ht="15" customHeight="1">
      <c r="A4269" s="10">
        <v>46213</v>
      </c>
      <c r="B4269" t="s">
        <v>1</v>
      </c>
      <c r="C4269" t="s">
        <v>314</v>
      </c>
      <c r="D4269">
        <v>1</v>
      </c>
      <c r="E4269">
        <v>0</v>
      </c>
      <c r="I4269">
        <v>1</v>
      </c>
      <c r="M4269" t="s">
        <v>4391</v>
      </c>
    </row>
    <row r="4270" spans="1:13" ht="15" customHeight="1">
      <c r="A4270" s="10">
        <v>46213</v>
      </c>
      <c r="B4270" t="s">
        <v>1</v>
      </c>
      <c r="C4270" t="s">
        <v>316</v>
      </c>
      <c r="D4270">
        <v>1</v>
      </c>
      <c r="E4270">
        <v>0</v>
      </c>
      <c r="I4270">
        <v>1</v>
      </c>
      <c r="M4270" t="s">
        <v>4392</v>
      </c>
    </row>
    <row r="4271" spans="1:13" ht="15" customHeight="1">
      <c r="A4271" s="10">
        <v>46213</v>
      </c>
      <c r="B4271" t="s">
        <v>1</v>
      </c>
      <c r="C4271" t="s">
        <v>318</v>
      </c>
      <c r="D4271">
        <v>1</v>
      </c>
      <c r="E4271">
        <v>0</v>
      </c>
      <c r="I4271">
        <v>1</v>
      </c>
      <c r="M4271" t="s">
        <v>4393</v>
      </c>
    </row>
    <row r="4272" spans="1:13" ht="15" customHeight="1">
      <c r="A4272" s="10">
        <v>46213</v>
      </c>
      <c r="B4272" t="s">
        <v>1</v>
      </c>
      <c r="C4272" t="s">
        <v>320</v>
      </c>
      <c r="D4272">
        <v>1</v>
      </c>
      <c r="E4272">
        <v>0</v>
      </c>
      <c r="I4272">
        <v>1</v>
      </c>
      <c r="M4272" t="s">
        <v>4394</v>
      </c>
    </row>
    <row r="4273" spans="1:13" ht="15" customHeight="1">
      <c r="A4273" s="10">
        <v>46213</v>
      </c>
      <c r="B4273" t="s">
        <v>1</v>
      </c>
      <c r="C4273" t="s">
        <v>322</v>
      </c>
      <c r="D4273">
        <v>0</v>
      </c>
      <c r="E4273">
        <v>0</v>
      </c>
      <c r="I4273">
        <v>0</v>
      </c>
      <c r="M4273" t="s">
        <v>4395</v>
      </c>
    </row>
    <row r="4274" spans="1:13" ht="15" customHeight="1">
      <c r="A4274" s="10">
        <v>46213</v>
      </c>
      <c r="B4274" t="s">
        <v>1</v>
      </c>
      <c r="C4274" s="135" t="s">
        <v>168</v>
      </c>
      <c r="D4274">
        <v>1</v>
      </c>
      <c r="E4274">
        <v>0</v>
      </c>
      <c r="I4274">
        <v>1</v>
      </c>
      <c r="M4274" t="s">
        <v>4396</v>
      </c>
    </row>
    <row r="4275" spans="1:13" ht="15" customHeight="1">
      <c r="A4275" s="10">
        <v>46213</v>
      </c>
      <c r="B4275" t="s">
        <v>1</v>
      </c>
      <c r="C4275" s="135" t="s">
        <v>170</v>
      </c>
      <c r="D4275">
        <v>1</v>
      </c>
      <c r="E4275">
        <v>0</v>
      </c>
      <c r="I4275">
        <v>1</v>
      </c>
      <c r="M4275" t="s">
        <v>4397</v>
      </c>
    </row>
    <row r="4276" spans="1:13" ht="15" customHeight="1">
      <c r="A4276" s="10">
        <v>46213</v>
      </c>
      <c r="B4276" t="s">
        <v>1</v>
      </c>
      <c r="C4276" s="135" t="s">
        <v>171</v>
      </c>
      <c r="D4276">
        <v>2</v>
      </c>
      <c r="E4276">
        <v>0</v>
      </c>
      <c r="I4276">
        <v>2</v>
      </c>
      <c r="M4276" t="s">
        <v>4398</v>
      </c>
    </row>
    <row r="4277" spans="1:13" ht="15" customHeight="1">
      <c r="A4277" s="10">
        <v>46213</v>
      </c>
      <c r="B4277" t="s">
        <v>1</v>
      </c>
      <c r="C4277" s="135" t="s">
        <v>172</v>
      </c>
      <c r="D4277">
        <v>1</v>
      </c>
      <c r="E4277">
        <v>0</v>
      </c>
      <c r="I4277">
        <v>1</v>
      </c>
      <c r="M4277" t="s">
        <v>4399</v>
      </c>
    </row>
    <row r="4278" spans="1:13" ht="15" customHeight="1">
      <c r="A4278" s="10">
        <v>46213</v>
      </c>
      <c r="B4278" t="s">
        <v>1</v>
      </c>
      <c r="C4278" s="135" t="s">
        <v>173</v>
      </c>
      <c r="D4278">
        <v>0</v>
      </c>
      <c r="E4278">
        <v>0</v>
      </c>
      <c r="I4278">
        <v>0</v>
      </c>
      <c r="M4278" t="s">
        <v>4400</v>
      </c>
    </row>
    <row r="4279" spans="1:13" ht="15" customHeight="1">
      <c r="A4279" s="10">
        <v>46213</v>
      </c>
      <c r="B4279" t="s">
        <v>1</v>
      </c>
      <c r="C4279" t="s">
        <v>176</v>
      </c>
      <c r="D4279">
        <v>0</v>
      </c>
      <c r="E4279">
        <v>11</v>
      </c>
      <c r="I4279">
        <v>0</v>
      </c>
      <c r="J4279">
        <v>11</v>
      </c>
      <c r="M4279" t="s">
        <v>4401</v>
      </c>
    </row>
    <row r="4280" spans="1:13" ht="15" customHeight="1">
      <c r="A4280" s="10">
        <v>46213</v>
      </c>
      <c r="B4280" t="s">
        <v>1</v>
      </c>
      <c r="C4280" t="s">
        <v>178</v>
      </c>
      <c r="D4280">
        <v>0</v>
      </c>
      <c r="E4280">
        <v>11</v>
      </c>
      <c r="H4280">
        <v>3</v>
      </c>
      <c r="I4280">
        <v>0</v>
      </c>
      <c r="J4280">
        <v>8</v>
      </c>
      <c r="M4280" t="s">
        <v>4402</v>
      </c>
    </row>
    <row r="4281" spans="1:13" ht="15" customHeight="1">
      <c r="A4281" s="10">
        <v>46213</v>
      </c>
      <c r="B4281" t="s">
        <v>1</v>
      </c>
      <c r="C4281" t="s">
        <v>179</v>
      </c>
      <c r="D4281">
        <v>0</v>
      </c>
      <c r="E4281">
        <v>17</v>
      </c>
      <c r="I4281">
        <v>0</v>
      </c>
      <c r="J4281">
        <v>17</v>
      </c>
      <c r="M4281" t="s">
        <v>4403</v>
      </c>
    </row>
    <row r="4282" spans="1:13" ht="15" customHeight="1">
      <c r="A4282" s="10">
        <v>46213</v>
      </c>
      <c r="B4282" t="s">
        <v>1</v>
      </c>
      <c r="C4282" t="s">
        <v>180</v>
      </c>
      <c r="D4282">
        <v>0</v>
      </c>
      <c r="E4282">
        <v>19</v>
      </c>
      <c r="I4282">
        <v>0</v>
      </c>
      <c r="J4282">
        <v>19</v>
      </c>
      <c r="M4282" t="s">
        <v>4404</v>
      </c>
    </row>
    <row r="4283" spans="1:13" ht="15" customHeight="1">
      <c r="A4283" s="10">
        <v>46213</v>
      </c>
      <c r="B4283" t="s">
        <v>1</v>
      </c>
      <c r="C4283" s="135" t="s">
        <v>182</v>
      </c>
      <c r="D4283">
        <v>1</v>
      </c>
      <c r="E4283">
        <v>190</v>
      </c>
      <c r="I4283">
        <v>1</v>
      </c>
      <c r="J4283">
        <v>190</v>
      </c>
      <c r="M4283" t="s">
        <v>4405</v>
      </c>
    </row>
    <row r="4284" spans="1:13" ht="15" customHeight="1">
      <c r="A4284" s="10">
        <v>46213</v>
      </c>
      <c r="B4284" t="s">
        <v>1</v>
      </c>
      <c r="C4284" s="135" t="s">
        <v>184</v>
      </c>
      <c r="D4284">
        <v>1</v>
      </c>
      <c r="E4284">
        <v>44</v>
      </c>
      <c r="I4284">
        <v>1</v>
      </c>
      <c r="J4284">
        <v>49</v>
      </c>
      <c r="M4284" t="s">
        <v>4406</v>
      </c>
    </row>
    <row r="4285" spans="1:13" ht="15" customHeight="1">
      <c r="A4285" s="10">
        <v>46213</v>
      </c>
      <c r="B4285" t="s">
        <v>1</v>
      </c>
      <c r="C4285" s="135" t="s">
        <v>185</v>
      </c>
      <c r="D4285">
        <v>1</v>
      </c>
      <c r="E4285">
        <v>14</v>
      </c>
      <c r="I4285">
        <v>1</v>
      </c>
      <c r="J4285">
        <v>14</v>
      </c>
      <c r="M4285" t="s">
        <v>4407</v>
      </c>
    </row>
    <row r="4286" spans="1:13" ht="15" customHeight="1">
      <c r="A4286" s="10">
        <v>46213</v>
      </c>
      <c r="B4286" t="s">
        <v>1</v>
      </c>
      <c r="C4286" s="135" t="s">
        <v>186</v>
      </c>
      <c r="D4286">
        <v>0</v>
      </c>
      <c r="E4286">
        <v>760</v>
      </c>
      <c r="I4286">
        <v>0</v>
      </c>
      <c r="J4286">
        <v>760</v>
      </c>
      <c r="M4286" t="s">
        <v>4408</v>
      </c>
    </row>
    <row r="4287" spans="1:13" ht="15" customHeight="1">
      <c r="A4287" s="10">
        <v>46213</v>
      </c>
      <c r="B4287" t="s">
        <v>1</v>
      </c>
      <c r="C4287" t="s">
        <v>337</v>
      </c>
      <c r="D4287">
        <v>1</v>
      </c>
      <c r="E4287">
        <v>295</v>
      </c>
      <c r="I4287">
        <v>1</v>
      </c>
      <c r="J4287">
        <v>228</v>
      </c>
      <c r="M4287" t="s">
        <v>4409</v>
      </c>
    </row>
    <row r="4288" spans="1:13" ht="15" customHeight="1">
      <c r="A4288" s="10">
        <v>46213</v>
      </c>
      <c r="B4288" t="s">
        <v>1</v>
      </c>
      <c r="C4288" t="s">
        <v>339</v>
      </c>
      <c r="D4288">
        <v>0</v>
      </c>
      <c r="E4288">
        <v>0</v>
      </c>
      <c r="I4288">
        <v>0</v>
      </c>
      <c r="J4288">
        <v>0</v>
      </c>
      <c r="M4288" t="s">
        <v>4410</v>
      </c>
    </row>
    <row r="4289" spans="1:13" ht="15" customHeight="1">
      <c r="A4289" s="10">
        <v>46213</v>
      </c>
      <c r="B4289" t="s">
        <v>1</v>
      </c>
      <c r="C4289" s="135" t="s">
        <v>191</v>
      </c>
      <c r="D4289">
        <v>1</v>
      </c>
      <c r="E4289">
        <v>113</v>
      </c>
      <c r="I4289">
        <v>1</v>
      </c>
      <c r="J4289">
        <v>113</v>
      </c>
      <c r="M4289" t="s">
        <v>4411</v>
      </c>
    </row>
    <row r="4290" spans="1:13" ht="15" customHeight="1">
      <c r="A4290" s="10">
        <v>46213</v>
      </c>
      <c r="B4290" t="s">
        <v>1</v>
      </c>
      <c r="C4290" s="135" t="s">
        <v>193</v>
      </c>
      <c r="D4290">
        <v>0</v>
      </c>
      <c r="E4290">
        <v>507</v>
      </c>
      <c r="I4290">
        <v>0</v>
      </c>
      <c r="J4290">
        <v>447</v>
      </c>
      <c r="M4290" t="s">
        <v>4412</v>
      </c>
    </row>
    <row r="4291" spans="1:13" ht="15" customHeight="1">
      <c r="A4291" s="10">
        <v>46213</v>
      </c>
      <c r="B4291" t="s">
        <v>1</v>
      </c>
      <c r="C4291" s="135" t="s">
        <v>194</v>
      </c>
      <c r="D4291">
        <v>1</v>
      </c>
      <c r="E4291">
        <v>19</v>
      </c>
      <c r="I4291">
        <v>1</v>
      </c>
      <c r="J4291">
        <v>19</v>
      </c>
      <c r="M4291" t="s">
        <v>4413</v>
      </c>
    </row>
    <row r="4292" spans="1:13" ht="15" customHeight="1">
      <c r="A4292" s="10">
        <v>46213</v>
      </c>
      <c r="B4292" t="s">
        <v>1</v>
      </c>
      <c r="C4292" s="135" t="s">
        <v>196</v>
      </c>
      <c r="D4292">
        <v>1</v>
      </c>
      <c r="E4292">
        <v>0</v>
      </c>
      <c r="I4292">
        <v>1</v>
      </c>
      <c r="J4292">
        <v>0</v>
      </c>
      <c r="M4292" t="s">
        <v>4414</v>
      </c>
    </row>
    <row r="4293" spans="1:13" ht="15" customHeight="1">
      <c r="A4293" s="10">
        <v>46174</v>
      </c>
      <c r="B4293" t="s">
        <v>201</v>
      </c>
      <c r="C4293" t="s">
        <v>203</v>
      </c>
      <c r="D4293">
        <v>0</v>
      </c>
      <c r="E4293">
        <v>0</v>
      </c>
      <c r="I4293">
        <v>0</v>
      </c>
      <c r="J4293">
        <v>0</v>
      </c>
      <c r="M4293" t="s">
        <v>4415</v>
      </c>
    </row>
    <row r="4294" spans="1:13" ht="15" customHeight="1">
      <c r="A4294" s="10">
        <v>46174</v>
      </c>
      <c r="B4294" t="s">
        <v>201</v>
      </c>
      <c r="C4294" s="135" t="s">
        <v>202</v>
      </c>
      <c r="D4294">
        <v>0</v>
      </c>
      <c r="E4294">
        <v>0</v>
      </c>
      <c r="I4294">
        <v>0</v>
      </c>
      <c r="J4294">
        <v>540</v>
      </c>
      <c r="M4294" t="s">
        <v>4416</v>
      </c>
    </row>
    <row r="4295" spans="1:13" ht="15" customHeight="1">
      <c r="A4295" s="10">
        <v>46178</v>
      </c>
      <c r="B4295" t="s">
        <v>201</v>
      </c>
      <c r="C4295" t="s">
        <v>23</v>
      </c>
      <c r="D4295">
        <v>6</v>
      </c>
      <c r="E4295">
        <v>1260</v>
      </c>
      <c r="I4295">
        <v>6</v>
      </c>
      <c r="J4295">
        <v>557</v>
      </c>
      <c r="M4295" t="s">
        <v>4417</v>
      </c>
    </row>
    <row r="4296" spans="1:13" ht="15" customHeight="1">
      <c r="A4296" s="10">
        <v>46178</v>
      </c>
      <c r="B4296" t="s">
        <v>201</v>
      </c>
      <c r="C4296" t="s">
        <v>26</v>
      </c>
      <c r="D4296">
        <v>0</v>
      </c>
      <c r="E4296">
        <v>858</v>
      </c>
      <c r="I4296">
        <v>0</v>
      </c>
      <c r="J4296">
        <v>418</v>
      </c>
      <c r="M4296" t="s">
        <v>4418</v>
      </c>
    </row>
    <row r="4297" spans="1:13" ht="15" customHeight="1">
      <c r="A4297" s="10">
        <v>46178</v>
      </c>
      <c r="B4297" t="s">
        <v>201</v>
      </c>
      <c r="C4297" t="s">
        <v>27</v>
      </c>
      <c r="D4297">
        <v>1</v>
      </c>
      <c r="E4297">
        <v>1158</v>
      </c>
      <c r="I4297">
        <v>1</v>
      </c>
      <c r="J4297">
        <v>900</v>
      </c>
      <c r="M4297" t="s">
        <v>4419</v>
      </c>
    </row>
    <row r="4298" spans="1:13" ht="15" customHeight="1">
      <c r="A4298" s="10">
        <v>46178</v>
      </c>
      <c r="B4298" t="s">
        <v>201</v>
      </c>
      <c r="C4298" t="s">
        <v>28</v>
      </c>
      <c r="D4298">
        <v>0</v>
      </c>
      <c r="E4298">
        <v>538</v>
      </c>
      <c r="I4298">
        <v>0</v>
      </c>
      <c r="J4298">
        <v>438</v>
      </c>
      <c r="M4298" t="s">
        <v>4420</v>
      </c>
    </row>
    <row r="4299" spans="1:13" ht="15" customHeight="1">
      <c r="A4299" s="10">
        <v>46178</v>
      </c>
      <c r="B4299" t="s">
        <v>201</v>
      </c>
      <c r="C4299" t="s">
        <v>29</v>
      </c>
      <c r="D4299">
        <v>0</v>
      </c>
      <c r="E4299">
        <v>1106</v>
      </c>
      <c r="I4299">
        <v>0</v>
      </c>
      <c r="J4299">
        <v>951</v>
      </c>
      <c r="M4299" t="s">
        <v>4421</v>
      </c>
    </row>
    <row r="4300" spans="1:13" ht="15" customHeight="1">
      <c r="A4300" s="10">
        <v>46178</v>
      </c>
      <c r="B4300" t="s">
        <v>201</v>
      </c>
      <c r="C4300" t="s">
        <v>30</v>
      </c>
      <c r="D4300">
        <v>1</v>
      </c>
      <c r="E4300">
        <v>653</v>
      </c>
      <c r="I4300">
        <v>1</v>
      </c>
      <c r="J4300">
        <v>251</v>
      </c>
      <c r="M4300" t="s">
        <v>4422</v>
      </c>
    </row>
    <row r="4301" spans="1:13" ht="15" customHeight="1">
      <c r="A4301" s="10">
        <v>46178</v>
      </c>
      <c r="B4301" t="s">
        <v>201</v>
      </c>
      <c r="C4301" t="s">
        <v>31</v>
      </c>
      <c r="D4301">
        <v>2</v>
      </c>
      <c r="E4301">
        <v>619</v>
      </c>
      <c r="I4301">
        <v>2</v>
      </c>
      <c r="J4301">
        <v>600</v>
      </c>
      <c r="M4301" t="s">
        <v>4423</v>
      </c>
    </row>
    <row r="4302" spans="1:13" ht="15" customHeight="1">
      <c r="A4302" s="10">
        <v>46178</v>
      </c>
      <c r="B4302" t="s">
        <v>201</v>
      </c>
      <c r="C4302" t="s">
        <v>32</v>
      </c>
      <c r="D4302">
        <v>1</v>
      </c>
      <c r="E4302">
        <v>967</v>
      </c>
      <c r="I4302">
        <v>0</v>
      </c>
      <c r="J4302">
        <v>783</v>
      </c>
      <c r="M4302" t="s">
        <v>4424</v>
      </c>
    </row>
    <row r="4303" spans="1:13" ht="15" customHeight="1">
      <c r="A4303" s="10">
        <v>46178</v>
      </c>
      <c r="B4303" t="s">
        <v>201</v>
      </c>
      <c r="C4303" t="s">
        <v>223</v>
      </c>
      <c r="D4303">
        <v>7</v>
      </c>
      <c r="E4303">
        <v>635</v>
      </c>
      <c r="I4303">
        <v>6</v>
      </c>
      <c r="J4303">
        <v>690</v>
      </c>
      <c r="M4303" t="s">
        <v>4425</v>
      </c>
    </row>
    <row r="4304" spans="1:13" ht="15" customHeight="1">
      <c r="A4304" s="10">
        <v>46178</v>
      </c>
      <c r="B4304" t="s">
        <v>201</v>
      </c>
      <c r="C4304" t="s">
        <v>35</v>
      </c>
      <c r="D4304">
        <v>3</v>
      </c>
      <c r="E4304">
        <v>0</v>
      </c>
      <c r="H4304">
        <v>2</v>
      </c>
      <c r="I4304">
        <v>1</v>
      </c>
      <c r="M4304" t="s">
        <v>4426</v>
      </c>
    </row>
    <row r="4305" spans="1:13" ht="15" customHeight="1">
      <c r="A4305" s="10">
        <v>46178</v>
      </c>
      <c r="B4305" t="s">
        <v>201</v>
      </c>
      <c r="C4305" t="s">
        <v>37</v>
      </c>
      <c r="D4305">
        <v>0</v>
      </c>
      <c r="E4305">
        <v>0</v>
      </c>
      <c r="I4305">
        <v>0</v>
      </c>
      <c r="M4305" t="s">
        <v>4427</v>
      </c>
    </row>
    <row r="4306" spans="1:13" ht="15" customHeight="1">
      <c r="A4306" s="10">
        <v>46178</v>
      </c>
      <c r="B4306" t="s">
        <v>201</v>
      </c>
      <c r="C4306" t="s">
        <v>39</v>
      </c>
      <c r="D4306">
        <v>17</v>
      </c>
      <c r="E4306">
        <v>0</v>
      </c>
      <c r="I4306">
        <v>17</v>
      </c>
      <c r="J4306">
        <v>0</v>
      </c>
      <c r="M4306" t="s">
        <v>4428</v>
      </c>
    </row>
    <row r="4307" spans="1:13" ht="15" customHeight="1">
      <c r="A4307" s="10">
        <v>46178</v>
      </c>
      <c r="B4307" t="s">
        <v>201</v>
      </c>
      <c r="C4307" t="s">
        <v>41</v>
      </c>
      <c r="D4307">
        <v>25</v>
      </c>
      <c r="E4307">
        <v>0</v>
      </c>
      <c r="I4307">
        <v>25</v>
      </c>
      <c r="J4307">
        <v>0</v>
      </c>
      <c r="M4307" t="s">
        <v>4429</v>
      </c>
    </row>
    <row r="4308" spans="1:13" ht="15" customHeight="1">
      <c r="A4308" s="10">
        <v>46178</v>
      </c>
      <c r="B4308" t="s">
        <v>201</v>
      </c>
      <c r="C4308" s="135" t="s">
        <v>44</v>
      </c>
      <c r="D4308">
        <v>4</v>
      </c>
      <c r="E4308">
        <v>10572</v>
      </c>
      <c r="I4308">
        <v>4</v>
      </c>
      <c r="J4308">
        <v>9101</v>
      </c>
      <c r="M4308" t="s">
        <v>4430</v>
      </c>
    </row>
    <row r="4309" spans="1:13" ht="15" customHeight="1">
      <c r="A4309" s="10">
        <v>46178</v>
      </c>
      <c r="B4309" t="s">
        <v>201</v>
      </c>
      <c r="C4309" t="s">
        <v>230</v>
      </c>
      <c r="D4309">
        <v>1</v>
      </c>
      <c r="E4309">
        <v>318</v>
      </c>
      <c r="I4309">
        <v>1</v>
      </c>
      <c r="J4309">
        <v>318</v>
      </c>
      <c r="M4309" t="s">
        <v>4431</v>
      </c>
    </row>
    <row r="4310" spans="1:13" ht="15" customHeight="1">
      <c r="A4310" s="10">
        <v>46178</v>
      </c>
      <c r="B4310" t="s">
        <v>201</v>
      </c>
      <c r="C4310" t="s">
        <v>232</v>
      </c>
      <c r="D4310">
        <v>15</v>
      </c>
      <c r="E4310">
        <v>0</v>
      </c>
      <c r="I4310">
        <v>15</v>
      </c>
      <c r="J4310">
        <v>0</v>
      </c>
      <c r="M4310" t="s">
        <v>4432</v>
      </c>
    </row>
    <row r="4311" spans="1:13" ht="15" customHeight="1">
      <c r="A4311" s="10">
        <v>46178</v>
      </c>
      <c r="B4311" t="s">
        <v>201</v>
      </c>
      <c r="C4311" t="s">
        <v>234</v>
      </c>
      <c r="D4311">
        <v>64</v>
      </c>
      <c r="E4311">
        <v>0</v>
      </c>
      <c r="H4311">
        <v>9</v>
      </c>
      <c r="I4311">
        <v>55</v>
      </c>
      <c r="J4311">
        <v>0</v>
      </c>
      <c r="M4311" t="s">
        <v>4433</v>
      </c>
    </row>
    <row r="4312" spans="1:13" ht="15" customHeight="1">
      <c r="A4312" s="10">
        <v>46178</v>
      </c>
      <c r="B4312" t="s">
        <v>201</v>
      </c>
      <c r="C4312" t="s">
        <v>54</v>
      </c>
      <c r="D4312">
        <v>0</v>
      </c>
      <c r="E4312">
        <v>0</v>
      </c>
      <c r="I4312">
        <v>0</v>
      </c>
      <c r="J4312">
        <v>0</v>
      </c>
      <c r="M4312" t="s">
        <v>4434</v>
      </c>
    </row>
    <row r="4313" spans="1:13" ht="15" customHeight="1">
      <c r="A4313" s="10">
        <v>46178</v>
      </c>
      <c r="B4313" t="s">
        <v>201</v>
      </c>
      <c r="C4313" t="s">
        <v>237</v>
      </c>
      <c r="D4313">
        <v>12</v>
      </c>
      <c r="E4313">
        <v>0</v>
      </c>
      <c r="H4313">
        <v>2</v>
      </c>
      <c r="I4313">
        <v>10</v>
      </c>
      <c r="J4313">
        <v>0</v>
      </c>
      <c r="M4313" t="s">
        <v>4435</v>
      </c>
    </row>
    <row r="4314" spans="1:13" ht="15" customHeight="1">
      <c r="A4314" s="10">
        <v>46178</v>
      </c>
      <c r="B4314" t="s">
        <v>201</v>
      </c>
      <c r="C4314" s="135" t="s">
        <v>58</v>
      </c>
      <c r="D4314">
        <v>1</v>
      </c>
      <c r="E4314">
        <v>0</v>
      </c>
      <c r="H4314">
        <v>0</v>
      </c>
      <c r="I4314">
        <v>0</v>
      </c>
      <c r="J4314">
        <v>0</v>
      </c>
      <c r="M4314" t="s">
        <v>4436</v>
      </c>
    </row>
    <row r="4315" spans="1:13" ht="15" customHeight="1">
      <c r="A4315" s="10">
        <v>46178</v>
      </c>
      <c r="B4315" t="s">
        <v>201</v>
      </c>
      <c r="C4315" s="135" t="s">
        <v>60</v>
      </c>
      <c r="D4315">
        <v>3</v>
      </c>
      <c r="E4315">
        <v>0</v>
      </c>
      <c r="H4315">
        <v>0</v>
      </c>
      <c r="I4315">
        <v>0</v>
      </c>
      <c r="J4315">
        <v>0</v>
      </c>
      <c r="M4315" t="s">
        <v>4437</v>
      </c>
    </row>
    <row r="4316" spans="1:13" ht="15" customHeight="1">
      <c r="A4316" s="10">
        <v>46178</v>
      </c>
      <c r="B4316" t="s">
        <v>201</v>
      </c>
      <c r="C4316" s="135" t="s">
        <v>61</v>
      </c>
      <c r="D4316">
        <v>1</v>
      </c>
      <c r="E4316">
        <v>0</v>
      </c>
      <c r="H4316">
        <v>1</v>
      </c>
      <c r="I4316">
        <v>0</v>
      </c>
      <c r="J4316">
        <v>0</v>
      </c>
      <c r="M4316" t="s">
        <v>4438</v>
      </c>
    </row>
    <row r="4317" spans="1:13" ht="15" customHeight="1">
      <c r="A4317" s="10">
        <v>46178</v>
      </c>
      <c r="B4317" t="s">
        <v>201</v>
      </c>
      <c r="C4317" s="135" t="s">
        <v>62</v>
      </c>
      <c r="D4317">
        <v>1</v>
      </c>
      <c r="E4317">
        <v>0</v>
      </c>
      <c r="H4317">
        <v>1</v>
      </c>
      <c r="I4317">
        <v>0</v>
      </c>
      <c r="J4317">
        <v>0</v>
      </c>
      <c r="M4317" t="s">
        <v>4439</v>
      </c>
    </row>
    <row r="4318" spans="1:13" ht="15" customHeight="1">
      <c r="A4318" s="10">
        <v>46178</v>
      </c>
      <c r="B4318" t="s">
        <v>201</v>
      </c>
      <c r="C4318" s="135" t="s">
        <v>63</v>
      </c>
      <c r="D4318">
        <v>5</v>
      </c>
      <c r="E4318">
        <v>0</v>
      </c>
      <c r="H4318">
        <v>4</v>
      </c>
      <c r="I4318">
        <v>1</v>
      </c>
      <c r="J4318">
        <v>0</v>
      </c>
      <c r="M4318" t="s">
        <v>4440</v>
      </c>
    </row>
    <row r="4319" spans="1:13" ht="15" customHeight="1">
      <c r="A4319" s="10">
        <v>46178</v>
      </c>
      <c r="B4319" t="s">
        <v>201</v>
      </c>
      <c r="C4319" s="135" t="s">
        <v>64</v>
      </c>
      <c r="D4319">
        <v>8</v>
      </c>
      <c r="E4319">
        <v>0</v>
      </c>
      <c r="H4319">
        <v>0</v>
      </c>
      <c r="I4319">
        <v>8</v>
      </c>
      <c r="J4319">
        <v>0</v>
      </c>
      <c r="M4319" t="s">
        <v>4441</v>
      </c>
    </row>
    <row r="4320" spans="1:13" ht="15" customHeight="1">
      <c r="A4320" s="10">
        <v>46178</v>
      </c>
      <c r="B4320" t="s">
        <v>201</v>
      </c>
      <c r="C4320" t="s">
        <v>66</v>
      </c>
      <c r="D4320">
        <v>4</v>
      </c>
      <c r="E4320">
        <v>0</v>
      </c>
      <c r="I4320">
        <v>4</v>
      </c>
      <c r="J4320">
        <v>0</v>
      </c>
      <c r="M4320" t="s">
        <v>4442</v>
      </c>
    </row>
    <row r="4321" spans="1:13" ht="15" customHeight="1">
      <c r="A4321" s="10">
        <v>46178</v>
      </c>
      <c r="B4321" t="s">
        <v>201</v>
      </c>
      <c r="C4321" t="s">
        <v>67</v>
      </c>
      <c r="D4321">
        <v>7</v>
      </c>
      <c r="E4321">
        <v>0</v>
      </c>
      <c r="I4321">
        <v>7</v>
      </c>
      <c r="J4321">
        <v>0</v>
      </c>
      <c r="M4321" t="s">
        <v>4443</v>
      </c>
    </row>
    <row r="4322" spans="1:13" ht="15" customHeight="1">
      <c r="A4322" s="10">
        <v>46178</v>
      </c>
      <c r="B4322" t="s">
        <v>201</v>
      </c>
      <c r="C4322" t="s">
        <v>68</v>
      </c>
      <c r="D4322">
        <v>2</v>
      </c>
      <c r="E4322">
        <v>0</v>
      </c>
      <c r="H4322">
        <v>2</v>
      </c>
      <c r="I4322">
        <v>0</v>
      </c>
      <c r="J4322">
        <v>0</v>
      </c>
      <c r="M4322" t="s">
        <v>4444</v>
      </c>
    </row>
    <row r="4323" spans="1:13" ht="15" customHeight="1">
      <c r="A4323" s="10">
        <v>46178</v>
      </c>
      <c r="B4323" t="s">
        <v>201</v>
      </c>
      <c r="C4323" t="s">
        <v>71</v>
      </c>
      <c r="D4323">
        <v>1</v>
      </c>
      <c r="E4323">
        <v>675</v>
      </c>
      <c r="I4323">
        <v>1</v>
      </c>
      <c r="J4323">
        <v>620</v>
      </c>
      <c r="M4323" t="s">
        <v>4445</v>
      </c>
    </row>
    <row r="4324" spans="1:13" ht="15" customHeight="1">
      <c r="A4324" s="10">
        <v>46178</v>
      </c>
      <c r="B4324" t="s">
        <v>201</v>
      </c>
      <c r="C4324" t="s">
        <v>73</v>
      </c>
      <c r="D4324">
        <v>1</v>
      </c>
      <c r="E4324">
        <v>681</v>
      </c>
      <c r="I4324">
        <v>1</v>
      </c>
      <c r="J4324">
        <v>669</v>
      </c>
      <c r="M4324" t="s">
        <v>4446</v>
      </c>
    </row>
    <row r="4325" spans="1:13" ht="15" customHeight="1">
      <c r="A4325" s="10">
        <v>46178</v>
      </c>
      <c r="B4325" t="s">
        <v>201</v>
      </c>
      <c r="C4325" t="s">
        <v>75</v>
      </c>
      <c r="D4325">
        <v>0</v>
      </c>
      <c r="E4325">
        <v>320</v>
      </c>
      <c r="I4325">
        <v>0</v>
      </c>
      <c r="J4325">
        <v>275</v>
      </c>
      <c r="M4325" t="s">
        <v>4447</v>
      </c>
    </row>
    <row r="4326" spans="1:13" ht="15" customHeight="1">
      <c r="A4326" s="10">
        <v>46178</v>
      </c>
      <c r="B4326" t="s">
        <v>201</v>
      </c>
      <c r="C4326" t="s">
        <v>77</v>
      </c>
      <c r="D4326">
        <v>0</v>
      </c>
      <c r="E4326">
        <v>546</v>
      </c>
      <c r="I4326">
        <v>0</v>
      </c>
      <c r="J4326">
        <v>566</v>
      </c>
      <c r="M4326" t="s">
        <v>4448</v>
      </c>
    </row>
    <row r="4327" spans="1:13" ht="15" customHeight="1">
      <c r="A4327" s="10">
        <v>46178</v>
      </c>
      <c r="B4327" t="s">
        <v>201</v>
      </c>
      <c r="C4327" t="s">
        <v>79</v>
      </c>
      <c r="D4327">
        <v>1</v>
      </c>
      <c r="E4327">
        <v>142</v>
      </c>
      <c r="I4327">
        <v>1</v>
      </c>
      <c r="J4327">
        <v>994</v>
      </c>
      <c r="M4327" t="s">
        <v>4449</v>
      </c>
    </row>
    <row r="4328" spans="1:13" ht="15" customHeight="1">
      <c r="A4328" s="10">
        <v>46178</v>
      </c>
      <c r="B4328" t="s">
        <v>201</v>
      </c>
      <c r="C4328" t="s">
        <v>81</v>
      </c>
      <c r="D4328">
        <v>1</v>
      </c>
      <c r="E4328">
        <v>549</v>
      </c>
      <c r="I4328">
        <v>1</v>
      </c>
      <c r="J4328">
        <v>549</v>
      </c>
      <c r="M4328" t="s">
        <v>4450</v>
      </c>
    </row>
    <row r="4329" spans="1:13" ht="15" customHeight="1">
      <c r="A4329" s="10">
        <v>46178</v>
      </c>
      <c r="B4329" t="s">
        <v>201</v>
      </c>
      <c r="C4329" t="s">
        <v>83</v>
      </c>
      <c r="D4329">
        <v>1</v>
      </c>
      <c r="E4329">
        <v>134</v>
      </c>
      <c r="I4329">
        <v>1</v>
      </c>
      <c r="J4329">
        <v>114</v>
      </c>
      <c r="M4329" t="s">
        <v>4451</v>
      </c>
    </row>
    <row r="4330" spans="1:13" ht="15" customHeight="1">
      <c r="A4330" s="10">
        <v>46178</v>
      </c>
      <c r="B4330" t="s">
        <v>201</v>
      </c>
      <c r="C4330" t="s">
        <v>84</v>
      </c>
      <c r="D4330">
        <v>1</v>
      </c>
      <c r="E4330">
        <v>395</v>
      </c>
      <c r="I4330">
        <v>1</v>
      </c>
      <c r="J4330">
        <v>395</v>
      </c>
      <c r="M4330" t="s">
        <v>4452</v>
      </c>
    </row>
    <row r="4331" spans="1:13" ht="15" customHeight="1">
      <c r="A4331" s="10">
        <v>46178</v>
      </c>
      <c r="B4331" t="s">
        <v>201</v>
      </c>
      <c r="C4331" t="s">
        <v>85</v>
      </c>
      <c r="D4331">
        <v>0</v>
      </c>
      <c r="E4331">
        <v>214</v>
      </c>
      <c r="I4331">
        <v>0</v>
      </c>
      <c r="J4331">
        <v>214</v>
      </c>
      <c r="M4331" t="s">
        <v>4453</v>
      </c>
    </row>
    <row r="4332" spans="1:13" ht="15" customHeight="1">
      <c r="A4332" s="10">
        <v>46178</v>
      </c>
      <c r="B4332" t="s">
        <v>201</v>
      </c>
      <c r="C4332" t="s">
        <v>87</v>
      </c>
      <c r="D4332">
        <v>1</v>
      </c>
      <c r="E4332">
        <v>224</v>
      </c>
      <c r="I4332">
        <v>1</v>
      </c>
      <c r="J4332">
        <v>412</v>
      </c>
      <c r="M4332" t="s">
        <v>4454</v>
      </c>
    </row>
    <row r="4333" spans="1:13" ht="15" customHeight="1">
      <c r="A4333" s="10">
        <v>46178</v>
      </c>
      <c r="B4333" t="s">
        <v>201</v>
      </c>
      <c r="C4333" t="s">
        <v>88</v>
      </c>
      <c r="D4333">
        <v>1</v>
      </c>
      <c r="E4333">
        <v>548</v>
      </c>
      <c r="I4333">
        <v>1</v>
      </c>
      <c r="J4333">
        <v>324</v>
      </c>
      <c r="M4333" t="s">
        <v>4455</v>
      </c>
    </row>
    <row r="4334" spans="1:13" ht="15" customHeight="1">
      <c r="A4334" s="10">
        <v>46178</v>
      </c>
      <c r="B4334" t="s">
        <v>201</v>
      </c>
      <c r="C4334" t="s">
        <v>89</v>
      </c>
      <c r="D4334">
        <v>1</v>
      </c>
      <c r="E4334">
        <v>149</v>
      </c>
      <c r="I4334">
        <v>1</v>
      </c>
      <c r="J4334">
        <v>335</v>
      </c>
      <c r="M4334" t="s">
        <v>4456</v>
      </c>
    </row>
    <row r="4335" spans="1:13" ht="15" customHeight="1">
      <c r="A4335" s="10">
        <v>46178</v>
      </c>
      <c r="B4335" t="s">
        <v>201</v>
      </c>
      <c r="C4335" t="s">
        <v>90</v>
      </c>
      <c r="D4335">
        <v>1</v>
      </c>
      <c r="E4335">
        <v>433</v>
      </c>
      <c r="I4335">
        <v>1</v>
      </c>
      <c r="J4335">
        <v>357</v>
      </c>
      <c r="M4335" t="s">
        <v>4457</v>
      </c>
    </row>
    <row r="4336" spans="1:13" ht="15" customHeight="1">
      <c r="A4336" s="10">
        <v>46178</v>
      </c>
      <c r="B4336" t="s">
        <v>201</v>
      </c>
      <c r="C4336" t="s">
        <v>92</v>
      </c>
      <c r="D4336">
        <v>1</v>
      </c>
      <c r="E4336">
        <v>840</v>
      </c>
      <c r="I4336">
        <v>1</v>
      </c>
      <c r="J4336">
        <v>710</v>
      </c>
      <c r="M4336" t="s">
        <v>4458</v>
      </c>
    </row>
    <row r="4337" spans="1:13" ht="15" customHeight="1">
      <c r="A4337" s="10">
        <v>46178</v>
      </c>
      <c r="B4337" t="s">
        <v>201</v>
      </c>
      <c r="C4337" t="s">
        <v>94</v>
      </c>
      <c r="D4337">
        <v>1</v>
      </c>
      <c r="E4337">
        <v>705</v>
      </c>
      <c r="I4337">
        <v>1</v>
      </c>
      <c r="J4337">
        <v>355</v>
      </c>
      <c r="M4337" t="s">
        <v>4459</v>
      </c>
    </row>
    <row r="4338" spans="1:13" ht="15" customHeight="1">
      <c r="A4338" s="10">
        <v>46178</v>
      </c>
      <c r="B4338" t="s">
        <v>201</v>
      </c>
      <c r="C4338" t="s">
        <v>98</v>
      </c>
      <c r="D4338">
        <v>6</v>
      </c>
      <c r="E4338">
        <v>353</v>
      </c>
      <c r="I4338">
        <v>6</v>
      </c>
      <c r="J4338">
        <v>479</v>
      </c>
      <c r="M4338" t="s">
        <v>4460</v>
      </c>
    </row>
    <row r="4339" spans="1:13" ht="15" customHeight="1">
      <c r="A4339" s="10">
        <v>46178</v>
      </c>
      <c r="B4339" t="s">
        <v>201</v>
      </c>
      <c r="C4339" t="s">
        <v>203</v>
      </c>
      <c r="D4339">
        <v>2</v>
      </c>
      <c r="E4339">
        <v>0</v>
      </c>
      <c r="I4339">
        <v>1</v>
      </c>
      <c r="M4339" t="s">
        <v>4461</v>
      </c>
    </row>
    <row r="4340" spans="1:13" ht="15" customHeight="1">
      <c r="A4340" s="10">
        <v>46178</v>
      </c>
      <c r="B4340" t="s">
        <v>201</v>
      </c>
      <c r="C4340" t="s">
        <v>100</v>
      </c>
      <c r="D4340">
        <v>0</v>
      </c>
      <c r="E4340">
        <v>0</v>
      </c>
      <c r="I4340">
        <v>0</v>
      </c>
      <c r="M4340" t="s">
        <v>4462</v>
      </c>
    </row>
    <row r="4341" spans="1:13" ht="15" customHeight="1">
      <c r="A4341" s="10">
        <v>46178</v>
      </c>
      <c r="B4341" t="s">
        <v>201</v>
      </c>
      <c r="C4341" t="s">
        <v>101</v>
      </c>
      <c r="D4341">
        <v>1</v>
      </c>
      <c r="E4341">
        <v>337</v>
      </c>
      <c r="I4341">
        <v>1</v>
      </c>
      <c r="J4341">
        <v>276</v>
      </c>
      <c r="M4341" t="s">
        <v>4463</v>
      </c>
    </row>
    <row r="4342" spans="1:13" ht="15" customHeight="1">
      <c r="A4342" s="10">
        <v>46178</v>
      </c>
      <c r="B4342" t="s">
        <v>201</v>
      </c>
      <c r="C4342" t="s">
        <v>103</v>
      </c>
      <c r="D4342">
        <v>9</v>
      </c>
      <c r="E4342">
        <v>0</v>
      </c>
      <c r="I4342">
        <v>0</v>
      </c>
      <c r="J4342">
        <v>8</v>
      </c>
      <c r="M4342" t="s">
        <v>4464</v>
      </c>
    </row>
    <row r="4343" spans="1:13" ht="15" customHeight="1">
      <c r="A4343" s="10">
        <v>46178</v>
      </c>
      <c r="B4343" t="s">
        <v>201</v>
      </c>
      <c r="C4343" t="s">
        <v>106</v>
      </c>
      <c r="D4343">
        <v>1</v>
      </c>
      <c r="E4343">
        <v>842</v>
      </c>
      <c r="I4343">
        <v>1</v>
      </c>
      <c r="J4343">
        <v>762</v>
      </c>
      <c r="M4343" t="s">
        <v>4465</v>
      </c>
    </row>
    <row r="4344" spans="1:13" ht="15" customHeight="1">
      <c r="A4344" s="10">
        <v>46178</v>
      </c>
      <c r="B4344" t="s">
        <v>201</v>
      </c>
      <c r="C4344" t="s">
        <v>108</v>
      </c>
      <c r="D4344">
        <v>1</v>
      </c>
      <c r="E4344">
        <v>941</v>
      </c>
      <c r="I4344">
        <v>1</v>
      </c>
      <c r="J4344">
        <v>913</v>
      </c>
      <c r="M4344" t="s">
        <v>4466</v>
      </c>
    </row>
    <row r="4345" spans="1:13" ht="15" customHeight="1">
      <c r="A4345" s="10">
        <v>46178</v>
      </c>
      <c r="B4345" t="s">
        <v>201</v>
      </c>
      <c r="C4345" t="s">
        <v>109</v>
      </c>
      <c r="D4345">
        <v>1</v>
      </c>
      <c r="E4345">
        <v>770</v>
      </c>
      <c r="I4345">
        <v>1</v>
      </c>
      <c r="J4345">
        <v>733</v>
      </c>
      <c r="M4345" t="s">
        <v>4467</v>
      </c>
    </row>
    <row r="4346" spans="1:13" ht="15" customHeight="1">
      <c r="A4346" s="10">
        <v>46178</v>
      </c>
      <c r="B4346" t="s">
        <v>201</v>
      </c>
      <c r="C4346" t="s">
        <v>112</v>
      </c>
      <c r="D4346">
        <v>2</v>
      </c>
      <c r="E4346">
        <v>26</v>
      </c>
      <c r="I4346">
        <v>2</v>
      </c>
      <c r="J4346">
        <v>15</v>
      </c>
      <c r="M4346" t="s">
        <v>4468</v>
      </c>
    </row>
    <row r="4347" spans="1:13" ht="15" customHeight="1">
      <c r="A4347" s="10">
        <v>46178</v>
      </c>
      <c r="B4347" t="s">
        <v>201</v>
      </c>
      <c r="C4347" t="s">
        <v>114</v>
      </c>
      <c r="D4347">
        <v>2</v>
      </c>
      <c r="E4347">
        <v>28</v>
      </c>
      <c r="I4347">
        <v>2</v>
      </c>
      <c r="J4347">
        <v>14</v>
      </c>
      <c r="M4347" t="s">
        <v>4469</v>
      </c>
    </row>
    <row r="4348" spans="1:13" ht="15" customHeight="1">
      <c r="A4348" s="10">
        <v>46178</v>
      </c>
      <c r="B4348" t="s">
        <v>201</v>
      </c>
      <c r="C4348" t="s">
        <v>115</v>
      </c>
      <c r="D4348">
        <v>0</v>
      </c>
      <c r="E4348">
        <v>50</v>
      </c>
      <c r="I4348">
        <v>0</v>
      </c>
      <c r="J4348">
        <v>47</v>
      </c>
      <c r="M4348" t="s">
        <v>4470</v>
      </c>
    </row>
    <row r="4349" spans="1:13" ht="15" customHeight="1">
      <c r="A4349" s="10">
        <v>46178</v>
      </c>
      <c r="B4349" t="s">
        <v>201</v>
      </c>
      <c r="C4349" t="s">
        <v>116</v>
      </c>
      <c r="D4349">
        <v>3</v>
      </c>
      <c r="E4349">
        <v>8</v>
      </c>
      <c r="I4349">
        <v>2</v>
      </c>
      <c r="J4349">
        <v>47</v>
      </c>
      <c r="M4349" t="s">
        <v>4471</v>
      </c>
    </row>
    <row r="4350" spans="1:13" ht="15" customHeight="1">
      <c r="A4350" s="10">
        <v>46178</v>
      </c>
      <c r="B4350" t="s">
        <v>201</v>
      </c>
      <c r="C4350" t="s">
        <v>119</v>
      </c>
      <c r="D4350">
        <v>2</v>
      </c>
      <c r="E4350">
        <v>0</v>
      </c>
      <c r="I4350">
        <v>2</v>
      </c>
      <c r="M4350" t="s">
        <v>4472</v>
      </c>
    </row>
    <row r="4351" spans="1:13" ht="15" customHeight="1">
      <c r="A4351" s="10">
        <v>46178</v>
      </c>
      <c r="B4351" t="s">
        <v>201</v>
      </c>
      <c r="C4351" t="s">
        <v>120</v>
      </c>
      <c r="D4351">
        <v>2</v>
      </c>
      <c r="E4351">
        <v>0</v>
      </c>
      <c r="I4351">
        <v>1</v>
      </c>
      <c r="M4351" t="s">
        <v>4473</v>
      </c>
    </row>
    <row r="4352" spans="1:13" ht="15" customHeight="1">
      <c r="A4352" s="10">
        <v>46178</v>
      </c>
      <c r="B4352" t="s">
        <v>201</v>
      </c>
      <c r="C4352" t="s">
        <v>121</v>
      </c>
      <c r="D4352">
        <v>2</v>
      </c>
      <c r="E4352">
        <v>0</v>
      </c>
      <c r="I4352">
        <v>1</v>
      </c>
      <c r="M4352" t="s">
        <v>4474</v>
      </c>
    </row>
    <row r="4353" spans="1:13" ht="15" customHeight="1">
      <c r="A4353" s="10">
        <v>46178</v>
      </c>
      <c r="B4353" t="s">
        <v>201</v>
      </c>
      <c r="C4353" t="s">
        <v>123</v>
      </c>
      <c r="D4353">
        <v>2</v>
      </c>
      <c r="E4353">
        <v>0</v>
      </c>
      <c r="I4353">
        <v>2</v>
      </c>
      <c r="M4353" t="s">
        <v>4475</v>
      </c>
    </row>
    <row r="4354" spans="1:13" ht="15" customHeight="1">
      <c r="A4354" s="10">
        <v>46178</v>
      </c>
      <c r="B4354" t="s">
        <v>201</v>
      </c>
      <c r="C4354" t="s">
        <v>124</v>
      </c>
      <c r="D4354">
        <v>3</v>
      </c>
      <c r="E4354">
        <v>0</v>
      </c>
      <c r="I4354">
        <v>2</v>
      </c>
      <c r="M4354" t="s">
        <v>4476</v>
      </c>
    </row>
    <row r="4355" spans="1:13" ht="15" customHeight="1">
      <c r="A4355" s="10">
        <v>46178</v>
      </c>
      <c r="B4355" t="s">
        <v>201</v>
      </c>
      <c r="C4355" t="s">
        <v>125</v>
      </c>
      <c r="D4355">
        <v>2</v>
      </c>
      <c r="E4355">
        <v>0</v>
      </c>
      <c r="I4355">
        <v>2</v>
      </c>
      <c r="M4355" t="s">
        <v>4477</v>
      </c>
    </row>
    <row r="4356" spans="1:13" ht="15" customHeight="1">
      <c r="A4356" s="10">
        <v>46178</v>
      </c>
      <c r="B4356" t="s">
        <v>201</v>
      </c>
      <c r="C4356" t="s">
        <v>126</v>
      </c>
      <c r="D4356">
        <v>1</v>
      </c>
      <c r="E4356">
        <v>0</v>
      </c>
      <c r="I4356">
        <v>1</v>
      </c>
      <c r="M4356" t="s">
        <v>4478</v>
      </c>
    </row>
    <row r="4357" spans="1:13" ht="15" customHeight="1">
      <c r="A4357" s="10">
        <v>46178</v>
      </c>
      <c r="B4357" t="s">
        <v>201</v>
      </c>
      <c r="C4357" t="s">
        <v>128</v>
      </c>
      <c r="D4357">
        <v>3</v>
      </c>
      <c r="E4357">
        <v>0</v>
      </c>
      <c r="I4357">
        <v>3</v>
      </c>
      <c r="M4357" t="s">
        <v>4479</v>
      </c>
    </row>
    <row r="4358" spans="1:13" ht="15" customHeight="1">
      <c r="A4358" s="10">
        <v>46178</v>
      </c>
      <c r="B4358" t="s">
        <v>201</v>
      </c>
      <c r="C4358" t="s">
        <v>130</v>
      </c>
      <c r="D4358">
        <v>6</v>
      </c>
      <c r="E4358">
        <v>0</v>
      </c>
      <c r="I4358">
        <v>6</v>
      </c>
      <c r="M4358" t="s">
        <v>4480</v>
      </c>
    </row>
    <row r="4359" spans="1:13" ht="15" customHeight="1">
      <c r="A4359" s="10">
        <v>46178</v>
      </c>
      <c r="B4359" t="s">
        <v>201</v>
      </c>
      <c r="C4359" t="s">
        <v>285</v>
      </c>
      <c r="D4359">
        <v>2</v>
      </c>
      <c r="E4359">
        <v>0</v>
      </c>
      <c r="I4359">
        <v>2</v>
      </c>
      <c r="M4359" t="s">
        <v>4481</v>
      </c>
    </row>
    <row r="4360" spans="1:13" ht="15" customHeight="1">
      <c r="A4360" s="10">
        <v>46178</v>
      </c>
      <c r="B4360" t="s">
        <v>201</v>
      </c>
      <c r="C4360" t="s">
        <v>287</v>
      </c>
      <c r="D4360">
        <v>2</v>
      </c>
      <c r="E4360">
        <v>0</v>
      </c>
      <c r="I4360">
        <v>2</v>
      </c>
      <c r="M4360" t="s">
        <v>4482</v>
      </c>
    </row>
    <row r="4361" spans="1:13" ht="15" customHeight="1">
      <c r="A4361" s="10">
        <v>46178</v>
      </c>
      <c r="B4361" t="s">
        <v>201</v>
      </c>
      <c r="C4361" t="s">
        <v>289</v>
      </c>
      <c r="D4361">
        <v>3</v>
      </c>
      <c r="E4361">
        <v>0</v>
      </c>
      <c r="I4361">
        <v>3</v>
      </c>
      <c r="M4361" t="s">
        <v>4483</v>
      </c>
    </row>
    <row r="4362" spans="1:13" ht="15" customHeight="1">
      <c r="A4362" s="10">
        <v>46178</v>
      </c>
      <c r="B4362" t="s">
        <v>201</v>
      </c>
      <c r="C4362" t="s">
        <v>291</v>
      </c>
      <c r="D4362">
        <v>2</v>
      </c>
      <c r="E4362">
        <v>0</v>
      </c>
      <c r="I4362">
        <v>2</v>
      </c>
      <c r="M4362" t="s">
        <v>4484</v>
      </c>
    </row>
    <row r="4363" spans="1:13" ht="15" customHeight="1">
      <c r="A4363" s="10">
        <v>46178</v>
      </c>
      <c r="B4363" t="s">
        <v>201</v>
      </c>
      <c r="C4363" t="s">
        <v>293</v>
      </c>
      <c r="D4363">
        <v>2</v>
      </c>
      <c r="E4363">
        <v>0</v>
      </c>
      <c r="I4363">
        <v>2</v>
      </c>
      <c r="M4363" t="s">
        <v>4485</v>
      </c>
    </row>
    <row r="4364" spans="1:13" ht="15" customHeight="1">
      <c r="A4364" s="10">
        <v>46178</v>
      </c>
      <c r="B4364" t="s">
        <v>201</v>
      </c>
      <c r="C4364" s="135" t="s">
        <v>138</v>
      </c>
      <c r="D4364">
        <v>0</v>
      </c>
      <c r="E4364">
        <v>14</v>
      </c>
      <c r="I4364">
        <v>0</v>
      </c>
      <c r="J4364">
        <v>9</v>
      </c>
      <c r="M4364" t="s">
        <v>4486</v>
      </c>
    </row>
    <row r="4365" spans="1:13" ht="15" customHeight="1">
      <c r="A4365" s="10">
        <v>46178</v>
      </c>
      <c r="B4365" t="s">
        <v>201</v>
      </c>
      <c r="C4365" s="135" t="s">
        <v>139</v>
      </c>
      <c r="D4365">
        <v>0</v>
      </c>
      <c r="E4365">
        <v>31</v>
      </c>
      <c r="I4365">
        <v>0</v>
      </c>
      <c r="J4365">
        <v>31</v>
      </c>
      <c r="M4365" t="s">
        <v>4487</v>
      </c>
    </row>
    <row r="4366" spans="1:13" ht="15" customHeight="1">
      <c r="A4366" s="10">
        <v>46178</v>
      </c>
      <c r="B4366" t="s">
        <v>201</v>
      </c>
      <c r="C4366" s="135" t="s">
        <v>140</v>
      </c>
      <c r="D4366">
        <v>0</v>
      </c>
      <c r="E4366">
        <v>37</v>
      </c>
      <c r="I4366">
        <v>0</v>
      </c>
      <c r="J4366">
        <v>36</v>
      </c>
      <c r="M4366" t="s">
        <v>4488</v>
      </c>
    </row>
    <row r="4367" spans="1:13" ht="15" customHeight="1">
      <c r="A4367" s="10">
        <v>46178</v>
      </c>
      <c r="B4367" t="s">
        <v>201</v>
      </c>
      <c r="C4367" s="135" t="s">
        <v>141</v>
      </c>
      <c r="D4367">
        <v>1</v>
      </c>
      <c r="E4367">
        <v>58</v>
      </c>
      <c r="I4367">
        <v>0</v>
      </c>
      <c r="J4367">
        <v>1</v>
      </c>
      <c r="M4367" t="s">
        <v>4489</v>
      </c>
    </row>
    <row r="4368" spans="1:13" ht="15" customHeight="1">
      <c r="A4368" s="10">
        <v>46178</v>
      </c>
      <c r="B4368" t="s">
        <v>201</v>
      </c>
      <c r="C4368" s="135" t="s">
        <v>143</v>
      </c>
      <c r="D4368">
        <v>0</v>
      </c>
      <c r="E4368">
        <v>28</v>
      </c>
      <c r="I4368">
        <v>0</v>
      </c>
      <c r="J4368">
        <v>22</v>
      </c>
      <c r="M4368" t="s">
        <v>4490</v>
      </c>
    </row>
    <row r="4369" spans="1:13" ht="15" customHeight="1">
      <c r="A4369" s="10">
        <v>46178</v>
      </c>
      <c r="B4369" t="s">
        <v>201</v>
      </c>
      <c r="C4369" s="135" t="s">
        <v>145</v>
      </c>
      <c r="D4369">
        <v>0</v>
      </c>
      <c r="E4369">
        <v>34</v>
      </c>
      <c r="I4369">
        <v>0</v>
      </c>
      <c r="J4369">
        <v>30</v>
      </c>
      <c r="M4369" t="s">
        <v>4491</v>
      </c>
    </row>
    <row r="4370" spans="1:13" ht="15" customHeight="1">
      <c r="A4370" s="10">
        <v>46178</v>
      </c>
      <c r="B4370" t="s">
        <v>201</v>
      </c>
      <c r="C4370" s="135" t="s">
        <v>147</v>
      </c>
      <c r="D4370">
        <v>0</v>
      </c>
      <c r="E4370">
        <v>36</v>
      </c>
      <c r="I4370">
        <v>0</v>
      </c>
      <c r="J4370">
        <v>36</v>
      </c>
      <c r="M4370" t="s">
        <v>4492</v>
      </c>
    </row>
    <row r="4371" spans="1:13" ht="15" customHeight="1">
      <c r="A4371" s="10">
        <v>46178</v>
      </c>
      <c r="B4371" t="s">
        <v>201</v>
      </c>
      <c r="C4371" t="s">
        <v>302</v>
      </c>
      <c r="D4371">
        <v>2</v>
      </c>
      <c r="E4371">
        <v>2</v>
      </c>
      <c r="I4371">
        <v>2</v>
      </c>
      <c r="M4371" t="s">
        <v>4493</v>
      </c>
    </row>
    <row r="4372" spans="1:13" ht="15" customHeight="1">
      <c r="A4372" s="10">
        <v>46178</v>
      </c>
      <c r="B4372" t="s">
        <v>201</v>
      </c>
      <c r="C4372" t="s">
        <v>150</v>
      </c>
      <c r="D4372">
        <v>2</v>
      </c>
      <c r="E4372">
        <v>0</v>
      </c>
      <c r="I4372">
        <v>1</v>
      </c>
      <c r="M4372" t="s">
        <v>4494</v>
      </c>
    </row>
    <row r="4373" spans="1:13" ht="15" customHeight="1">
      <c r="A4373" s="10">
        <v>46178</v>
      </c>
      <c r="B4373" t="s">
        <v>201</v>
      </c>
      <c r="C4373" t="s">
        <v>151</v>
      </c>
      <c r="D4373">
        <v>2</v>
      </c>
      <c r="E4373">
        <v>0</v>
      </c>
      <c r="I4373">
        <v>0</v>
      </c>
      <c r="M4373" t="s">
        <v>4495</v>
      </c>
    </row>
    <row r="4374" spans="1:13" ht="15" customHeight="1">
      <c r="A4374" s="10">
        <v>46178</v>
      </c>
      <c r="B4374" t="s">
        <v>201</v>
      </c>
      <c r="C4374" t="s">
        <v>152</v>
      </c>
      <c r="D4374">
        <v>2</v>
      </c>
      <c r="E4374">
        <v>0</v>
      </c>
      <c r="I4374">
        <v>2</v>
      </c>
      <c r="M4374" t="s">
        <v>4496</v>
      </c>
    </row>
    <row r="4375" spans="1:13" ht="15" customHeight="1">
      <c r="A4375" s="10">
        <v>46178</v>
      </c>
      <c r="B4375" t="s">
        <v>201</v>
      </c>
      <c r="C4375" t="s">
        <v>153</v>
      </c>
      <c r="D4375">
        <v>2</v>
      </c>
      <c r="E4375">
        <v>0</v>
      </c>
      <c r="I4375">
        <v>2</v>
      </c>
      <c r="M4375" t="s">
        <v>4497</v>
      </c>
    </row>
    <row r="4376" spans="1:13" ht="15" customHeight="1">
      <c r="A4376" s="10">
        <v>46178</v>
      </c>
      <c r="B4376" t="s">
        <v>201</v>
      </c>
      <c r="C4376" t="s">
        <v>308</v>
      </c>
      <c r="D4376">
        <v>4</v>
      </c>
      <c r="E4376">
        <v>0</v>
      </c>
      <c r="I4376">
        <v>0</v>
      </c>
      <c r="J4376">
        <v>3</v>
      </c>
      <c r="M4376" t="s">
        <v>4498</v>
      </c>
    </row>
    <row r="4377" spans="1:13" ht="15" customHeight="1">
      <c r="A4377" s="10">
        <v>46178</v>
      </c>
      <c r="B4377" t="s">
        <v>201</v>
      </c>
      <c r="C4377" t="s">
        <v>310</v>
      </c>
      <c r="D4377">
        <v>2</v>
      </c>
      <c r="E4377">
        <v>0</v>
      </c>
      <c r="I4377">
        <v>0</v>
      </c>
      <c r="J4377">
        <v>2</v>
      </c>
      <c r="M4377" t="s">
        <v>4499</v>
      </c>
    </row>
    <row r="4378" spans="1:13" ht="15" customHeight="1">
      <c r="A4378" s="10">
        <v>46178</v>
      </c>
      <c r="B4378" t="s">
        <v>201</v>
      </c>
      <c r="C4378" t="s">
        <v>312</v>
      </c>
      <c r="D4378">
        <v>4</v>
      </c>
      <c r="E4378">
        <v>0</v>
      </c>
      <c r="I4378">
        <v>0</v>
      </c>
      <c r="J4378">
        <v>4</v>
      </c>
      <c r="M4378" t="s">
        <v>4500</v>
      </c>
    </row>
    <row r="4379" spans="1:13" ht="15" customHeight="1">
      <c r="A4379" s="10">
        <v>46178</v>
      </c>
      <c r="B4379" t="s">
        <v>201</v>
      </c>
      <c r="C4379" t="s">
        <v>314</v>
      </c>
      <c r="D4379">
        <v>1</v>
      </c>
      <c r="E4379">
        <v>0</v>
      </c>
      <c r="I4379">
        <v>1</v>
      </c>
      <c r="M4379" t="s">
        <v>4501</v>
      </c>
    </row>
    <row r="4380" spans="1:13" ht="15" customHeight="1">
      <c r="A4380" s="10">
        <v>46178</v>
      </c>
      <c r="B4380" t="s">
        <v>201</v>
      </c>
      <c r="C4380" t="s">
        <v>316</v>
      </c>
      <c r="D4380">
        <v>1</v>
      </c>
      <c r="E4380">
        <v>0</v>
      </c>
      <c r="I4380">
        <v>1</v>
      </c>
      <c r="M4380" t="s">
        <v>4502</v>
      </c>
    </row>
    <row r="4381" spans="1:13" ht="15" customHeight="1">
      <c r="A4381" s="10">
        <v>46178</v>
      </c>
      <c r="B4381" t="s">
        <v>201</v>
      </c>
      <c r="C4381" t="s">
        <v>318</v>
      </c>
      <c r="D4381">
        <v>2</v>
      </c>
      <c r="E4381">
        <v>0</v>
      </c>
      <c r="I4381">
        <v>1</v>
      </c>
      <c r="M4381" t="s">
        <v>4503</v>
      </c>
    </row>
    <row r="4382" spans="1:13" ht="15" customHeight="1">
      <c r="A4382" s="10">
        <v>46178</v>
      </c>
      <c r="B4382" t="s">
        <v>201</v>
      </c>
      <c r="C4382" t="s">
        <v>320</v>
      </c>
      <c r="D4382">
        <v>2</v>
      </c>
      <c r="E4382">
        <v>0</v>
      </c>
      <c r="I4382">
        <v>1</v>
      </c>
      <c r="M4382" t="s">
        <v>4504</v>
      </c>
    </row>
    <row r="4383" spans="1:13" ht="15" customHeight="1">
      <c r="A4383" s="10">
        <v>46178</v>
      </c>
      <c r="B4383" t="s">
        <v>201</v>
      </c>
      <c r="C4383" t="s">
        <v>322</v>
      </c>
      <c r="D4383">
        <v>2</v>
      </c>
      <c r="E4383">
        <v>0</v>
      </c>
      <c r="I4383">
        <v>2</v>
      </c>
      <c r="M4383" t="s">
        <v>4505</v>
      </c>
    </row>
    <row r="4384" spans="1:13" ht="15" customHeight="1">
      <c r="A4384" s="10">
        <v>46178</v>
      </c>
      <c r="B4384" t="s">
        <v>201</v>
      </c>
      <c r="C4384" s="135" t="s">
        <v>168</v>
      </c>
      <c r="D4384">
        <v>1</v>
      </c>
      <c r="E4384">
        <v>0</v>
      </c>
      <c r="I4384">
        <v>1</v>
      </c>
      <c r="M4384" t="s">
        <v>4506</v>
      </c>
    </row>
    <row r="4385" spans="1:13" ht="15" customHeight="1">
      <c r="A4385" s="10">
        <v>46178</v>
      </c>
      <c r="B4385" t="s">
        <v>201</v>
      </c>
      <c r="C4385" s="135" t="s">
        <v>170</v>
      </c>
      <c r="D4385">
        <v>1</v>
      </c>
      <c r="E4385">
        <v>0</v>
      </c>
      <c r="I4385">
        <v>1</v>
      </c>
      <c r="M4385" t="s">
        <v>4507</v>
      </c>
    </row>
    <row r="4386" spans="1:13" ht="15" customHeight="1">
      <c r="A4386" s="10">
        <v>46178</v>
      </c>
      <c r="B4386" t="s">
        <v>201</v>
      </c>
      <c r="C4386" s="135" t="s">
        <v>171</v>
      </c>
      <c r="D4386">
        <v>3</v>
      </c>
      <c r="E4386">
        <v>0</v>
      </c>
      <c r="I4386">
        <v>3</v>
      </c>
      <c r="M4386" t="s">
        <v>4508</v>
      </c>
    </row>
    <row r="4387" spans="1:13" ht="15" customHeight="1">
      <c r="A4387" s="10">
        <v>46178</v>
      </c>
      <c r="B4387" t="s">
        <v>201</v>
      </c>
      <c r="C4387" s="135" t="s">
        <v>172</v>
      </c>
      <c r="D4387">
        <v>1</v>
      </c>
      <c r="E4387">
        <v>0</v>
      </c>
      <c r="I4387">
        <v>1</v>
      </c>
      <c r="M4387" t="s">
        <v>4509</v>
      </c>
    </row>
    <row r="4388" spans="1:13" ht="15" customHeight="1">
      <c r="A4388" s="10">
        <v>46178</v>
      </c>
      <c r="B4388" t="s">
        <v>201</v>
      </c>
      <c r="C4388" s="135" t="s">
        <v>173</v>
      </c>
      <c r="D4388">
        <v>1</v>
      </c>
      <c r="E4388">
        <v>0</v>
      </c>
      <c r="I4388">
        <v>1</v>
      </c>
      <c r="M4388" t="s">
        <v>4510</v>
      </c>
    </row>
    <row r="4389" spans="1:13" ht="15" customHeight="1">
      <c r="A4389" s="10">
        <v>46178</v>
      </c>
      <c r="B4389" t="s">
        <v>201</v>
      </c>
      <c r="C4389" t="s">
        <v>176</v>
      </c>
      <c r="D4389">
        <v>22</v>
      </c>
      <c r="E4389">
        <v>22</v>
      </c>
      <c r="I4389">
        <v>0</v>
      </c>
      <c r="J4389">
        <v>22</v>
      </c>
      <c r="M4389" t="s">
        <v>4511</v>
      </c>
    </row>
    <row r="4390" spans="1:13" ht="15" customHeight="1">
      <c r="A4390" s="10">
        <v>46178</v>
      </c>
      <c r="B4390" t="s">
        <v>201</v>
      </c>
      <c r="C4390" t="s">
        <v>178</v>
      </c>
      <c r="D4390">
        <v>18</v>
      </c>
      <c r="E4390">
        <v>18</v>
      </c>
      <c r="I4390">
        <v>0</v>
      </c>
      <c r="J4390">
        <v>18</v>
      </c>
      <c r="M4390" t="s">
        <v>4512</v>
      </c>
    </row>
    <row r="4391" spans="1:13" ht="15" customHeight="1">
      <c r="A4391" s="10">
        <v>46178</v>
      </c>
      <c r="B4391" t="s">
        <v>201</v>
      </c>
      <c r="C4391" t="s">
        <v>179</v>
      </c>
      <c r="D4391">
        <v>20</v>
      </c>
      <c r="E4391">
        <v>20</v>
      </c>
      <c r="I4391">
        <v>0</v>
      </c>
      <c r="J4391">
        <v>20</v>
      </c>
      <c r="M4391" t="s">
        <v>4513</v>
      </c>
    </row>
    <row r="4392" spans="1:13" ht="15" customHeight="1">
      <c r="A4392" s="10">
        <v>46178</v>
      </c>
      <c r="B4392" t="s">
        <v>201</v>
      </c>
      <c r="C4392" t="s">
        <v>180</v>
      </c>
      <c r="D4392">
        <v>20</v>
      </c>
      <c r="E4392">
        <v>20</v>
      </c>
      <c r="H4392">
        <v>2</v>
      </c>
      <c r="I4392">
        <v>0</v>
      </c>
      <c r="J4392">
        <v>18</v>
      </c>
      <c r="M4392" t="s">
        <v>4514</v>
      </c>
    </row>
    <row r="4393" spans="1:13" ht="15" customHeight="1">
      <c r="A4393" s="10">
        <v>46178</v>
      </c>
      <c r="B4393" t="s">
        <v>201</v>
      </c>
      <c r="C4393" s="135" t="s">
        <v>182</v>
      </c>
      <c r="D4393">
        <v>1</v>
      </c>
      <c r="E4393">
        <v>158</v>
      </c>
      <c r="I4393">
        <v>1</v>
      </c>
      <c r="J4393">
        <v>158</v>
      </c>
      <c r="M4393" t="s">
        <v>4515</v>
      </c>
    </row>
    <row r="4394" spans="1:13" ht="15" customHeight="1">
      <c r="A4394" s="10">
        <v>46178</v>
      </c>
      <c r="B4394" t="s">
        <v>201</v>
      </c>
      <c r="C4394" s="135" t="s">
        <v>184</v>
      </c>
      <c r="D4394">
        <v>0</v>
      </c>
      <c r="E4394">
        <v>67</v>
      </c>
      <c r="I4394">
        <v>0</v>
      </c>
      <c r="J4394">
        <v>60</v>
      </c>
      <c r="M4394" t="s">
        <v>4516</v>
      </c>
    </row>
    <row r="4395" spans="1:13" ht="15" customHeight="1">
      <c r="A4395" s="10">
        <v>46178</v>
      </c>
      <c r="B4395" t="s">
        <v>201</v>
      </c>
      <c r="C4395" s="135" t="s">
        <v>185</v>
      </c>
      <c r="D4395">
        <v>1</v>
      </c>
      <c r="E4395">
        <v>44</v>
      </c>
      <c r="I4395">
        <v>1</v>
      </c>
      <c r="J4395">
        <v>44</v>
      </c>
      <c r="M4395" t="s">
        <v>4517</v>
      </c>
    </row>
    <row r="4396" spans="1:13" ht="15" customHeight="1">
      <c r="A4396" s="10">
        <v>46178</v>
      </c>
      <c r="B4396" t="s">
        <v>201</v>
      </c>
      <c r="C4396" s="135" t="s">
        <v>186</v>
      </c>
      <c r="D4396">
        <v>1</v>
      </c>
      <c r="E4396">
        <v>650</v>
      </c>
      <c r="I4396">
        <v>1</v>
      </c>
      <c r="J4396">
        <v>650</v>
      </c>
      <c r="M4396" t="s">
        <v>4518</v>
      </c>
    </row>
    <row r="4397" spans="1:13" ht="15" customHeight="1">
      <c r="A4397" s="10">
        <v>46178</v>
      </c>
      <c r="B4397" t="s">
        <v>201</v>
      </c>
      <c r="C4397" t="s">
        <v>337</v>
      </c>
      <c r="D4397">
        <v>2</v>
      </c>
      <c r="E4397">
        <v>66</v>
      </c>
      <c r="I4397">
        <v>1</v>
      </c>
      <c r="J4397">
        <v>355</v>
      </c>
      <c r="M4397" t="s">
        <v>4519</v>
      </c>
    </row>
    <row r="4398" spans="1:13" ht="15" customHeight="1">
      <c r="A4398" s="10">
        <v>46178</v>
      </c>
      <c r="B4398" t="s">
        <v>201</v>
      </c>
      <c r="C4398" t="s">
        <v>339</v>
      </c>
      <c r="D4398">
        <v>0</v>
      </c>
      <c r="E4398">
        <v>0</v>
      </c>
      <c r="I4398">
        <v>0</v>
      </c>
      <c r="J4398">
        <v>0</v>
      </c>
      <c r="M4398" t="s">
        <v>4520</v>
      </c>
    </row>
    <row r="4399" spans="1:13" ht="15" customHeight="1">
      <c r="A4399" s="10">
        <v>46178</v>
      </c>
      <c r="B4399" t="s">
        <v>201</v>
      </c>
      <c r="C4399" s="135" t="s">
        <v>191</v>
      </c>
      <c r="D4399">
        <v>1</v>
      </c>
      <c r="E4399">
        <v>316</v>
      </c>
      <c r="I4399">
        <v>1</v>
      </c>
      <c r="J4399">
        <v>315</v>
      </c>
      <c r="M4399" t="s">
        <v>4521</v>
      </c>
    </row>
    <row r="4400" spans="1:13" ht="15" customHeight="1">
      <c r="A4400" s="10">
        <v>46178</v>
      </c>
      <c r="B4400" t="s">
        <v>201</v>
      </c>
      <c r="C4400" s="135" t="s">
        <v>193</v>
      </c>
      <c r="D4400">
        <v>1</v>
      </c>
      <c r="E4400">
        <v>168</v>
      </c>
      <c r="I4400">
        <v>0</v>
      </c>
      <c r="J4400">
        <v>653</v>
      </c>
      <c r="M4400" t="s">
        <v>4522</v>
      </c>
    </row>
    <row r="4401" spans="1:13" ht="15" customHeight="1">
      <c r="A4401" s="10">
        <v>46178</v>
      </c>
      <c r="B4401" t="s">
        <v>201</v>
      </c>
      <c r="C4401" s="135" t="s">
        <v>194</v>
      </c>
      <c r="D4401">
        <v>1</v>
      </c>
      <c r="E4401">
        <v>9</v>
      </c>
      <c r="I4401">
        <v>1</v>
      </c>
      <c r="J4401">
        <v>16</v>
      </c>
      <c r="M4401" t="s">
        <v>4523</v>
      </c>
    </row>
    <row r="4402" spans="1:13" ht="15" customHeight="1">
      <c r="A4402" s="10">
        <v>46178</v>
      </c>
      <c r="B4402" t="s">
        <v>201</v>
      </c>
      <c r="C4402" s="135" t="s">
        <v>196</v>
      </c>
      <c r="D4402">
        <v>0</v>
      </c>
      <c r="E4402">
        <v>815</v>
      </c>
      <c r="I4402">
        <v>0</v>
      </c>
      <c r="J4402">
        <v>786</v>
      </c>
      <c r="M4402" t="s">
        <v>4524</v>
      </c>
    </row>
    <row r="4403" spans="1:13" ht="15" customHeight="1">
      <c r="A4403" s="10">
        <v>46178</v>
      </c>
      <c r="B4403" t="s">
        <v>201</v>
      </c>
      <c r="C4403" s="135" t="s">
        <v>199</v>
      </c>
      <c r="D4403">
        <v>0</v>
      </c>
      <c r="E4403">
        <v>223</v>
      </c>
      <c r="I4403">
        <v>0</v>
      </c>
      <c r="J4403">
        <v>175</v>
      </c>
      <c r="M4403" t="s">
        <v>4525</v>
      </c>
    </row>
    <row r="4404" spans="1:13" ht="15" customHeight="1">
      <c r="A4404" s="10">
        <v>46178</v>
      </c>
      <c r="B4404" t="s">
        <v>201</v>
      </c>
      <c r="C4404" s="135" t="s">
        <v>200</v>
      </c>
      <c r="D4404">
        <v>0</v>
      </c>
      <c r="E4404">
        <v>617</v>
      </c>
      <c r="I4404">
        <v>0</v>
      </c>
      <c r="J4404">
        <v>614</v>
      </c>
      <c r="M4404" t="s">
        <v>4526</v>
      </c>
    </row>
    <row r="4405" spans="1:13" ht="15" customHeight="1">
      <c r="A4405" s="10">
        <v>46178</v>
      </c>
      <c r="B4405" t="s">
        <v>201</v>
      </c>
      <c r="C4405" s="135" t="s">
        <v>202</v>
      </c>
      <c r="D4405">
        <v>0</v>
      </c>
      <c r="E4405">
        <v>463</v>
      </c>
      <c r="I4405">
        <v>0</v>
      </c>
      <c r="J4405">
        <v>442</v>
      </c>
      <c r="M4405" t="s">
        <v>4527</v>
      </c>
    </row>
    <row r="4406" spans="1:13" ht="15" customHeight="1">
      <c r="A4406" s="10">
        <v>46179</v>
      </c>
      <c r="B4406" t="s">
        <v>201</v>
      </c>
      <c r="C4406" t="s">
        <v>23</v>
      </c>
      <c r="D4406">
        <v>6</v>
      </c>
      <c r="E4406">
        <v>557</v>
      </c>
      <c r="F4406">
        <v>5</v>
      </c>
      <c r="I4406">
        <v>10</v>
      </c>
      <c r="J4406">
        <v>645</v>
      </c>
      <c r="M4406" t="s">
        <v>4528</v>
      </c>
    </row>
    <row r="4407" spans="1:13" ht="15" customHeight="1">
      <c r="A4407" s="10">
        <v>46179</v>
      </c>
      <c r="B4407" t="s">
        <v>201</v>
      </c>
      <c r="C4407" t="s">
        <v>26</v>
      </c>
      <c r="D4407">
        <v>0</v>
      </c>
      <c r="E4407">
        <v>418</v>
      </c>
      <c r="I4407">
        <v>0</v>
      </c>
      <c r="J4407">
        <v>402</v>
      </c>
      <c r="M4407" t="s">
        <v>4529</v>
      </c>
    </row>
    <row r="4408" spans="1:13" ht="15" customHeight="1">
      <c r="A4408" s="10">
        <v>46179</v>
      </c>
      <c r="B4408" t="s">
        <v>201</v>
      </c>
      <c r="C4408" t="s">
        <v>27</v>
      </c>
      <c r="D4408">
        <v>1</v>
      </c>
      <c r="E4408">
        <v>900</v>
      </c>
      <c r="I4408">
        <v>1</v>
      </c>
      <c r="J4408">
        <v>581</v>
      </c>
      <c r="M4408" t="s">
        <v>4530</v>
      </c>
    </row>
    <row r="4409" spans="1:13" ht="15" customHeight="1">
      <c r="A4409" s="10">
        <v>46179</v>
      </c>
      <c r="B4409" t="s">
        <v>201</v>
      </c>
      <c r="C4409" t="s">
        <v>28</v>
      </c>
      <c r="D4409">
        <v>0</v>
      </c>
      <c r="E4409">
        <v>438</v>
      </c>
      <c r="I4409">
        <v>0</v>
      </c>
      <c r="J4409">
        <v>420</v>
      </c>
      <c r="M4409" t="s">
        <v>4531</v>
      </c>
    </row>
    <row r="4410" spans="1:13" ht="15" customHeight="1">
      <c r="A4410" s="10">
        <v>46179</v>
      </c>
      <c r="B4410" t="s">
        <v>201</v>
      </c>
      <c r="C4410" t="s">
        <v>29</v>
      </c>
      <c r="D4410">
        <v>0</v>
      </c>
      <c r="E4410">
        <v>951</v>
      </c>
      <c r="I4410">
        <v>0</v>
      </c>
      <c r="J4410">
        <v>848</v>
      </c>
      <c r="M4410" t="s">
        <v>4532</v>
      </c>
    </row>
    <row r="4411" spans="1:13" ht="15" customHeight="1">
      <c r="A4411" s="10">
        <v>46179</v>
      </c>
      <c r="B4411" t="s">
        <v>201</v>
      </c>
      <c r="C4411" t="s">
        <v>30</v>
      </c>
      <c r="D4411">
        <v>1</v>
      </c>
      <c r="E4411">
        <v>251</v>
      </c>
      <c r="I4411">
        <v>1</v>
      </c>
      <c r="J4411">
        <v>216</v>
      </c>
      <c r="M4411" t="s">
        <v>4533</v>
      </c>
    </row>
    <row r="4412" spans="1:13" ht="15" customHeight="1">
      <c r="A4412" s="10">
        <v>46179</v>
      </c>
      <c r="B4412" t="s">
        <v>201</v>
      </c>
      <c r="C4412" t="s">
        <v>31</v>
      </c>
      <c r="D4412">
        <v>2</v>
      </c>
      <c r="E4412">
        <v>600</v>
      </c>
      <c r="I4412">
        <v>1</v>
      </c>
      <c r="J4412">
        <v>838</v>
      </c>
      <c r="M4412" t="s">
        <v>4534</v>
      </c>
    </row>
    <row r="4413" spans="1:13" ht="15" customHeight="1">
      <c r="A4413" s="10">
        <v>46179</v>
      </c>
      <c r="B4413" t="s">
        <v>201</v>
      </c>
      <c r="C4413" t="s">
        <v>32</v>
      </c>
      <c r="D4413">
        <v>0</v>
      </c>
      <c r="E4413">
        <v>783</v>
      </c>
      <c r="F4413">
        <v>2</v>
      </c>
      <c r="I4413">
        <v>2</v>
      </c>
      <c r="J4413">
        <v>220</v>
      </c>
      <c r="M4413" t="s">
        <v>4535</v>
      </c>
    </row>
    <row r="4414" spans="1:13" ht="15" customHeight="1">
      <c r="A4414" s="10">
        <v>46179</v>
      </c>
      <c r="B4414" t="s">
        <v>201</v>
      </c>
      <c r="C4414" t="s">
        <v>223</v>
      </c>
      <c r="D4414">
        <v>6</v>
      </c>
      <c r="E4414">
        <v>690</v>
      </c>
      <c r="F4414">
        <v>2</v>
      </c>
      <c r="I4414">
        <v>7</v>
      </c>
      <c r="J4414">
        <v>702</v>
      </c>
      <c r="M4414" t="s">
        <v>4536</v>
      </c>
    </row>
    <row r="4415" spans="1:13" ht="15" customHeight="1">
      <c r="A4415" s="10">
        <v>46179</v>
      </c>
      <c r="B4415" t="s">
        <v>201</v>
      </c>
      <c r="C4415" t="s">
        <v>35</v>
      </c>
      <c r="D4415">
        <v>1</v>
      </c>
      <c r="E4415">
        <v>0</v>
      </c>
      <c r="F4415">
        <v>12</v>
      </c>
      <c r="H4415">
        <v>1</v>
      </c>
      <c r="I4415">
        <v>12</v>
      </c>
      <c r="M4415" t="s">
        <v>4537</v>
      </c>
    </row>
    <row r="4416" spans="1:13" ht="15" customHeight="1">
      <c r="A4416" s="10">
        <v>46179</v>
      </c>
      <c r="B4416" t="s">
        <v>201</v>
      </c>
      <c r="C4416" t="s">
        <v>37</v>
      </c>
      <c r="D4416">
        <v>0</v>
      </c>
      <c r="E4416">
        <v>0</v>
      </c>
      <c r="F4416">
        <v>6</v>
      </c>
      <c r="H4416">
        <v>4</v>
      </c>
      <c r="I4416">
        <v>2</v>
      </c>
      <c r="M4416" t="s">
        <v>4538</v>
      </c>
    </row>
    <row r="4417" spans="1:13" ht="15" customHeight="1">
      <c r="A4417" s="10">
        <v>46179</v>
      </c>
      <c r="B4417" t="s">
        <v>201</v>
      </c>
      <c r="C4417" t="s">
        <v>39</v>
      </c>
      <c r="D4417">
        <v>17</v>
      </c>
      <c r="E4417">
        <v>0</v>
      </c>
      <c r="H4417">
        <v>2</v>
      </c>
      <c r="I4417">
        <v>15</v>
      </c>
      <c r="J4417">
        <v>0</v>
      </c>
      <c r="M4417" t="s">
        <v>4539</v>
      </c>
    </row>
    <row r="4418" spans="1:13" ht="15" customHeight="1">
      <c r="A4418" s="10">
        <v>46179</v>
      </c>
      <c r="B4418" t="s">
        <v>201</v>
      </c>
      <c r="C4418" t="s">
        <v>41</v>
      </c>
      <c r="D4418">
        <v>25</v>
      </c>
      <c r="E4418">
        <v>0</v>
      </c>
      <c r="I4418">
        <v>25</v>
      </c>
      <c r="J4418">
        <v>0</v>
      </c>
      <c r="M4418" t="s">
        <v>4540</v>
      </c>
    </row>
    <row r="4419" spans="1:13" ht="15" customHeight="1">
      <c r="A4419" s="10">
        <v>46179</v>
      </c>
      <c r="B4419" t="s">
        <v>201</v>
      </c>
      <c r="C4419" s="135" t="s">
        <v>44</v>
      </c>
      <c r="D4419">
        <v>4</v>
      </c>
      <c r="E4419">
        <v>9101</v>
      </c>
      <c r="F4419">
        <v>3</v>
      </c>
      <c r="G4419">
        <v>2400</v>
      </c>
      <c r="I4419">
        <v>6</v>
      </c>
      <c r="J4419">
        <v>9840</v>
      </c>
      <c r="M4419" t="s">
        <v>4541</v>
      </c>
    </row>
    <row r="4420" spans="1:13" ht="15" customHeight="1">
      <c r="A4420" s="10">
        <v>46179</v>
      </c>
      <c r="B4420" t="s">
        <v>201</v>
      </c>
      <c r="C4420" t="s">
        <v>230</v>
      </c>
      <c r="D4420">
        <v>1</v>
      </c>
      <c r="E4420">
        <v>318</v>
      </c>
      <c r="I4420">
        <v>1</v>
      </c>
      <c r="J4420">
        <v>287</v>
      </c>
      <c r="M4420" t="s">
        <v>4542</v>
      </c>
    </row>
    <row r="4421" spans="1:13" ht="15" customHeight="1">
      <c r="A4421" s="10">
        <v>46179</v>
      </c>
      <c r="B4421" t="s">
        <v>201</v>
      </c>
      <c r="C4421" t="s">
        <v>232</v>
      </c>
      <c r="D4421">
        <v>15</v>
      </c>
      <c r="E4421">
        <v>0</v>
      </c>
      <c r="I4421">
        <v>15</v>
      </c>
      <c r="J4421">
        <v>0</v>
      </c>
      <c r="M4421" t="s">
        <v>4543</v>
      </c>
    </row>
    <row r="4422" spans="1:13" ht="15" customHeight="1">
      <c r="A4422" s="10">
        <v>46179</v>
      </c>
      <c r="B4422" t="s">
        <v>201</v>
      </c>
      <c r="C4422" t="s">
        <v>234</v>
      </c>
      <c r="D4422">
        <v>55</v>
      </c>
      <c r="E4422">
        <v>0</v>
      </c>
      <c r="F4422">
        <v>50</v>
      </c>
      <c r="H4422">
        <v>12</v>
      </c>
      <c r="I4422">
        <v>93</v>
      </c>
      <c r="J4422">
        <v>0</v>
      </c>
      <c r="M4422" t="s">
        <v>4544</v>
      </c>
    </row>
    <row r="4423" spans="1:13" ht="15" customHeight="1">
      <c r="A4423" s="10">
        <v>46179</v>
      </c>
      <c r="B4423" t="s">
        <v>201</v>
      </c>
      <c r="C4423" t="s">
        <v>237</v>
      </c>
      <c r="D4423">
        <v>10</v>
      </c>
      <c r="E4423">
        <v>0</v>
      </c>
      <c r="I4423">
        <v>1</v>
      </c>
      <c r="J4423">
        <v>0</v>
      </c>
      <c r="M4423" t="s">
        <v>4545</v>
      </c>
    </row>
    <row r="4424" spans="1:13" ht="15" customHeight="1">
      <c r="A4424" s="10">
        <v>46179</v>
      </c>
      <c r="B4424" t="s">
        <v>201</v>
      </c>
      <c r="C4424" s="135" t="s">
        <v>58</v>
      </c>
      <c r="D4424">
        <v>0</v>
      </c>
      <c r="E4424">
        <v>0</v>
      </c>
      <c r="F4424">
        <v>20</v>
      </c>
      <c r="H4424">
        <v>2</v>
      </c>
      <c r="I4424">
        <v>18</v>
      </c>
      <c r="J4424">
        <v>0</v>
      </c>
      <c r="M4424" t="s">
        <v>4546</v>
      </c>
    </row>
    <row r="4425" spans="1:13" ht="15" customHeight="1">
      <c r="A4425" s="10">
        <v>46179</v>
      </c>
      <c r="B4425" t="s">
        <v>201</v>
      </c>
      <c r="C4425" s="135" t="s">
        <v>60</v>
      </c>
      <c r="D4425">
        <v>0</v>
      </c>
      <c r="E4425">
        <v>0</v>
      </c>
      <c r="F4425">
        <v>19</v>
      </c>
      <c r="H4425">
        <v>3</v>
      </c>
      <c r="I4425">
        <v>16</v>
      </c>
      <c r="J4425">
        <v>0</v>
      </c>
      <c r="M4425" t="s">
        <v>4547</v>
      </c>
    </row>
    <row r="4426" spans="1:13" ht="15" customHeight="1">
      <c r="A4426" s="10">
        <v>46179</v>
      </c>
      <c r="B4426" t="s">
        <v>201</v>
      </c>
      <c r="C4426" s="135" t="s">
        <v>61</v>
      </c>
      <c r="D4426">
        <v>0</v>
      </c>
      <c r="E4426">
        <v>0</v>
      </c>
      <c r="F4426">
        <v>20</v>
      </c>
      <c r="H4426">
        <v>2</v>
      </c>
      <c r="I4426">
        <v>18</v>
      </c>
      <c r="J4426">
        <v>0</v>
      </c>
      <c r="M4426" t="s">
        <v>4548</v>
      </c>
    </row>
    <row r="4427" spans="1:13" ht="15" customHeight="1">
      <c r="A4427" s="10">
        <v>46179</v>
      </c>
      <c r="B4427" t="s">
        <v>201</v>
      </c>
      <c r="C4427" s="135" t="s">
        <v>62</v>
      </c>
      <c r="D4427">
        <v>0</v>
      </c>
      <c r="E4427">
        <v>0</v>
      </c>
      <c r="F4427">
        <v>20</v>
      </c>
      <c r="H4427">
        <v>1</v>
      </c>
      <c r="I4427">
        <v>19</v>
      </c>
      <c r="J4427">
        <v>0</v>
      </c>
      <c r="M4427" t="s">
        <v>4549</v>
      </c>
    </row>
    <row r="4428" spans="1:13" ht="15" customHeight="1">
      <c r="A4428" s="10">
        <v>46179</v>
      </c>
      <c r="B4428" t="s">
        <v>201</v>
      </c>
      <c r="C4428" s="135" t="s">
        <v>63</v>
      </c>
      <c r="D4428">
        <v>1</v>
      </c>
      <c r="E4428">
        <v>0</v>
      </c>
      <c r="F4428">
        <v>20</v>
      </c>
      <c r="H4428">
        <v>3</v>
      </c>
      <c r="I4428">
        <v>18</v>
      </c>
      <c r="J4428">
        <v>0</v>
      </c>
      <c r="M4428" t="s">
        <v>4550</v>
      </c>
    </row>
    <row r="4429" spans="1:13" ht="15" customHeight="1">
      <c r="A4429" s="10">
        <v>46179</v>
      </c>
      <c r="B4429" t="s">
        <v>201</v>
      </c>
      <c r="C4429" s="135" t="s">
        <v>64</v>
      </c>
      <c r="D4429">
        <v>8</v>
      </c>
      <c r="E4429">
        <v>0</v>
      </c>
      <c r="F4429">
        <v>10</v>
      </c>
      <c r="H4429">
        <v>1</v>
      </c>
      <c r="I4429">
        <v>17</v>
      </c>
      <c r="J4429">
        <v>0</v>
      </c>
      <c r="M4429" t="s">
        <v>4551</v>
      </c>
    </row>
    <row r="4430" spans="1:13" ht="15" customHeight="1">
      <c r="A4430" s="10">
        <v>46179</v>
      </c>
      <c r="B4430" t="s">
        <v>201</v>
      </c>
      <c r="C4430" t="s">
        <v>66</v>
      </c>
      <c r="D4430">
        <v>4</v>
      </c>
      <c r="E4430">
        <v>0</v>
      </c>
      <c r="I4430">
        <v>4</v>
      </c>
      <c r="J4430">
        <v>0</v>
      </c>
      <c r="M4430" t="s">
        <v>4552</v>
      </c>
    </row>
    <row r="4431" spans="1:13" ht="15" customHeight="1">
      <c r="A4431" s="10">
        <v>46179</v>
      </c>
      <c r="B4431" t="s">
        <v>201</v>
      </c>
      <c r="C4431" t="s">
        <v>67</v>
      </c>
      <c r="D4431">
        <v>7</v>
      </c>
      <c r="E4431">
        <v>0</v>
      </c>
      <c r="I4431">
        <v>7</v>
      </c>
      <c r="J4431">
        <v>0</v>
      </c>
      <c r="M4431" t="s">
        <v>4553</v>
      </c>
    </row>
    <row r="4432" spans="1:13" ht="15" customHeight="1">
      <c r="A4432" s="10">
        <v>46179</v>
      </c>
      <c r="B4432" t="s">
        <v>201</v>
      </c>
      <c r="C4432" t="s">
        <v>68</v>
      </c>
      <c r="D4432">
        <v>0</v>
      </c>
      <c r="E4432">
        <v>0</v>
      </c>
      <c r="I4432">
        <v>0</v>
      </c>
      <c r="J4432">
        <v>0</v>
      </c>
      <c r="M4432" t="s">
        <v>4554</v>
      </c>
    </row>
    <row r="4433" spans="1:13" ht="15" customHeight="1">
      <c r="A4433" s="10">
        <v>46179</v>
      </c>
      <c r="B4433" t="s">
        <v>201</v>
      </c>
      <c r="C4433" t="s">
        <v>71</v>
      </c>
      <c r="D4433">
        <v>1</v>
      </c>
      <c r="E4433">
        <v>620</v>
      </c>
      <c r="F4433">
        <v>1</v>
      </c>
      <c r="I4433">
        <v>2</v>
      </c>
      <c r="J4433">
        <v>573</v>
      </c>
      <c r="M4433" t="s">
        <v>4555</v>
      </c>
    </row>
    <row r="4434" spans="1:13" ht="15" customHeight="1">
      <c r="A4434" s="10">
        <v>46179</v>
      </c>
      <c r="B4434" t="s">
        <v>201</v>
      </c>
      <c r="C4434" t="s">
        <v>73</v>
      </c>
      <c r="D4434">
        <v>1</v>
      </c>
      <c r="E4434">
        <v>669</v>
      </c>
      <c r="F4434">
        <v>1</v>
      </c>
      <c r="I4434">
        <v>2</v>
      </c>
      <c r="J4434">
        <v>646</v>
      </c>
      <c r="M4434" t="s">
        <v>4556</v>
      </c>
    </row>
    <row r="4435" spans="1:13" ht="15" customHeight="1">
      <c r="A4435" s="10">
        <v>46179</v>
      </c>
      <c r="B4435" t="s">
        <v>201</v>
      </c>
      <c r="C4435" t="s">
        <v>75</v>
      </c>
      <c r="D4435">
        <v>0</v>
      </c>
      <c r="E4435">
        <v>275</v>
      </c>
      <c r="I4435">
        <v>0</v>
      </c>
      <c r="J4435">
        <v>247</v>
      </c>
      <c r="M4435" t="s">
        <v>4557</v>
      </c>
    </row>
    <row r="4436" spans="1:13" ht="15" customHeight="1">
      <c r="A4436" s="10">
        <v>46179</v>
      </c>
      <c r="B4436" t="s">
        <v>201</v>
      </c>
      <c r="C4436" t="s">
        <v>77</v>
      </c>
      <c r="D4436">
        <v>0</v>
      </c>
      <c r="E4436">
        <v>566</v>
      </c>
      <c r="I4436">
        <v>0</v>
      </c>
      <c r="J4436">
        <v>546</v>
      </c>
      <c r="M4436" t="s">
        <v>4558</v>
      </c>
    </row>
    <row r="4437" spans="1:13" ht="15" customHeight="1">
      <c r="A4437" s="10">
        <v>46179</v>
      </c>
      <c r="B4437" t="s">
        <v>201</v>
      </c>
      <c r="C4437" t="s">
        <v>79</v>
      </c>
      <c r="D4437">
        <v>1</v>
      </c>
      <c r="E4437">
        <v>994</v>
      </c>
      <c r="I4437">
        <v>1</v>
      </c>
      <c r="J4437">
        <v>418</v>
      </c>
      <c r="M4437" t="s">
        <v>4559</v>
      </c>
    </row>
    <row r="4438" spans="1:13" ht="15" customHeight="1">
      <c r="A4438" s="10">
        <v>46179</v>
      </c>
      <c r="B4438" t="s">
        <v>201</v>
      </c>
      <c r="C4438" t="s">
        <v>81</v>
      </c>
      <c r="D4438">
        <v>1</v>
      </c>
      <c r="E4438">
        <v>549</v>
      </c>
      <c r="I4438">
        <v>1</v>
      </c>
      <c r="J4438">
        <v>500</v>
      </c>
      <c r="M4438" t="s">
        <v>4560</v>
      </c>
    </row>
    <row r="4439" spans="1:13" ht="15" customHeight="1">
      <c r="A4439" s="10">
        <v>46179</v>
      </c>
      <c r="B4439" t="s">
        <v>201</v>
      </c>
      <c r="C4439" t="s">
        <v>83</v>
      </c>
      <c r="D4439">
        <v>1</v>
      </c>
      <c r="E4439">
        <v>114</v>
      </c>
      <c r="I4439">
        <v>1</v>
      </c>
      <c r="J4439">
        <v>84</v>
      </c>
      <c r="M4439" t="s">
        <v>4561</v>
      </c>
    </row>
    <row r="4440" spans="1:13" ht="15" customHeight="1">
      <c r="A4440" s="10">
        <v>46179</v>
      </c>
      <c r="B4440" t="s">
        <v>201</v>
      </c>
      <c r="C4440" t="s">
        <v>84</v>
      </c>
      <c r="D4440">
        <v>1</v>
      </c>
      <c r="E4440">
        <v>395</v>
      </c>
      <c r="I4440">
        <v>1</v>
      </c>
      <c r="J4440">
        <v>363</v>
      </c>
      <c r="M4440" t="s">
        <v>4562</v>
      </c>
    </row>
    <row r="4441" spans="1:13" ht="15" customHeight="1">
      <c r="A4441" s="10">
        <v>46179</v>
      </c>
      <c r="B4441" t="s">
        <v>201</v>
      </c>
      <c r="C4441" t="s">
        <v>85</v>
      </c>
      <c r="D4441">
        <v>0</v>
      </c>
      <c r="E4441">
        <v>214</v>
      </c>
      <c r="I4441">
        <v>0</v>
      </c>
      <c r="J4441">
        <v>214</v>
      </c>
      <c r="M4441" t="s">
        <v>4563</v>
      </c>
    </row>
    <row r="4442" spans="1:13" ht="15" customHeight="1">
      <c r="A4442" s="10">
        <v>46179</v>
      </c>
      <c r="B4442" t="s">
        <v>201</v>
      </c>
      <c r="C4442" t="s">
        <v>87</v>
      </c>
      <c r="D4442">
        <v>1</v>
      </c>
      <c r="E4442">
        <v>412</v>
      </c>
      <c r="I4442">
        <v>1</v>
      </c>
      <c r="J4442">
        <v>410</v>
      </c>
      <c r="M4442" t="s">
        <v>4564</v>
      </c>
    </row>
    <row r="4443" spans="1:13" ht="15" customHeight="1">
      <c r="A4443" s="10">
        <v>46179</v>
      </c>
      <c r="B4443" t="s">
        <v>201</v>
      </c>
      <c r="C4443" t="s">
        <v>88</v>
      </c>
      <c r="D4443">
        <v>1</v>
      </c>
      <c r="E4443">
        <v>324</v>
      </c>
      <c r="I4443">
        <v>1</v>
      </c>
      <c r="J4443">
        <v>323</v>
      </c>
      <c r="M4443" t="s">
        <v>4565</v>
      </c>
    </row>
    <row r="4444" spans="1:13" ht="15" customHeight="1">
      <c r="A4444" s="10">
        <v>46179</v>
      </c>
      <c r="B4444" t="s">
        <v>201</v>
      </c>
      <c r="C4444" t="s">
        <v>89</v>
      </c>
      <c r="D4444">
        <v>1</v>
      </c>
      <c r="E4444">
        <v>335</v>
      </c>
      <c r="I4444">
        <v>1</v>
      </c>
      <c r="J4444">
        <v>335</v>
      </c>
      <c r="M4444" t="s">
        <v>4566</v>
      </c>
    </row>
    <row r="4445" spans="1:13" ht="15" customHeight="1">
      <c r="A4445" s="10">
        <v>46179</v>
      </c>
      <c r="B4445" t="s">
        <v>201</v>
      </c>
      <c r="C4445" t="s">
        <v>90</v>
      </c>
      <c r="D4445">
        <v>1</v>
      </c>
      <c r="E4445">
        <v>357</v>
      </c>
      <c r="I4445">
        <v>1</v>
      </c>
      <c r="J4445">
        <v>324</v>
      </c>
      <c r="M4445" t="s">
        <v>4567</v>
      </c>
    </row>
    <row r="4446" spans="1:13" ht="15" customHeight="1">
      <c r="A4446" s="10">
        <v>46179</v>
      </c>
      <c r="B4446" t="s">
        <v>201</v>
      </c>
      <c r="C4446" t="s">
        <v>92</v>
      </c>
      <c r="D4446">
        <v>1</v>
      </c>
      <c r="E4446">
        <v>710</v>
      </c>
      <c r="I4446">
        <v>1</v>
      </c>
      <c r="J4446">
        <v>610</v>
      </c>
      <c r="M4446" t="s">
        <v>4568</v>
      </c>
    </row>
    <row r="4447" spans="1:13" ht="15" customHeight="1">
      <c r="A4447" s="10">
        <v>46179</v>
      </c>
      <c r="B4447" t="s">
        <v>201</v>
      </c>
      <c r="C4447" t="s">
        <v>94</v>
      </c>
      <c r="D4447">
        <v>1</v>
      </c>
      <c r="E4447">
        <v>355</v>
      </c>
      <c r="F4447">
        <v>4</v>
      </c>
      <c r="I4447">
        <v>4</v>
      </c>
      <c r="J4447">
        <v>316</v>
      </c>
      <c r="M4447" t="s">
        <v>4569</v>
      </c>
    </row>
    <row r="4448" spans="1:13" ht="15" customHeight="1">
      <c r="A4448" s="10">
        <v>46179</v>
      </c>
      <c r="B4448" t="s">
        <v>201</v>
      </c>
      <c r="C4448" t="s">
        <v>96</v>
      </c>
      <c r="D4448">
        <v>0</v>
      </c>
      <c r="E4448">
        <v>0</v>
      </c>
      <c r="I4448">
        <v>0</v>
      </c>
      <c r="J4448">
        <v>0</v>
      </c>
      <c r="M4448" t="s">
        <v>4570</v>
      </c>
    </row>
    <row r="4449" spans="1:13" ht="15" customHeight="1">
      <c r="A4449" s="10">
        <v>46179</v>
      </c>
      <c r="B4449" t="s">
        <v>201</v>
      </c>
      <c r="C4449" t="s">
        <v>98</v>
      </c>
      <c r="D4449">
        <v>6</v>
      </c>
      <c r="E4449">
        <v>479</v>
      </c>
      <c r="I4449">
        <v>0</v>
      </c>
      <c r="J4449">
        <v>308</v>
      </c>
      <c r="M4449" t="s">
        <v>4571</v>
      </c>
    </row>
    <row r="4450" spans="1:13" ht="15" customHeight="1">
      <c r="A4450" s="10">
        <v>46179</v>
      </c>
      <c r="B4450" t="s">
        <v>201</v>
      </c>
      <c r="C4450" t="s">
        <v>203</v>
      </c>
      <c r="D4450">
        <v>1</v>
      </c>
      <c r="E4450">
        <v>0</v>
      </c>
      <c r="F4450">
        <v>3</v>
      </c>
      <c r="I4450">
        <v>4</v>
      </c>
      <c r="J4450">
        <v>0</v>
      </c>
      <c r="M4450" t="s">
        <v>4572</v>
      </c>
    </row>
    <row r="4451" spans="1:13" ht="15" customHeight="1">
      <c r="A4451" s="10">
        <v>46179</v>
      </c>
      <c r="B4451" t="s">
        <v>201</v>
      </c>
      <c r="C4451" t="s">
        <v>100</v>
      </c>
      <c r="D4451">
        <v>0</v>
      </c>
      <c r="E4451">
        <v>0</v>
      </c>
      <c r="I4451">
        <v>0</v>
      </c>
      <c r="J4451">
        <v>0</v>
      </c>
      <c r="M4451" t="s">
        <v>4573</v>
      </c>
    </row>
    <row r="4452" spans="1:13" ht="15" customHeight="1">
      <c r="A4452" s="10">
        <v>46179</v>
      </c>
      <c r="B4452" t="s">
        <v>201</v>
      </c>
      <c r="C4452" t="s">
        <v>101</v>
      </c>
      <c r="D4452">
        <v>1</v>
      </c>
      <c r="E4452">
        <v>276</v>
      </c>
      <c r="I4452">
        <v>1</v>
      </c>
      <c r="J4452">
        <v>188</v>
      </c>
      <c r="M4452" t="s">
        <v>4574</v>
      </c>
    </row>
    <row r="4453" spans="1:13" ht="15" customHeight="1">
      <c r="A4453" s="10">
        <v>46179</v>
      </c>
      <c r="B4453" t="s">
        <v>201</v>
      </c>
      <c r="C4453" t="s">
        <v>103</v>
      </c>
      <c r="D4453">
        <v>9</v>
      </c>
      <c r="E4453">
        <v>8</v>
      </c>
      <c r="I4453">
        <v>0</v>
      </c>
      <c r="J4453">
        <v>5</v>
      </c>
      <c r="M4453" t="s">
        <v>4575</v>
      </c>
    </row>
    <row r="4454" spans="1:13" ht="15" customHeight="1">
      <c r="A4454" s="10">
        <v>46179</v>
      </c>
      <c r="B4454" t="s">
        <v>201</v>
      </c>
      <c r="C4454" t="s">
        <v>106</v>
      </c>
      <c r="D4454">
        <v>1</v>
      </c>
      <c r="E4454">
        <v>762</v>
      </c>
      <c r="I4454">
        <v>1</v>
      </c>
      <c r="J4454">
        <v>596</v>
      </c>
      <c r="M4454" t="s">
        <v>4576</v>
      </c>
    </row>
    <row r="4455" spans="1:13" ht="15" customHeight="1">
      <c r="A4455" s="10">
        <v>46179</v>
      </c>
      <c r="B4455" t="s">
        <v>201</v>
      </c>
      <c r="C4455" t="s">
        <v>108</v>
      </c>
      <c r="D4455">
        <v>1</v>
      </c>
      <c r="E4455">
        <v>913</v>
      </c>
      <c r="I4455">
        <v>1</v>
      </c>
      <c r="J4455">
        <v>861</v>
      </c>
      <c r="M4455" t="s">
        <v>4577</v>
      </c>
    </row>
    <row r="4456" spans="1:13" ht="15" customHeight="1">
      <c r="A4456" s="10">
        <v>46179</v>
      </c>
      <c r="B4456" t="s">
        <v>201</v>
      </c>
      <c r="C4456" t="s">
        <v>109</v>
      </c>
      <c r="D4456">
        <v>1</v>
      </c>
      <c r="E4456">
        <v>733</v>
      </c>
      <c r="I4456">
        <v>1</v>
      </c>
      <c r="J4456">
        <v>696</v>
      </c>
      <c r="M4456" t="s">
        <v>4578</v>
      </c>
    </row>
    <row r="4457" spans="1:13" ht="15" customHeight="1">
      <c r="A4457" s="10">
        <v>46179</v>
      </c>
      <c r="B4457" t="s">
        <v>201</v>
      </c>
      <c r="C4457" t="s">
        <v>112</v>
      </c>
      <c r="D4457">
        <v>2</v>
      </c>
      <c r="E4457">
        <v>15</v>
      </c>
      <c r="I4457">
        <v>2</v>
      </c>
      <c r="J4457">
        <v>11</v>
      </c>
      <c r="M4457" t="s">
        <v>4579</v>
      </c>
    </row>
    <row r="4458" spans="1:13" ht="15" customHeight="1">
      <c r="A4458" s="10">
        <v>46179</v>
      </c>
      <c r="B4458" t="s">
        <v>201</v>
      </c>
      <c r="C4458" t="s">
        <v>114</v>
      </c>
      <c r="D4458">
        <v>2</v>
      </c>
      <c r="E4458">
        <v>14</v>
      </c>
      <c r="F4458">
        <v>2</v>
      </c>
      <c r="I4458">
        <v>3</v>
      </c>
      <c r="J4458">
        <v>31</v>
      </c>
      <c r="M4458" t="s">
        <v>4580</v>
      </c>
    </row>
    <row r="4459" spans="1:13" ht="15" customHeight="1">
      <c r="A4459" s="10">
        <v>46179</v>
      </c>
      <c r="B4459" t="s">
        <v>201</v>
      </c>
      <c r="C4459" t="s">
        <v>115</v>
      </c>
      <c r="D4459">
        <v>0</v>
      </c>
      <c r="E4459">
        <v>47</v>
      </c>
      <c r="F4459">
        <v>1</v>
      </c>
      <c r="I4459">
        <v>1</v>
      </c>
      <c r="J4459">
        <v>46</v>
      </c>
      <c r="M4459" t="s">
        <v>4581</v>
      </c>
    </row>
    <row r="4460" spans="1:13" ht="15" customHeight="1">
      <c r="A4460" s="10">
        <v>46179</v>
      </c>
      <c r="B4460" t="s">
        <v>201</v>
      </c>
      <c r="C4460" t="s">
        <v>116</v>
      </c>
      <c r="D4460">
        <v>2</v>
      </c>
      <c r="E4460">
        <v>47</v>
      </c>
      <c r="I4460">
        <v>2</v>
      </c>
      <c r="J4460">
        <v>34</v>
      </c>
      <c r="M4460" t="s">
        <v>4582</v>
      </c>
    </row>
    <row r="4461" spans="1:13" ht="15" customHeight="1">
      <c r="A4461" s="10">
        <v>46179</v>
      </c>
      <c r="B4461" t="s">
        <v>201</v>
      </c>
      <c r="C4461" t="s">
        <v>119</v>
      </c>
      <c r="D4461">
        <v>2</v>
      </c>
      <c r="E4461">
        <v>0</v>
      </c>
      <c r="I4461">
        <v>2</v>
      </c>
      <c r="M4461" t="s">
        <v>4583</v>
      </c>
    </row>
    <row r="4462" spans="1:13" ht="15" customHeight="1">
      <c r="A4462" s="10">
        <v>46179</v>
      </c>
      <c r="B4462" t="s">
        <v>201</v>
      </c>
      <c r="C4462" t="s">
        <v>120</v>
      </c>
      <c r="D4462">
        <v>1</v>
      </c>
      <c r="E4462">
        <v>0</v>
      </c>
      <c r="I4462">
        <v>1</v>
      </c>
      <c r="M4462" t="s">
        <v>4584</v>
      </c>
    </row>
    <row r="4463" spans="1:13" ht="15" customHeight="1">
      <c r="A4463" s="10">
        <v>46179</v>
      </c>
      <c r="B4463" t="s">
        <v>201</v>
      </c>
      <c r="C4463" t="s">
        <v>121</v>
      </c>
      <c r="D4463">
        <v>1</v>
      </c>
      <c r="E4463">
        <v>0</v>
      </c>
      <c r="I4463">
        <v>1</v>
      </c>
      <c r="M4463" t="s">
        <v>4585</v>
      </c>
    </row>
    <row r="4464" spans="1:13" ht="15" customHeight="1">
      <c r="A4464" s="10">
        <v>46179</v>
      </c>
      <c r="B4464" t="s">
        <v>201</v>
      </c>
      <c r="C4464" t="s">
        <v>123</v>
      </c>
      <c r="D4464">
        <v>2</v>
      </c>
      <c r="E4464">
        <v>0</v>
      </c>
      <c r="I4464">
        <v>1</v>
      </c>
      <c r="M4464" t="s">
        <v>4586</v>
      </c>
    </row>
    <row r="4465" spans="1:13" ht="15" customHeight="1">
      <c r="A4465" s="10">
        <v>46179</v>
      </c>
      <c r="B4465" t="s">
        <v>201</v>
      </c>
      <c r="C4465" t="s">
        <v>124</v>
      </c>
      <c r="D4465">
        <v>2</v>
      </c>
      <c r="E4465">
        <v>0</v>
      </c>
      <c r="I4465">
        <v>2</v>
      </c>
      <c r="M4465" t="s">
        <v>4587</v>
      </c>
    </row>
    <row r="4466" spans="1:13" ht="15" customHeight="1">
      <c r="A4466" s="10">
        <v>46179</v>
      </c>
      <c r="B4466" t="s">
        <v>201</v>
      </c>
      <c r="C4466" t="s">
        <v>125</v>
      </c>
      <c r="D4466">
        <v>2</v>
      </c>
      <c r="E4466">
        <v>0</v>
      </c>
      <c r="I4466">
        <v>2</v>
      </c>
      <c r="M4466" t="s">
        <v>4588</v>
      </c>
    </row>
    <row r="4467" spans="1:13" ht="15" customHeight="1">
      <c r="A4467" s="10">
        <v>46179</v>
      </c>
      <c r="B4467" t="s">
        <v>201</v>
      </c>
      <c r="C4467" t="s">
        <v>126</v>
      </c>
      <c r="D4467">
        <v>1</v>
      </c>
      <c r="E4467">
        <v>0</v>
      </c>
      <c r="F4467">
        <v>1</v>
      </c>
      <c r="I4467">
        <v>2</v>
      </c>
      <c r="M4467" t="s">
        <v>4589</v>
      </c>
    </row>
    <row r="4468" spans="1:13" ht="15" customHeight="1">
      <c r="A4468" s="10">
        <v>46179</v>
      </c>
      <c r="B4468" t="s">
        <v>201</v>
      </c>
      <c r="C4468" t="s">
        <v>128</v>
      </c>
      <c r="D4468">
        <v>3</v>
      </c>
      <c r="E4468">
        <v>0</v>
      </c>
      <c r="I4468">
        <v>3</v>
      </c>
      <c r="M4468" t="s">
        <v>4590</v>
      </c>
    </row>
    <row r="4469" spans="1:13" ht="15" customHeight="1">
      <c r="A4469" s="10">
        <v>46179</v>
      </c>
      <c r="B4469" t="s">
        <v>201</v>
      </c>
      <c r="C4469" t="s">
        <v>130</v>
      </c>
      <c r="D4469">
        <v>6</v>
      </c>
      <c r="E4469">
        <v>0</v>
      </c>
      <c r="I4469">
        <v>6</v>
      </c>
      <c r="M4469" t="s">
        <v>4591</v>
      </c>
    </row>
    <row r="4470" spans="1:13" ht="15" customHeight="1">
      <c r="A4470" s="10">
        <v>46179</v>
      </c>
      <c r="B4470" t="s">
        <v>201</v>
      </c>
      <c r="C4470" t="s">
        <v>285</v>
      </c>
      <c r="D4470">
        <v>2</v>
      </c>
      <c r="E4470">
        <v>0</v>
      </c>
      <c r="I4470">
        <v>2</v>
      </c>
      <c r="M4470" t="s">
        <v>4592</v>
      </c>
    </row>
    <row r="4471" spans="1:13" ht="15" customHeight="1">
      <c r="A4471" s="10">
        <v>46179</v>
      </c>
      <c r="B4471" t="s">
        <v>201</v>
      </c>
      <c r="C4471" t="s">
        <v>287</v>
      </c>
      <c r="D4471">
        <v>2</v>
      </c>
      <c r="E4471">
        <v>0</v>
      </c>
      <c r="I4471">
        <v>2</v>
      </c>
      <c r="M4471" t="s">
        <v>4593</v>
      </c>
    </row>
    <row r="4472" spans="1:13" ht="15" customHeight="1">
      <c r="A4472" s="10">
        <v>46179</v>
      </c>
      <c r="B4472" t="s">
        <v>201</v>
      </c>
      <c r="C4472" t="s">
        <v>289</v>
      </c>
      <c r="D4472">
        <v>3</v>
      </c>
      <c r="E4472">
        <v>0</v>
      </c>
      <c r="I4472">
        <v>3</v>
      </c>
      <c r="M4472" t="s">
        <v>4594</v>
      </c>
    </row>
    <row r="4473" spans="1:13" ht="15" customHeight="1">
      <c r="A4473" s="10">
        <v>46179</v>
      </c>
      <c r="B4473" t="s">
        <v>201</v>
      </c>
      <c r="C4473" t="s">
        <v>291</v>
      </c>
      <c r="D4473">
        <v>2</v>
      </c>
      <c r="E4473">
        <v>0</v>
      </c>
      <c r="I4473">
        <v>2</v>
      </c>
      <c r="M4473" t="s">
        <v>4595</v>
      </c>
    </row>
    <row r="4474" spans="1:13" ht="15" customHeight="1">
      <c r="A4474" s="10">
        <v>46179</v>
      </c>
      <c r="B4474" t="s">
        <v>201</v>
      </c>
      <c r="C4474" t="s">
        <v>293</v>
      </c>
      <c r="D4474">
        <v>2</v>
      </c>
      <c r="E4474">
        <v>0</v>
      </c>
      <c r="F4474">
        <v>1</v>
      </c>
      <c r="I4474">
        <v>3</v>
      </c>
      <c r="M4474" t="s">
        <v>4596</v>
      </c>
    </row>
    <row r="4475" spans="1:13" ht="15" customHeight="1">
      <c r="A4475" s="10">
        <v>46179</v>
      </c>
      <c r="B4475" t="s">
        <v>201</v>
      </c>
      <c r="C4475" s="135" t="s">
        <v>138</v>
      </c>
      <c r="D4475">
        <v>0</v>
      </c>
      <c r="E4475">
        <v>9</v>
      </c>
      <c r="G4475">
        <v>25</v>
      </c>
      <c r="I4475">
        <v>0</v>
      </c>
      <c r="J4475">
        <v>32</v>
      </c>
      <c r="M4475" t="s">
        <v>4597</v>
      </c>
    </row>
    <row r="4476" spans="1:13" ht="15" customHeight="1">
      <c r="A4476" s="10">
        <v>46179</v>
      </c>
      <c r="B4476" t="s">
        <v>201</v>
      </c>
      <c r="C4476" s="135" t="s">
        <v>139</v>
      </c>
      <c r="D4476">
        <v>0</v>
      </c>
      <c r="E4476">
        <v>31</v>
      </c>
      <c r="G4476">
        <v>20</v>
      </c>
      <c r="I4476">
        <v>0</v>
      </c>
      <c r="J4476">
        <v>49</v>
      </c>
      <c r="M4476" t="s">
        <v>4598</v>
      </c>
    </row>
    <row r="4477" spans="1:13" ht="15" customHeight="1">
      <c r="A4477" s="10">
        <v>46179</v>
      </c>
      <c r="B4477" t="s">
        <v>201</v>
      </c>
      <c r="C4477" s="135" t="s">
        <v>140</v>
      </c>
      <c r="D4477">
        <v>0</v>
      </c>
      <c r="E4477">
        <v>36</v>
      </c>
      <c r="I4477">
        <v>0</v>
      </c>
      <c r="J4477">
        <v>36</v>
      </c>
      <c r="M4477" t="s">
        <v>4599</v>
      </c>
    </row>
    <row r="4478" spans="1:13" ht="15" customHeight="1">
      <c r="A4478" s="10">
        <v>46179</v>
      </c>
      <c r="B4478" t="s">
        <v>201</v>
      </c>
      <c r="C4478" s="135" t="s">
        <v>141</v>
      </c>
      <c r="D4478">
        <v>1</v>
      </c>
      <c r="E4478">
        <v>1</v>
      </c>
      <c r="I4478">
        <v>0</v>
      </c>
      <c r="J4478">
        <v>1</v>
      </c>
      <c r="M4478" t="s">
        <v>4600</v>
      </c>
    </row>
    <row r="4479" spans="1:13" ht="15" customHeight="1">
      <c r="A4479" s="10">
        <v>46179</v>
      </c>
      <c r="B4479" t="s">
        <v>201</v>
      </c>
      <c r="C4479" s="135" t="s">
        <v>143</v>
      </c>
      <c r="D4479">
        <v>0</v>
      </c>
      <c r="E4479">
        <v>22</v>
      </c>
      <c r="G4479">
        <v>20</v>
      </c>
      <c r="I4479">
        <v>0</v>
      </c>
      <c r="J4479">
        <v>41</v>
      </c>
      <c r="M4479" t="s">
        <v>4601</v>
      </c>
    </row>
    <row r="4480" spans="1:13" ht="15" customHeight="1">
      <c r="A4480" s="10">
        <v>46179</v>
      </c>
      <c r="B4480" t="s">
        <v>201</v>
      </c>
      <c r="C4480" s="135" t="s">
        <v>145</v>
      </c>
      <c r="D4480">
        <v>0</v>
      </c>
      <c r="E4480">
        <v>30</v>
      </c>
      <c r="I4480">
        <v>0</v>
      </c>
      <c r="J4480">
        <v>28</v>
      </c>
      <c r="M4480" t="s">
        <v>4602</v>
      </c>
    </row>
    <row r="4481" spans="1:13" ht="15" customHeight="1">
      <c r="A4481" s="10">
        <v>46179</v>
      </c>
      <c r="B4481" t="s">
        <v>201</v>
      </c>
      <c r="C4481" s="135" t="s">
        <v>147</v>
      </c>
      <c r="D4481">
        <v>0</v>
      </c>
      <c r="E4481">
        <v>36</v>
      </c>
      <c r="I4481">
        <v>0</v>
      </c>
      <c r="J4481">
        <v>36</v>
      </c>
      <c r="M4481" t="s">
        <v>4603</v>
      </c>
    </row>
    <row r="4482" spans="1:13" ht="15" customHeight="1">
      <c r="A4482" s="10">
        <v>46179</v>
      </c>
      <c r="B4482" t="s">
        <v>201</v>
      </c>
      <c r="C4482" t="s">
        <v>302</v>
      </c>
      <c r="D4482">
        <v>2</v>
      </c>
      <c r="E4482">
        <v>2</v>
      </c>
      <c r="I4482">
        <v>2</v>
      </c>
      <c r="M4482" t="s">
        <v>4604</v>
      </c>
    </row>
    <row r="4483" spans="1:13" ht="15" customHeight="1">
      <c r="A4483" s="10">
        <v>46179</v>
      </c>
      <c r="B4483" t="s">
        <v>201</v>
      </c>
      <c r="C4483" t="s">
        <v>150</v>
      </c>
      <c r="D4483">
        <v>1</v>
      </c>
      <c r="E4483">
        <v>0</v>
      </c>
      <c r="I4483">
        <v>1</v>
      </c>
      <c r="M4483" t="s">
        <v>4605</v>
      </c>
    </row>
    <row r="4484" spans="1:13" ht="15" customHeight="1">
      <c r="A4484" s="10">
        <v>46179</v>
      </c>
      <c r="B4484" t="s">
        <v>201</v>
      </c>
      <c r="C4484" t="s">
        <v>151</v>
      </c>
      <c r="D4484">
        <v>0</v>
      </c>
      <c r="E4484">
        <v>0</v>
      </c>
      <c r="I4484">
        <v>0</v>
      </c>
      <c r="M4484" t="s">
        <v>4606</v>
      </c>
    </row>
    <row r="4485" spans="1:13" ht="15" customHeight="1">
      <c r="A4485" s="10">
        <v>46179</v>
      </c>
      <c r="B4485" t="s">
        <v>201</v>
      </c>
      <c r="C4485" t="s">
        <v>152</v>
      </c>
      <c r="D4485">
        <v>2</v>
      </c>
      <c r="E4485">
        <v>0</v>
      </c>
      <c r="I4485">
        <v>2</v>
      </c>
      <c r="M4485" t="s">
        <v>4607</v>
      </c>
    </row>
    <row r="4486" spans="1:13" ht="15" customHeight="1">
      <c r="A4486" s="10">
        <v>46179</v>
      </c>
      <c r="B4486" t="s">
        <v>201</v>
      </c>
      <c r="C4486" t="s">
        <v>153</v>
      </c>
      <c r="D4486">
        <v>2</v>
      </c>
      <c r="E4486">
        <v>0</v>
      </c>
      <c r="I4486">
        <v>2</v>
      </c>
      <c r="M4486" t="s">
        <v>4608</v>
      </c>
    </row>
    <row r="4487" spans="1:13" ht="15" customHeight="1">
      <c r="A4487" s="10">
        <v>46179</v>
      </c>
      <c r="B4487" t="s">
        <v>201</v>
      </c>
      <c r="C4487" t="s">
        <v>308</v>
      </c>
      <c r="D4487">
        <v>4</v>
      </c>
      <c r="E4487">
        <v>3</v>
      </c>
      <c r="I4487">
        <v>0</v>
      </c>
      <c r="J4487">
        <v>3</v>
      </c>
      <c r="M4487" t="s">
        <v>4609</v>
      </c>
    </row>
    <row r="4488" spans="1:13" ht="15" customHeight="1">
      <c r="A4488" s="10">
        <v>46179</v>
      </c>
      <c r="B4488" t="s">
        <v>201</v>
      </c>
      <c r="C4488" t="s">
        <v>310</v>
      </c>
      <c r="D4488">
        <v>2</v>
      </c>
      <c r="E4488">
        <v>2</v>
      </c>
      <c r="I4488">
        <v>0</v>
      </c>
      <c r="J4488">
        <v>2</v>
      </c>
      <c r="M4488" t="s">
        <v>4610</v>
      </c>
    </row>
    <row r="4489" spans="1:13" ht="15" customHeight="1">
      <c r="A4489" s="10">
        <v>46179</v>
      </c>
      <c r="B4489" t="s">
        <v>201</v>
      </c>
      <c r="C4489" t="s">
        <v>312</v>
      </c>
      <c r="D4489">
        <v>4</v>
      </c>
      <c r="E4489">
        <v>4</v>
      </c>
      <c r="G4489">
        <v>2</v>
      </c>
      <c r="I4489">
        <v>0</v>
      </c>
      <c r="J4489">
        <v>5</v>
      </c>
      <c r="M4489" t="s">
        <v>4611</v>
      </c>
    </row>
    <row r="4490" spans="1:13" ht="15" customHeight="1">
      <c r="A4490" s="10">
        <v>46179</v>
      </c>
      <c r="B4490" t="s">
        <v>201</v>
      </c>
      <c r="C4490" t="s">
        <v>314</v>
      </c>
      <c r="D4490">
        <v>1</v>
      </c>
      <c r="E4490">
        <v>0</v>
      </c>
      <c r="I4490">
        <v>1</v>
      </c>
      <c r="M4490" t="s">
        <v>4612</v>
      </c>
    </row>
    <row r="4491" spans="1:13" ht="15" customHeight="1">
      <c r="A4491" s="10">
        <v>46179</v>
      </c>
      <c r="B4491" t="s">
        <v>201</v>
      </c>
      <c r="C4491" t="s">
        <v>316</v>
      </c>
      <c r="D4491">
        <v>1</v>
      </c>
      <c r="E4491">
        <v>0</v>
      </c>
      <c r="I4491">
        <v>1</v>
      </c>
      <c r="M4491" t="s">
        <v>4613</v>
      </c>
    </row>
    <row r="4492" spans="1:13" ht="15" customHeight="1">
      <c r="A4492" s="10">
        <v>46179</v>
      </c>
      <c r="B4492" t="s">
        <v>201</v>
      </c>
      <c r="C4492" t="s">
        <v>318</v>
      </c>
      <c r="D4492">
        <v>1</v>
      </c>
      <c r="E4492">
        <v>0</v>
      </c>
      <c r="F4492">
        <v>2</v>
      </c>
      <c r="I4492">
        <v>3</v>
      </c>
      <c r="M4492" t="s">
        <v>4614</v>
      </c>
    </row>
    <row r="4493" spans="1:13" ht="15" customHeight="1">
      <c r="A4493" s="10">
        <v>46179</v>
      </c>
      <c r="B4493" t="s">
        <v>201</v>
      </c>
      <c r="C4493" t="s">
        <v>320</v>
      </c>
      <c r="D4493">
        <v>1</v>
      </c>
      <c r="E4493">
        <v>0</v>
      </c>
      <c r="I4493">
        <v>1</v>
      </c>
      <c r="M4493" t="s">
        <v>4615</v>
      </c>
    </row>
    <row r="4494" spans="1:13" ht="15" customHeight="1">
      <c r="A4494" s="10">
        <v>46179</v>
      </c>
      <c r="B4494" t="s">
        <v>201</v>
      </c>
      <c r="C4494" t="s">
        <v>322</v>
      </c>
      <c r="D4494">
        <v>2</v>
      </c>
      <c r="E4494">
        <v>0</v>
      </c>
      <c r="I4494">
        <v>2</v>
      </c>
      <c r="M4494" t="s">
        <v>4616</v>
      </c>
    </row>
    <row r="4495" spans="1:13" ht="15" customHeight="1">
      <c r="A4495" s="10">
        <v>46179</v>
      </c>
      <c r="B4495" t="s">
        <v>201</v>
      </c>
      <c r="C4495" s="135" t="s">
        <v>168</v>
      </c>
      <c r="D4495">
        <v>1</v>
      </c>
      <c r="E4495">
        <v>0</v>
      </c>
      <c r="I4495">
        <v>1</v>
      </c>
      <c r="M4495" t="s">
        <v>4617</v>
      </c>
    </row>
    <row r="4496" spans="1:13" ht="15" customHeight="1">
      <c r="A4496" s="10">
        <v>46179</v>
      </c>
      <c r="B4496" t="s">
        <v>201</v>
      </c>
      <c r="C4496" s="135" t="s">
        <v>170</v>
      </c>
      <c r="D4496">
        <v>1</v>
      </c>
      <c r="E4496">
        <v>0</v>
      </c>
      <c r="I4496">
        <v>1</v>
      </c>
      <c r="M4496" t="s">
        <v>4618</v>
      </c>
    </row>
    <row r="4497" spans="1:13" ht="15" customHeight="1">
      <c r="A4497" s="10">
        <v>46179</v>
      </c>
      <c r="B4497" t="s">
        <v>201</v>
      </c>
      <c r="C4497" s="135" t="s">
        <v>171</v>
      </c>
      <c r="D4497">
        <v>3</v>
      </c>
      <c r="E4497">
        <v>0</v>
      </c>
      <c r="I4497">
        <v>3</v>
      </c>
      <c r="M4497" t="s">
        <v>4619</v>
      </c>
    </row>
    <row r="4498" spans="1:13" ht="15" customHeight="1">
      <c r="A4498" s="10">
        <v>46179</v>
      </c>
      <c r="B4498" t="s">
        <v>201</v>
      </c>
      <c r="C4498" s="135" t="s">
        <v>172</v>
      </c>
      <c r="D4498">
        <v>1</v>
      </c>
      <c r="E4498">
        <v>0</v>
      </c>
      <c r="I4498">
        <v>1</v>
      </c>
      <c r="M4498" t="s">
        <v>4620</v>
      </c>
    </row>
    <row r="4499" spans="1:13" ht="15" customHeight="1">
      <c r="A4499" s="10">
        <v>46179</v>
      </c>
      <c r="B4499" t="s">
        <v>201</v>
      </c>
      <c r="C4499" s="135" t="s">
        <v>173</v>
      </c>
      <c r="D4499">
        <v>1</v>
      </c>
      <c r="E4499">
        <v>0</v>
      </c>
      <c r="I4499">
        <v>1</v>
      </c>
      <c r="M4499" t="s">
        <v>4621</v>
      </c>
    </row>
    <row r="4500" spans="1:13" ht="15" customHeight="1">
      <c r="A4500" s="10">
        <v>46179</v>
      </c>
      <c r="B4500" t="s">
        <v>201</v>
      </c>
      <c r="C4500" t="s">
        <v>176</v>
      </c>
      <c r="D4500">
        <v>22</v>
      </c>
      <c r="E4500">
        <v>22</v>
      </c>
      <c r="I4500">
        <v>0</v>
      </c>
      <c r="J4500">
        <v>22</v>
      </c>
      <c r="M4500" t="s">
        <v>4622</v>
      </c>
    </row>
    <row r="4501" spans="1:13" ht="15" customHeight="1">
      <c r="A4501" s="10">
        <v>46179</v>
      </c>
      <c r="B4501" t="s">
        <v>201</v>
      </c>
      <c r="C4501" t="s">
        <v>178</v>
      </c>
      <c r="D4501">
        <v>18</v>
      </c>
      <c r="E4501">
        <v>18</v>
      </c>
      <c r="I4501">
        <v>0</v>
      </c>
      <c r="J4501">
        <v>18</v>
      </c>
      <c r="M4501" t="s">
        <v>4623</v>
      </c>
    </row>
    <row r="4502" spans="1:13" ht="15" customHeight="1">
      <c r="A4502" s="10">
        <v>46179</v>
      </c>
      <c r="B4502" t="s">
        <v>201</v>
      </c>
      <c r="C4502" t="s">
        <v>179</v>
      </c>
      <c r="D4502">
        <v>20</v>
      </c>
      <c r="E4502">
        <v>20</v>
      </c>
      <c r="I4502">
        <v>0</v>
      </c>
      <c r="J4502">
        <v>20</v>
      </c>
      <c r="M4502" t="s">
        <v>4624</v>
      </c>
    </row>
    <row r="4503" spans="1:13" ht="15" customHeight="1">
      <c r="A4503" s="10">
        <v>46179</v>
      </c>
      <c r="B4503" t="s">
        <v>201</v>
      </c>
      <c r="C4503" t="s">
        <v>180</v>
      </c>
      <c r="D4503">
        <v>18</v>
      </c>
      <c r="E4503">
        <v>18</v>
      </c>
      <c r="H4503">
        <v>1</v>
      </c>
      <c r="I4503">
        <v>0</v>
      </c>
      <c r="J4503">
        <v>17</v>
      </c>
      <c r="M4503" t="s">
        <v>4625</v>
      </c>
    </row>
    <row r="4504" spans="1:13" ht="15" customHeight="1">
      <c r="A4504" s="10">
        <v>46179</v>
      </c>
      <c r="B4504" t="s">
        <v>201</v>
      </c>
      <c r="C4504" s="135" t="s">
        <v>182</v>
      </c>
      <c r="D4504">
        <v>1</v>
      </c>
      <c r="E4504">
        <v>158</v>
      </c>
      <c r="I4504">
        <v>1</v>
      </c>
      <c r="J4504">
        <v>158</v>
      </c>
      <c r="M4504" t="s">
        <v>4626</v>
      </c>
    </row>
    <row r="4505" spans="1:13" ht="15" customHeight="1">
      <c r="A4505" s="10">
        <v>46179</v>
      </c>
      <c r="B4505" t="s">
        <v>201</v>
      </c>
      <c r="C4505" s="135" t="s">
        <v>184</v>
      </c>
      <c r="D4505">
        <v>0</v>
      </c>
      <c r="E4505">
        <v>60</v>
      </c>
      <c r="F4505">
        <v>1</v>
      </c>
      <c r="I4505">
        <v>1</v>
      </c>
      <c r="J4505">
        <v>60</v>
      </c>
      <c r="M4505" t="s">
        <v>4627</v>
      </c>
    </row>
    <row r="4506" spans="1:13" ht="15" customHeight="1">
      <c r="A4506" s="10">
        <v>46179</v>
      </c>
      <c r="B4506" t="s">
        <v>201</v>
      </c>
      <c r="C4506" s="135" t="s">
        <v>185</v>
      </c>
      <c r="D4506">
        <v>1</v>
      </c>
      <c r="E4506">
        <v>44</v>
      </c>
      <c r="I4506">
        <v>1</v>
      </c>
      <c r="J4506">
        <v>44</v>
      </c>
      <c r="M4506" t="s">
        <v>4628</v>
      </c>
    </row>
    <row r="4507" spans="1:13" ht="15" customHeight="1">
      <c r="A4507" s="10">
        <v>46179</v>
      </c>
      <c r="B4507" t="s">
        <v>201</v>
      </c>
      <c r="C4507" s="135" t="s">
        <v>186</v>
      </c>
      <c r="D4507">
        <v>1</v>
      </c>
      <c r="E4507">
        <v>650</v>
      </c>
      <c r="I4507">
        <v>1</v>
      </c>
      <c r="J4507">
        <v>650</v>
      </c>
      <c r="M4507" t="s">
        <v>4629</v>
      </c>
    </row>
    <row r="4508" spans="1:13" ht="15" customHeight="1">
      <c r="A4508" s="10">
        <v>46179</v>
      </c>
      <c r="B4508" t="s">
        <v>201</v>
      </c>
      <c r="C4508" t="s">
        <v>337</v>
      </c>
      <c r="D4508">
        <v>1</v>
      </c>
      <c r="E4508">
        <v>355</v>
      </c>
      <c r="I4508">
        <v>1</v>
      </c>
      <c r="J4508">
        <v>324</v>
      </c>
      <c r="M4508" t="s">
        <v>4630</v>
      </c>
    </row>
    <row r="4509" spans="1:13" ht="15" customHeight="1">
      <c r="A4509" s="10">
        <v>46179</v>
      </c>
      <c r="B4509" t="s">
        <v>201</v>
      </c>
      <c r="C4509" t="s">
        <v>339</v>
      </c>
      <c r="D4509">
        <v>0</v>
      </c>
      <c r="E4509">
        <v>0</v>
      </c>
      <c r="I4509">
        <v>0</v>
      </c>
      <c r="J4509">
        <v>0</v>
      </c>
      <c r="M4509" t="s">
        <v>4631</v>
      </c>
    </row>
    <row r="4510" spans="1:13" ht="15" customHeight="1">
      <c r="A4510" s="10">
        <v>46179</v>
      </c>
      <c r="B4510" t="s">
        <v>201</v>
      </c>
      <c r="C4510" s="135" t="s">
        <v>191</v>
      </c>
      <c r="D4510">
        <v>1</v>
      </c>
      <c r="E4510">
        <v>315</v>
      </c>
      <c r="I4510">
        <v>1</v>
      </c>
      <c r="J4510">
        <v>315</v>
      </c>
      <c r="M4510" t="s">
        <v>4632</v>
      </c>
    </row>
    <row r="4511" spans="1:13" ht="15" customHeight="1">
      <c r="A4511" s="10">
        <v>46179</v>
      </c>
      <c r="B4511" t="s">
        <v>201</v>
      </c>
      <c r="C4511" s="135" t="s">
        <v>193</v>
      </c>
      <c r="D4511">
        <v>0</v>
      </c>
      <c r="E4511">
        <v>653</v>
      </c>
      <c r="I4511">
        <v>0</v>
      </c>
      <c r="J4511">
        <v>653</v>
      </c>
      <c r="M4511" t="s">
        <v>4633</v>
      </c>
    </row>
    <row r="4512" spans="1:13" ht="15" customHeight="1">
      <c r="A4512" s="10">
        <v>46179</v>
      </c>
      <c r="B4512" t="s">
        <v>201</v>
      </c>
      <c r="C4512" s="135" t="s">
        <v>194</v>
      </c>
      <c r="D4512">
        <v>1</v>
      </c>
      <c r="E4512">
        <v>16</v>
      </c>
      <c r="I4512">
        <v>1</v>
      </c>
      <c r="J4512">
        <v>4</v>
      </c>
      <c r="M4512" t="s">
        <v>4634</v>
      </c>
    </row>
    <row r="4513" spans="1:13" ht="15" customHeight="1">
      <c r="A4513" s="10">
        <v>46179</v>
      </c>
      <c r="B4513" t="s">
        <v>201</v>
      </c>
      <c r="C4513" s="135" t="s">
        <v>196</v>
      </c>
      <c r="D4513">
        <v>0</v>
      </c>
      <c r="E4513">
        <v>786</v>
      </c>
      <c r="I4513">
        <v>0</v>
      </c>
      <c r="J4513">
        <v>660</v>
      </c>
      <c r="M4513" t="s">
        <v>4635</v>
      </c>
    </row>
    <row r="4514" spans="1:13" ht="15" customHeight="1">
      <c r="A4514" s="10">
        <v>46179</v>
      </c>
      <c r="B4514" t="s">
        <v>201</v>
      </c>
      <c r="C4514" s="135" t="s">
        <v>199</v>
      </c>
      <c r="D4514">
        <v>0</v>
      </c>
      <c r="E4514">
        <v>175</v>
      </c>
      <c r="I4514">
        <v>0</v>
      </c>
      <c r="J4514">
        <v>115</v>
      </c>
      <c r="M4514" t="s">
        <v>4636</v>
      </c>
    </row>
    <row r="4515" spans="1:13" ht="15" customHeight="1">
      <c r="A4515" s="10">
        <v>46179</v>
      </c>
      <c r="B4515" t="s">
        <v>201</v>
      </c>
      <c r="C4515" s="135" t="s">
        <v>200</v>
      </c>
      <c r="D4515">
        <v>0</v>
      </c>
      <c r="E4515">
        <v>614</v>
      </c>
      <c r="I4515">
        <v>0</v>
      </c>
      <c r="J4515">
        <v>570</v>
      </c>
      <c r="M4515" t="s">
        <v>4637</v>
      </c>
    </row>
    <row r="4516" spans="1:13" ht="15" customHeight="1">
      <c r="A4516" s="10">
        <v>46179</v>
      </c>
      <c r="B4516" t="s">
        <v>201</v>
      </c>
      <c r="C4516" s="135" t="s">
        <v>202</v>
      </c>
      <c r="D4516">
        <v>0</v>
      </c>
      <c r="E4516">
        <v>442</v>
      </c>
      <c r="I4516">
        <v>0</v>
      </c>
      <c r="J4516">
        <v>411</v>
      </c>
      <c r="M4516" t="s">
        <v>4638</v>
      </c>
    </row>
    <row r="4517" spans="1:13" ht="15" customHeight="1">
      <c r="A4517" s="10">
        <v>46180</v>
      </c>
      <c r="B4517" t="s">
        <v>201</v>
      </c>
      <c r="C4517" t="s">
        <v>23</v>
      </c>
      <c r="D4517">
        <v>10</v>
      </c>
      <c r="E4517">
        <v>645</v>
      </c>
      <c r="I4517">
        <v>9</v>
      </c>
      <c r="J4517">
        <v>972</v>
      </c>
      <c r="M4517" t="s">
        <v>4639</v>
      </c>
    </row>
    <row r="4518" spans="1:13" ht="15" customHeight="1">
      <c r="A4518" s="10">
        <v>46180</v>
      </c>
      <c r="B4518" t="s">
        <v>201</v>
      </c>
      <c r="C4518" t="s">
        <v>26</v>
      </c>
      <c r="D4518">
        <v>0</v>
      </c>
      <c r="E4518">
        <v>402</v>
      </c>
      <c r="I4518">
        <v>0</v>
      </c>
      <c r="J4518">
        <v>139</v>
      </c>
      <c r="M4518" t="s">
        <v>4640</v>
      </c>
    </row>
    <row r="4519" spans="1:13" ht="15" customHeight="1">
      <c r="A4519" s="10">
        <v>46180</v>
      </c>
      <c r="B4519" t="s">
        <v>201</v>
      </c>
      <c r="C4519" t="s">
        <v>27</v>
      </c>
      <c r="D4519">
        <v>1</v>
      </c>
      <c r="E4519">
        <v>581</v>
      </c>
      <c r="I4519">
        <v>1</v>
      </c>
      <c r="J4519">
        <v>328</v>
      </c>
      <c r="M4519" t="s">
        <v>4641</v>
      </c>
    </row>
    <row r="4520" spans="1:13" ht="15" customHeight="1">
      <c r="A4520" s="10">
        <v>46180</v>
      </c>
      <c r="B4520" t="s">
        <v>201</v>
      </c>
      <c r="C4520" t="s">
        <v>28</v>
      </c>
      <c r="D4520">
        <v>0</v>
      </c>
      <c r="E4520">
        <v>420</v>
      </c>
      <c r="I4520">
        <v>0</v>
      </c>
      <c r="J4520">
        <v>325</v>
      </c>
      <c r="M4520" t="s">
        <v>4642</v>
      </c>
    </row>
    <row r="4521" spans="1:13" ht="15" customHeight="1">
      <c r="A4521" s="10">
        <v>46180</v>
      </c>
      <c r="B4521" t="s">
        <v>201</v>
      </c>
      <c r="C4521" t="s">
        <v>29</v>
      </c>
      <c r="D4521">
        <v>0</v>
      </c>
      <c r="E4521">
        <v>848</v>
      </c>
      <c r="I4521">
        <v>0</v>
      </c>
      <c r="J4521">
        <v>591</v>
      </c>
      <c r="M4521" t="s">
        <v>4643</v>
      </c>
    </row>
    <row r="4522" spans="1:13" ht="15" customHeight="1">
      <c r="A4522" s="10">
        <v>46180</v>
      </c>
      <c r="B4522" t="s">
        <v>201</v>
      </c>
      <c r="C4522" t="s">
        <v>30</v>
      </c>
      <c r="D4522">
        <v>1</v>
      </c>
      <c r="E4522">
        <v>216</v>
      </c>
      <c r="I4522">
        <v>0</v>
      </c>
      <c r="J4522">
        <v>1183</v>
      </c>
      <c r="M4522" t="s">
        <v>4644</v>
      </c>
    </row>
    <row r="4523" spans="1:13" ht="15" customHeight="1">
      <c r="A4523" s="10">
        <v>46180</v>
      </c>
      <c r="B4523" t="s">
        <v>201</v>
      </c>
      <c r="C4523" t="s">
        <v>31</v>
      </c>
      <c r="D4523">
        <v>1</v>
      </c>
      <c r="E4523">
        <v>838</v>
      </c>
      <c r="I4523">
        <v>1</v>
      </c>
      <c r="J4523">
        <v>494</v>
      </c>
      <c r="M4523" t="s">
        <v>4645</v>
      </c>
    </row>
    <row r="4524" spans="1:13" ht="15" customHeight="1">
      <c r="A4524" s="10">
        <v>46180</v>
      </c>
      <c r="B4524" t="s">
        <v>201</v>
      </c>
      <c r="C4524" t="s">
        <v>32</v>
      </c>
      <c r="D4524">
        <v>2</v>
      </c>
      <c r="E4524">
        <v>220</v>
      </c>
      <c r="I4524">
        <v>1</v>
      </c>
      <c r="J4524">
        <v>536</v>
      </c>
      <c r="M4524" t="s">
        <v>4646</v>
      </c>
    </row>
    <row r="4525" spans="1:13" ht="15" customHeight="1">
      <c r="A4525" s="10">
        <v>46180</v>
      </c>
      <c r="B4525" t="s">
        <v>201</v>
      </c>
      <c r="C4525" t="s">
        <v>223</v>
      </c>
      <c r="D4525">
        <v>7</v>
      </c>
      <c r="E4525">
        <v>702</v>
      </c>
      <c r="I4525">
        <v>6</v>
      </c>
      <c r="J4525">
        <v>890</v>
      </c>
      <c r="M4525" t="s">
        <v>4647</v>
      </c>
    </row>
    <row r="4526" spans="1:13" ht="15" customHeight="1">
      <c r="A4526" s="10">
        <v>46180</v>
      </c>
      <c r="B4526" t="s">
        <v>201</v>
      </c>
      <c r="C4526" t="s">
        <v>35</v>
      </c>
      <c r="D4526">
        <v>12</v>
      </c>
      <c r="E4526">
        <v>0</v>
      </c>
      <c r="H4526">
        <v>4</v>
      </c>
      <c r="I4526">
        <v>8</v>
      </c>
      <c r="M4526" t="s">
        <v>4648</v>
      </c>
    </row>
    <row r="4527" spans="1:13" ht="15" customHeight="1">
      <c r="A4527" s="10">
        <v>46180</v>
      </c>
      <c r="B4527" t="s">
        <v>201</v>
      </c>
      <c r="C4527" t="s">
        <v>37</v>
      </c>
      <c r="D4527">
        <v>2</v>
      </c>
      <c r="E4527">
        <v>0</v>
      </c>
      <c r="I4527">
        <v>2</v>
      </c>
      <c r="M4527" t="s">
        <v>4649</v>
      </c>
    </row>
    <row r="4528" spans="1:13" ht="15" customHeight="1">
      <c r="A4528" s="10">
        <v>46180</v>
      </c>
      <c r="B4528" t="s">
        <v>201</v>
      </c>
      <c r="C4528" t="s">
        <v>39</v>
      </c>
      <c r="D4528">
        <v>15</v>
      </c>
      <c r="E4528">
        <v>0</v>
      </c>
      <c r="H4528">
        <v>2</v>
      </c>
      <c r="I4528">
        <v>13</v>
      </c>
      <c r="J4528">
        <v>0</v>
      </c>
      <c r="M4528" t="s">
        <v>4650</v>
      </c>
    </row>
    <row r="4529" spans="1:13" ht="15" customHeight="1">
      <c r="A4529" s="10">
        <v>46180</v>
      </c>
      <c r="B4529" t="s">
        <v>201</v>
      </c>
      <c r="C4529" t="s">
        <v>41</v>
      </c>
      <c r="D4529">
        <v>25</v>
      </c>
      <c r="E4529">
        <v>0</v>
      </c>
      <c r="I4529">
        <v>25</v>
      </c>
      <c r="J4529">
        <v>0</v>
      </c>
      <c r="M4529" t="s">
        <v>4651</v>
      </c>
    </row>
    <row r="4530" spans="1:13" ht="15" customHeight="1">
      <c r="A4530" s="10">
        <v>46180</v>
      </c>
      <c r="B4530" t="s">
        <v>201</v>
      </c>
      <c r="C4530" s="135" t="s">
        <v>44</v>
      </c>
      <c r="D4530">
        <v>6</v>
      </c>
      <c r="E4530">
        <v>9840</v>
      </c>
      <c r="I4530">
        <v>6</v>
      </c>
      <c r="J4530">
        <v>7550</v>
      </c>
      <c r="M4530" t="s">
        <v>4652</v>
      </c>
    </row>
    <row r="4531" spans="1:13" ht="15" customHeight="1">
      <c r="A4531" s="10">
        <v>46180</v>
      </c>
      <c r="B4531" t="s">
        <v>201</v>
      </c>
      <c r="C4531" t="s">
        <v>230</v>
      </c>
      <c r="D4531">
        <v>1</v>
      </c>
      <c r="E4531">
        <v>287</v>
      </c>
      <c r="I4531">
        <v>1</v>
      </c>
      <c r="J4531">
        <v>265</v>
      </c>
      <c r="M4531" t="s">
        <v>4653</v>
      </c>
    </row>
    <row r="4532" spans="1:13" ht="15" customHeight="1">
      <c r="A4532" s="10">
        <v>46180</v>
      </c>
      <c r="B4532" t="s">
        <v>201</v>
      </c>
      <c r="C4532" t="s">
        <v>232</v>
      </c>
      <c r="D4532">
        <v>15</v>
      </c>
      <c r="E4532">
        <v>0</v>
      </c>
      <c r="H4532">
        <v>3</v>
      </c>
      <c r="I4532">
        <v>12</v>
      </c>
      <c r="J4532">
        <v>0</v>
      </c>
      <c r="M4532" t="s">
        <v>4654</v>
      </c>
    </row>
    <row r="4533" spans="1:13" ht="15" customHeight="1">
      <c r="A4533" s="10">
        <v>46180</v>
      </c>
      <c r="B4533" t="s">
        <v>201</v>
      </c>
      <c r="C4533" t="s">
        <v>234</v>
      </c>
      <c r="D4533">
        <v>93</v>
      </c>
      <c r="E4533">
        <v>0</v>
      </c>
      <c r="H4533">
        <v>7</v>
      </c>
      <c r="I4533">
        <v>86</v>
      </c>
      <c r="J4533">
        <v>0</v>
      </c>
      <c r="M4533" t="s">
        <v>4655</v>
      </c>
    </row>
    <row r="4534" spans="1:13" ht="15" customHeight="1">
      <c r="A4534" s="10">
        <v>46180</v>
      </c>
      <c r="B4534" t="s">
        <v>201</v>
      </c>
      <c r="C4534" t="s">
        <v>54</v>
      </c>
      <c r="D4534">
        <v>0</v>
      </c>
      <c r="E4534">
        <v>0</v>
      </c>
      <c r="H4534">
        <v>0</v>
      </c>
      <c r="I4534">
        <v>0</v>
      </c>
      <c r="J4534">
        <v>0</v>
      </c>
      <c r="M4534" t="s">
        <v>4656</v>
      </c>
    </row>
    <row r="4535" spans="1:13" ht="15" customHeight="1">
      <c r="A4535" s="10">
        <v>46180</v>
      </c>
      <c r="B4535" t="s">
        <v>201</v>
      </c>
      <c r="C4535" t="s">
        <v>237</v>
      </c>
      <c r="D4535">
        <v>1</v>
      </c>
      <c r="E4535">
        <v>0</v>
      </c>
      <c r="H4535">
        <v>0</v>
      </c>
      <c r="I4535">
        <v>10</v>
      </c>
      <c r="J4535">
        <v>0</v>
      </c>
      <c r="M4535" t="s">
        <v>4657</v>
      </c>
    </row>
    <row r="4536" spans="1:13" ht="15" customHeight="1">
      <c r="A4536" s="10">
        <v>46180</v>
      </c>
      <c r="B4536" t="s">
        <v>201</v>
      </c>
      <c r="C4536" s="135" t="s">
        <v>58</v>
      </c>
      <c r="D4536">
        <v>18</v>
      </c>
      <c r="E4536">
        <v>0</v>
      </c>
      <c r="H4536">
        <v>5</v>
      </c>
      <c r="I4536">
        <v>13</v>
      </c>
      <c r="J4536">
        <v>0</v>
      </c>
      <c r="M4536" t="s">
        <v>4658</v>
      </c>
    </row>
    <row r="4537" spans="1:13" ht="15" customHeight="1">
      <c r="A4537" s="10">
        <v>46180</v>
      </c>
      <c r="B4537" t="s">
        <v>201</v>
      </c>
      <c r="C4537" s="135" t="s">
        <v>60</v>
      </c>
      <c r="D4537">
        <v>16</v>
      </c>
      <c r="E4537">
        <v>0</v>
      </c>
      <c r="H4537">
        <v>1</v>
      </c>
      <c r="I4537">
        <v>15</v>
      </c>
      <c r="J4537">
        <v>0</v>
      </c>
      <c r="M4537" t="s">
        <v>4659</v>
      </c>
    </row>
    <row r="4538" spans="1:13" ht="15" customHeight="1">
      <c r="A4538" s="10">
        <v>46180</v>
      </c>
      <c r="B4538" t="s">
        <v>201</v>
      </c>
      <c r="C4538" s="135" t="s">
        <v>61</v>
      </c>
      <c r="D4538">
        <v>18</v>
      </c>
      <c r="E4538">
        <v>0</v>
      </c>
      <c r="H4538">
        <v>10</v>
      </c>
      <c r="I4538">
        <v>8</v>
      </c>
      <c r="J4538">
        <v>0</v>
      </c>
      <c r="M4538" t="s">
        <v>4660</v>
      </c>
    </row>
    <row r="4539" spans="1:13" ht="15" customHeight="1">
      <c r="A4539" s="10">
        <v>46180</v>
      </c>
      <c r="B4539" t="s">
        <v>201</v>
      </c>
      <c r="C4539" s="135" t="s">
        <v>62</v>
      </c>
      <c r="D4539">
        <v>19</v>
      </c>
      <c r="E4539">
        <v>0</v>
      </c>
      <c r="H4539">
        <v>3</v>
      </c>
      <c r="I4539">
        <v>16</v>
      </c>
      <c r="J4539">
        <v>0</v>
      </c>
      <c r="M4539" t="s">
        <v>4661</v>
      </c>
    </row>
    <row r="4540" spans="1:13" ht="15" customHeight="1">
      <c r="A4540" s="10">
        <v>46180</v>
      </c>
      <c r="B4540" t="s">
        <v>201</v>
      </c>
      <c r="C4540" s="135" t="s">
        <v>63</v>
      </c>
      <c r="D4540">
        <v>18</v>
      </c>
      <c r="E4540">
        <v>0</v>
      </c>
      <c r="H4540">
        <v>2</v>
      </c>
      <c r="I4540">
        <v>16</v>
      </c>
      <c r="J4540">
        <v>0</v>
      </c>
      <c r="M4540" t="s">
        <v>4662</v>
      </c>
    </row>
    <row r="4541" spans="1:13" ht="15" customHeight="1">
      <c r="A4541" s="10">
        <v>46180</v>
      </c>
      <c r="B4541" t="s">
        <v>201</v>
      </c>
      <c r="C4541" s="135" t="s">
        <v>64</v>
      </c>
      <c r="D4541">
        <v>17</v>
      </c>
      <c r="E4541">
        <v>0</v>
      </c>
      <c r="H4541">
        <v>2</v>
      </c>
      <c r="I4541">
        <v>15</v>
      </c>
      <c r="J4541">
        <v>0</v>
      </c>
      <c r="M4541" t="s">
        <v>4663</v>
      </c>
    </row>
    <row r="4542" spans="1:13" ht="15" customHeight="1">
      <c r="A4542" s="10">
        <v>46180</v>
      </c>
      <c r="B4542" t="s">
        <v>201</v>
      </c>
      <c r="C4542" t="s">
        <v>66</v>
      </c>
      <c r="D4542">
        <v>4</v>
      </c>
      <c r="E4542">
        <v>0</v>
      </c>
      <c r="I4542">
        <v>4</v>
      </c>
      <c r="J4542">
        <v>0</v>
      </c>
      <c r="M4542" t="s">
        <v>4664</v>
      </c>
    </row>
    <row r="4543" spans="1:13" ht="15" customHeight="1">
      <c r="A4543" s="10">
        <v>46180</v>
      </c>
      <c r="B4543" t="s">
        <v>201</v>
      </c>
      <c r="C4543" t="s">
        <v>67</v>
      </c>
      <c r="D4543">
        <v>7</v>
      </c>
      <c r="E4543">
        <v>0</v>
      </c>
      <c r="I4543">
        <v>7</v>
      </c>
      <c r="J4543">
        <v>0</v>
      </c>
      <c r="M4543" t="s">
        <v>4665</v>
      </c>
    </row>
    <row r="4544" spans="1:13" ht="15" customHeight="1">
      <c r="A4544" s="10">
        <v>46180</v>
      </c>
      <c r="B4544" t="s">
        <v>201</v>
      </c>
      <c r="C4544" t="s">
        <v>68</v>
      </c>
      <c r="D4544">
        <v>0</v>
      </c>
      <c r="E4544">
        <v>0</v>
      </c>
      <c r="I4544">
        <v>0</v>
      </c>
      <c r="J4544">
        <v>0</v>
      </c>
      <c r="M4544" t="s">
        <v>4666</v>
      </c>
    </row>
    <row r="4545" spans="1:13" ht="15" customHeight="1">
      <c r="A4545" s="10">
        <v>46180</v>
      </c>
      <c r="B4545" t="s">
        <v>201</v>
      </c>
      <c r="C4545" t="s">
        <v>71</v>
      </c>
      <c r="D4545">
        <v>2</v>
      </c>
      <c r="E4545">
        <v>573</v>
      </c>
      <c r="I4545">
        <v>2</v>
      </c>
      <c r="J4545">
        <v>528</v>
      </c>
      <c r="M4545" t="s">
        <v>4667</v>
      </c>
    </row>
    <row r="4546" spans="1:13" ht="15" customHeight="1">
      <c r="A4546" s="10">
        <v>46180</v>
      </c>
      <c r="B4546" t="s">
        <v>201</v>
      </c>
      <c r="C4546" t="s">
        <v>73</v>
      </c>
      <c r="D4546">
        <v>2</v>
      </c>
      <c r="E4546">
        <v>646</v>
      </c>
      <c r="I4546">
        <v>2</v>
      </c>
      <c r="J4546">
        <v>565</v>
      </c>
      <c r="M4546" t="s">
        <v>4668</v>
      </c>
    </row>
    <row r="4547" spans="1:13" ht="15" customHeight="1">
      <c r="A4547" s="10">
        <v>46180</v>
      </c>
      <c r="B4547" t="s">
        <v>201</v>
      </c>
      <c r="C4547" t="s">
        <v>75</v>
      </c>
      <c r="D4547">
        <v>0</v>
      </c>
      <c r="E4547">
        <v>247</v>
      </c>
      <c r="I4547">
        <v>0</v>
      </c>
      <c r="J4547">
        <v>213</v>
      </c>
      <c r="M4547" t="s">
        <v>4669</v>
      </c>
    </row>
    <row r="4548" spans="1:13" ht="15" customHeight="1">
      <c r="A4548" s="10">
        <v>46180</v>
      </c>
      <c r="B4548" t="s">
        <v>201</v>
      </c>
      <c r="C4548" t="s">
        <v>77</v>
      </c>
      <c r="D4548">
        <v>0</v>
      </c>
      <c r="E4548">
        <v>546</v>
      </c>
      <c r="I4548">
        <v>0</v>
      </c>
      <c r="J4548">
        <v>525</v>
      </c>
      <c r="M4548" t="s">
        <v>4670</v>
      </c>
    </row>
    <row r="4549" spans="1:13" ht="15" customHeight="1">
      <c r="A4549" s="10">
        <v>46180</v>
      </c>
      <c r="B4549" t="s">
        <v>201</v>
      </c>
      <c r="C4549" t="s">
        <v>79</v>
      </c>
      <c r="D4549">
        <v>1</v>
      </c>
      <c r="E4549">
        <v>418</v>
      </c>
      <c r="I4549">
        <v>1</v>
      </c>
      <c r="J4549">
        <v>1852</v>
      </c>
      <c r="M4549" t="s">
        <v>4671</v>
      </c>
    </row>
    <row r="4550" spans="1:13" ht="15" customHeight="1">
      <c r="A4550" s="10">
        <v>46180</v>
      </c>
      <c r="B4550" t="s">
        <v>201</v>
      </c>
      <c r="C4550" t="s">
        <v>81</v>
      </c>
      <c r="D4550">
        <v>1</v>
      </c>
      <c r="E4550">
        <v>500</v>
      </c>
      <c r="I4550">
        <v>1</v>
      </c>
      <c r="J4550">
        <v>500</v>
      </c>
      <c r="M4550" t="s">
        <v>4672</v>
      </c>
    </row>
    <row r="4551" spans="1:13" ht="15" customHeight="1">
      <c r="A4551" s="10">
        <v>46180</v>
      </c>
      <c r="B4551" t="s">
        <v>201</v>
      </c>
      <c r="C4551" t="s">
        <v>83</v>
      </c>
      <c r="D4551">
        <v>1</v>
      </c>
      <c r="E4551">
        <v>84</v>
      </c>
      <c r="I4551">
        <v>1</v>
      </c>
      <c r="J4551">
        <v>84</v>
      </c>
      <c r="M4551" t="s">
        <v>4673</v>
      </c>
    </row>
    <row r="4552" spans="1:13" ht="15" customHeight="1">
      <c r="A4552" s="10">
        <v>46180</v>
      </c>
      <c r="B4552" t="s">
        <v>201</v>
      </c>
      <c r="C4552" t="s">
        <v>84</v>
      </c>
      <c r="D4552">
        <v>1</v>
      </c>
      <c r="E4552">
        <v>363</v>
      </c>
      <c r="I4552">
        <v>1</v>
      </c>
      <c r="J4552">
        <v>363</v>
      </c>
      <c r="M4552" t="s">
        <v>4674</v>
      </c>
    </row>
    <row r="4553" spans="1:13" ht="15" customHeight="1">
      <c r="A4553" s="10">
        <v>46180</v>
      </c>
      <c r="B4553" t="s">
        <v>201</v>
      </c>
      <c r="C4553" t="s">
        <v>85</v>
      </c>
      <c r="D4553">
        <v>0</v>
      </c>
      <c r="E4553">
        <v>214</v>
      </c>
      <c r="I4553">
        <v>0</v>
      </c>
      <c r="J4553">
        <v>214</v>
      </c>
      <c r="M4553" t="s">
        <v>4675</v>
      </c>
    </row>
    <row r="4554" spans="1:13" ht="15" customHeight="1">
      <c r="A4554" s="10">
        <v>46180</v>
      </c>
      <c r="B4554" t="s">
        <v>201</v>
      </c>
      <c r="C4554" t="s">
        <v>87</v>
      </c>
      <c r="D4554">
        <v>1</v>
      </c>
      <c r="E4554">
        <v>410</v>
      </c>
      <c r="I4554">
        <v>1</v>
      </c>
      <c r="J4554">
        <v>375</v>
      </c>
      <c r="M4554" t="s">
        <v>4676</v>
      </c>
    </row>
    <row r="4555" spans="1:13" ht="15" customHeight="1">
      <c r="A4555" s="10">
        <v>46180</v>
      </c>
      <c r="B4555" t="s">
        <v>201</v>
      </c>
      <c r="C4555" t="s">
        <v>88</v>
      </c>
      <c r="D4555">
        <v>1</v>
      </c>
      <c r="E4555">
        <v>323</v>
      </c>
      <c r="I4555">
        <v>1</v>
      </c>
      <c r="J4555">
        <v>696</v>
      </c>
      <c r="M4555" t="s">
        <v>4677</v>
      </c>
    </row>
    <row r="4556" spans="1:13" ht="15" customHeight="1">
      <c r="A4556" s="10">
        <v>46180</v>
      </c>
      <c r="B4556" t="s">
        <v>201</v>
      </c>
      <c r="C4556" t="s">
        <v>89</v>
      </c>
      <c r="D4556">
        <v>1</v>
      </c>
      <c r="E4556">
        <v>335</v>
      </c>
      <c r="I4556">
        <v>1</v>
      </c>
      <c r="J4556">
        <v>325</v>
      </c>
      <c r="M4556" t="s">
        <v>4678</v>
      </c>
    </row>
    <row r="4557" spans="1:13" ht="15" customHeight="1">
      <c r="A4557" s="10">
        <v>46180</v>
      </c>
      <c r="B4557" t="s">
        <v>201</v>
      </c>
      <c r="C4557" t="s">
        <v>90</v>
      </c>
      <c r="D4557">
        <v>1</v>
      </c>
      <c r="E4557">
        <v>324</v>
      </c>
      <c r="I4557">
        <v>1</v>
      </c>
      <c r="J4557">
        <v>301</v>
      </c>
      <c r="M4557" t="s">
        <v>4679</v>
      </c>
    </row>
    <row r="4558" spans="1:13" ht="15" customHeight="1">
      <c r="A4558" s="10">
        <v>46180</v>
      </c>
      <c r="B4558" t="s">
        <v>201</v>
      </c>
      <c r="C4558" t="s">
        <v>92</v>
      </c>
      <c r="D4558">
        <v>1</v>
      </c>
      <c r="E4558">
        <v>610</v>
      </c>
      <c r="I4558">
        <v>1</v>
      </c>
      <c r="J4558">
        <v>422</v>
      </c>
      <c r="M4558" t="s">
        <v>4680</v>
      </c>
    </row>
    <row r="4559" spans="1:13" ht="15" customHeight="1">
      <c r="A4559" s="10">
        <v>46180</v>
      </c>
      <c r="B4559" t="s">
        <v>201</v>
      </c>
      <c r="C4559" t="s">
        <v>94</v>
      </c>
      <c r="D4559">
        <v>4</v>
      </c>
      <c r="E4559">
        <v>316</v>
      </c>
      <c r="I4559">
        <v>2</v>
      </c>
      <c r="J4559">
        <v>491</v>
      </c>
      <c r="M4559" t="s">
        <v>4681</v>
      </c>
    </row>
    <row r="4560" spans="1:13" ht="15" customHeight="1">
      <c r="A4560" s="10">
        <v>46180</v>
      </c>
      <c r="B4560" t="s">
        <v>201</v>
      </c>
      <c r="C4560" t="s">
        <v>96</v>
      </c>
      <c r="D4560">
        <v>0</v>
      </c>
      <c r="E4560">
        <v>0</v>
      </c>
      <c r="I4560">
        <v>0</v>
      </c>
      <c r="J4560">
        <v>0</v>
      </c>
      <c r="M4560" t="s">
        <v>4682</v>
      </c>
    </row>
    <row r="4561" spans="1:13" ht="15" customHeight="1">
      <c r="A4561" s="10">
        <v>46180</v>
      </c>
      <c r="B4561" t="s">
        <v>201</v>
      </c>
      <c r="C4561" t="s">
        <v>98</v>
      </c>
      <c r="D4561">
        <v>0</v>
      </c>
      <c r="E4561">
        <v>308</v>
      </c>
      <c r="I4561">
        <v>0</v>
      </c>
      <c r="J4561">
        <v>275</v>
      </c>
      <c r="M4561" t="s">
        <v>4683</v>
      </c>
    </row>
    <row r="4562" spans="1:13" ht="15" customHeight="1">
      <c r="A4562" s="10">
        <v>46180</v>
      </c>
      <c r="B4562" t="s">
        <v>201</v>
      </c>
      <c r="C4562" t="s">
        <v>203</v>
      </c>
      <c r="D4562">
        <v>4</v>
      </c>
      <c r="E4562">
        <v>0</v>
      </c>
      <c r="I4562">
        <v>4</v>
      </c>
      <c r="J4562">
        <v>0</v>
      </c>
      <c r="M4562" t="s">
        <v>4684</v>
      </c>
    </row>
    <row r="4563" spans="1:13" ht="15" customHeight="1">
      <c r="A4563" s="10">
        <v>46180</v>
      </c>
      <c r="B4563" t="s">
        <v>201</v>
      </c>
      <c r="C4563" t="s">
        <v>100</v>
      </c>
      <c r="D4563">
        <v>0</v>
      </c>
      <c r="E4563">
        <v>0</v>
      </c>
      <c r="I4563">
        <v>0</v>
      </c>
      <c r="J4563">
        <v>0</v>
      </c>
      <c r="M4563" t="s">
        <v>4685</v>
      </c>
    </row>
    <row r="4564" spans="1:13" ht="15" customHeight="1">
      <c r="A4564" s="10">
        <v>46180</v>
      </c>
      <c r="B4564" t="s">
        <v>201</v>
      </c>
      <c r="C4564" t="s">
        <v>101</v>
      </c>
      <c r="D4564">
        <v>1</v>
      </c>
      <c r="E4564">
        <v>188</v>
      </c>
      <c r="I4564">
        <v>0</v>
      </c>
      <c r="J4564">
        <v>549</v>
      </c>
      <c r="M4564" t="s">
        <v>4686</v>
      </c>
    </row>
    <row r="4565" spans="1:13" ht="15" customHeight="1">
      <c r="A4565" s="10">
        <v>46180</v>
      </c>
      <c r="B4565" t="s">
        <v>201</v>
      </c>
      <c r="C4565" t="s">
        <v>103</v>
      </c>
      <c r="D4565">
        <v>9</v>
      </c>
      <c r="E4565">
        <v>5</v>
      </c>
      <c r="I4565">
        <v>0</v>
      </c>
      <c r="J4565">
        <v>0</v>
      </c>
      <c r="M4565" t="s">
        <v>4687</v>
      </c>
    </row>
    <row r="4566" spans="1:13" ht="15" customHeight="1">
      <c r="A4566" s="10">
        <v>46180</v>
      </c>
      <c r="B4566" t="s">
        <v>201</v>
      </c>
      <c r="C4566" t="s">
        <v>106</v>
      </c>
      <c r="D4566">
        <v>1</v>
      </c>
      <c r="E4566">
        <v>596</v>
      </c>
      <c r="I4566">
        <v>1</v>
      </c>
      <c r="J4566">
        <v>465</v>
      </c>
      <c r="M4566" t="s">
        <v>4688</v>
      </c>
    </row>
    <row r="4567" spans="1:13" ht="15" customHeight="1">
      <c r="A4567" s="10">
        <v>46180</v>
      </c>
      <c r="B4567" t="s">
        <v>201</v>
      </c>
      <c r="C4567" t="s">
        <v>108</v>
      </c>
      <c r="D4567">
        <v>1</v>
      </c>
      <c r="E4567">
        <v>861</v>
      </c>
      <c r="I4567">
        <v>1</v>
      </c>
      <c r="J4567">
        <v>598</v>
      </c>
      <c r="M4567" t="s">
        <v>4689</v>
      </c>
    </row>
    <row r="4568" spans="1:13" ht="15" customHeight="1">
      <c r="A4568" s="10">
        <v>46180</v>
      </c>
      <c r="B4568" t="s">
        <v>201</v>
      </c>
      <c r="C4568" t="s">
        <v>109</v>
      </c>
      <c r="D4568">
        <v>1</v>
      </c>
      <c r="E4568">
        <v>696</v>
      </c>
      <c r="I4568">
        <v>1</v>
      </c>
      <c r="J4568">
        <v>520</v>
      </c>
      <c r="M4568" t="s">
        <v>4690</v>
      </c>
    </row>
    <row r="4569" spans="1:13" ht="15" customHeight="1">
      <c r="A4569" s="10">
        <v>46180</v>
      </c>
      <c r="B4569" t="s">
        <v>201</v>
      </c>
      <c r="C4569" t="s">
        <v>112</v>
      </c>
      <c r="D4569">
        <v>2</v>
      </c>
      <c r="E4569">
        <v>11</v>
      </c>
      <c r="I4569">
        <v>2</v>
      </c>
      <c r="J4569">
        <v>11</v>
      </c>
      <c r="M4569" t="s">
        <v>4691</v>
      </c>
    </row>
    <row r="4570" spans="1:13" ht="15" customHeight="1">
      <c r="A4570" s="10">
        <v>46180</v>
      </c>
      <c r="B4570" t="s">
        <v>201</v>
      </c>
      <c r="C4570" t="s">
        <v>114</v>
      </c>
      <c r="D4570">
        <v>3</v>
      </c>
      <c r="E4570">
        <v>31</v>
      </c>
      <c r="I4570">
        <v>2</v>
      </c>
      <c r="J4570">
        <v>48</v>
      </c>
      <c r="M4570" t="s">
        <v>4692</v>
      </c>
    </row>
    <row r="4571" spans="1:13" ht="15" customHeight="1">
      <c r="A4571" s="10">
        <v>46180</v>
      </c>
      <c r="B4571" t="s">
        <v>201</v>
      </c>
      <c r="C4571" t="s">
        <v>115</v>
      </c>
      <c r="D4571">
        <v>1</v>
      </c>
      <c r="E4571">
        <v>46</v>
      </c>
      <c r="I4571">
        <v>1</v>
      </c>
      <c r="J4571">
        <v>39</v>
      </c>
      <c r="M4571" t="s">
        <v>4693</v>
      </c>
    </row>
    <row r="4572" spans="1:13" ht="15" customHeight="1">
      <c r="A4572" s="10">
        <v>46180</v>
      </c>
      <c r="B4572" t="s">
        <v>201</v>
      </c>
      <c r="C4572" t="s">
        <v>116</v>
      </c>
      <c r="D4572">
        <v>2</v>
      </c>
      <c r="E4572">
        <v>34</v>
      </c>
      <c r="I4572">
        <v>2</v>
      </c>
      <c r="J4572">
        <v>25</v>
      </c>
      <c r="M4572" t="s">
        <v>4694</v>
      </c>
    </row>
    <row r="4573" spans="1:13" ht="15" customHeight="1">
      <c r="A4573" s="10">
        <v>46180</v>
      </c>
      <c r="B4573" t="s">
        <v>201</v>
      </c>
      <c r="C4573" t="s">
        <v>119</v>
      </c>
      <c r="D4573">
        <v>2</v>
      </c>
      <c r="E4573">
        <v>0</v>
      </c>
      <c r="I4573">
        <v>2</v>
      </c>
      <c r="M4573" t="s">
        <v>4695</v>
      </c>
    </row>
    <row r="4574" spans="1:13" ht="15" customHeight="1">
      <c r="A4574" s="10">
        <v>46180</v>
      </c>
      <c r="B4574" t="s">
        <v>201</v>
      </c>
      <c r="C4574" t="s">
        <v>120</v>
      </c>
      <c r="D4574">
        <v>1</v>
      </c>
      <c r="E4574">
        <v>0</v>
      </c>
      <c r="I4574">
        <v>0</v>
      </c>
      <c r="M4574" t="s">
        <v>4696</v>
      </c>
    </row>
    <row r="4575" spans="1:13" ht="15" customHeight="1">
      <c r="A4575" s="10">
        <v>46180</v>
      </c>
      <c r="B4575" t="s">
        <v>201</v>
      </c>
      <c r="C4575" t="s">
        <v>121</v>
      </c>
      <c r="D4575">
        <v>1</v>
      </c>
      <c r="E4575">
        <v>0</v>
      </c>
      <c r="I4575">
        <v>1</v>
      </c>
      <c r="M4575" t="s">
        <v>4697</v>
      </c>
    </row>
    <row r="4576" spans="1:13" ht="15" customHeight="1">
      <c r="A4576" s="10">
        <v>46180</v>
      </c>
      <c r="B4576" t="s">
        <v>201</v>
      </c>
      <c r="C4576" t="s">
        <v>123</v>
      </c>
      <c r="D4576">
        <v>1</v>
      </c>
      <c r="E4576">
        <v>0</v>
      </c>
      <c r="I4576">
        <v>1</v>
      </c>
      <c r="M4576" t="s">
        <v>4698</v>
      </c>
    </row>
    <row r="4577" spans="1:13" ht="15" customHeight="1">
      <c r="A4577" s="10">
        <v>46180</v>
      </c>
      <c r="B4577" t="s">
        <v>201</v>
      </c>
      <c r="C4577" t="s">
        <v>124</v>
      </c>
      <c r="D4577">
        <v>2</v>
      </c>
      <c r="E4577">
        <v>0</v>
      </c>
      <c r="I4577">
        <v>2</v>
      </c>
      <c r="M4577" t="s">
        <v>4699</v>
      </c>
    </row>
    <row r="4578" spans="1:13" ht="15" customHeight="1">
      <c r="A4578" s="10">
        <v>46180</v>
      </c>
      <c r="B4578" t="s">
        <v>201</v>
      </c>
      <c r="C4578" t="s">
        <v>125</v>
      </c>
      <c r="D4578">
        <v>2</v>
      </c>
      <c r="E4578">
        <v>0</v>
      </c>
      <c r="I4578">
        <v>1</v>
      </c>
      <c r="M4578" t="s">
        <v>4700</v>
      </c>
    </row>
    <row r="4579" spans="1:13" ht="15" customHeight="1">
      <c r="A4579" s="10">
        <v>46180</v>
      </c>
      <c r="B4579" t="s">
        <v>201</v>
      </c>
      <c r="C4579" t="s">
        <v>126</v>
      </c>
      <c r="D4579">
        <v>2</v>
      </c>
      <c r="E4579">
        <v>0</v>
      </c>
      <c r="I4579">
        <v>2</v>
      </c>
      <c r="M4579" t="s">
        <v>4701</v>
      </c>
    </row>
    <row r="4580" spans="1:13" ht="15" customHeight="1">
      <c r="A4580" s="10">
        <v>46180</v>
      </c>
      <c r="B4580" t="s">
        <v>201</v>
      </c>
      <c r="C4580" t="s">
        <v>128</v>
      </c>
      <c r="D4580">
        <v>3</v>
      </c>
      <c r="E4580">
        <v>0</v>
      </c>
      <c r="I4580">
        <v>3</v>
      </c>
      <c r="M4580" t="s">
        <v>4702</v>
      </c>
    </row>
    <row r="4581" spans="1:13" ht="15" customHeight="1">
      <c r="A4581" s="10">
        <v>46180</v>
      </c>
      <c r="B4581" t="s">
        <v>201</v>
      </c>
      <c r="C4581" t="s">
        <v>130</v>
      </c>
      <c r="D4581">
        <v>6</v>
      </c>
      <c r="E4581">
        <v>0</v>
      </c>
      <c r="I4581">
        <v>4</v>
      </c>
      <c r="M4581" t="s">
        <v>4703</v>
      </c>
    </row>
    <row r="4582" spans="1:13" ht="15" customHeight="1">
      <c r="A4582" s="10">
        <v>46180</v>
      </c>
      <c r="B4582" t="s">
        <v>201</v>
      </c>
      <c r="C4582" t="s">
        <v>285</v>
      </c>
      <c r="D4582">
        <v>2</v>
      </c>
      <c r="E4582">
        <v>0</v>
      </c>
      <c r="I4582">
        <v>2</v>
      </c>
      <c r="M4582" t="s">
        <v>4704</v>
      </c>
    </row>
    <row r="4583" spans="1:13" ht="15" customHeight="1">
      <c r="A4583" s="10">
        <v>46180</v>
      </c>
      <c r="B4583" t="s">
        <v>201</v>
      </c>
      <c r="C4583" t="s">
        <v>287</v>
      </c>
      <c r="D4583">
        <v>2</v>
      </c>
      <c r="E4583">
        <v>0</v>
      </c>
      <c r="I4583">
        <v>2</v>
      </c>
      <c r="M4583" t="s">
        <v>4705</v>
      </c>
    </row>
    <row r="4584" spans="1:13" ht="15" customHeight="1">
      <c r="A4584" s="10">
        <v>46180</v>
      </c>
      <c r="B4584" t="s">
        <v>201</v>
      </c>
      <c r="C4584" t="s">
        <v>289</v>
      </c>
      <c r="D4584">
        <v>3</v>
      </c>
      <c r="E4584">
        <v>0</v>
      </c>
      <c r="I4584">
        <v>1</v>
      </c>
      <c r="M4584" t="s">
        <v>4706</v>
      </c>
    </row>
    <row r="4585" spans="1:13" ht="15" customHeight="1">
      <c r="A4585" s="10">
        <v>46180</v>
      </c>
      <c r="B4585" t="s">
        <v>201</v>
      </c>
      <c r="C4585" t="s">
        <v>291</v>
      </c>
      <c r="D4585">
        <v>2</v>
      </c>
      <c r="E4585">
        <v>0</v>
      </c>
      <c r="I4585">
        <v>2</v>
      </c>
      <c r="M4585" t="s">
        <v>4707</v>
      </c>
    </row>
    <row r="4586" spans="1:13" ht="15" customHeight="1">
      <c r="A4586" s="10">
        <v>46180</v>
      </c>
      <c r="B4586" t="s">
        <v>201</v>
      </c>
      <c r="C4586" t="s">
        <v>293</v>
      </c>
      <c r="D4586">
        <v>3</v>
      </c>
      <c r="E4586">
        <v>0</v>
      </c>
      <c r="I4586">
        <v>2</v>
      </c>
      <c r="M4586" t="s">
        <v>4708</v>
      </c>
    </row>
    <row r="4587" spans="1:13" ht="15" customHeight="1">
      <c r="A4587" s="10">
        <v>46180</v>
      </c>
      <c r="B4587" t="s">
        <v>201</v>
      </c>
      <c r="C4587" s="135" t="s">
        <v>138</v>
      </c>
      <c r="D4587">
        <v>0</v>
      </c>
      <c r="E4587">
        <v>32</v>
      </c>
      <c r="I4587">
        <v>0</v>
      </c>
      <c r="J4587">
        <v>27</v>
      </c>
      <c r="M4587" t="s">
        <v>4709</v>
      </c>
    </row>
    <row r="4588" spans="1:13" ht="15" customHeight="1">
      <c r="A4588" s="10">
        <v>46180</v>
      </c>
      <c r="B4588" t="s">
        <v>201</v>
      </c>
      <c r="C4588" s="135" t="s">
        <v>139</v>
      </c>
      <c r="D4588">
        <v>0</v>
      </c>
      <c r="E4588">
        <v>49</v>
      </c>
      <c r="I4588">
        <v>0</v>
      </c>
      <c r="J4588">
        <v>49</v>
      </c>
      <c r="M4588" t="s">
        <v>4710</v>
      </c>
    </row>
    <row r="4589" spans="1:13" ht="15" customHeight="1">
      <c r="A4589" s="10">
        <v>46180</v>
      </c>
      <c r="B4589" t="s">
        <v>201</v>
      </c>
      <c r="C4589" s="135" t="s">
        <v>140</v>
      </c>
      <c r="D4589">
        <v>0</v>
      </c>
      <c r="E4589">
        <v>36</v>
      </c>
      <c r="I4589">
        <v>0</v>
      </c>
      <c r="J4589">
        <v>36</v>
      </c>
      <c r="M4589" t="s">
        <v>4711</v>
      </c>
    </row>
    <row r="4590" spans="1:13" ht="15" customHeight="1">
      <c r="A4590" s="10">
        <v>46180</v>
      </c>
      <c r="B4590" t="s">
        <v>201</v>
      </c>
      <c r="C4590" s="135" t="s">
        <v>141</v>
      </c>
      <c r="D4590">
        <v>1</v>
      </c>
      <c r="E4590">
        <v>1</v>
      </c>
      <c r="I4590">
        <v>0</v>
      </c>
      <c r="J4590">
        <v>1</v>
      </c>
      <c r="M4590" t="s">
        <v>4712</v>
      </c>
    </row>
    <row r="4591" spans="1:13" ht="15" customHeight="1">
      <c r="A4591" s="10">
        <v>46180</v>
      </c>
      <c r="B4591" t="s">
        <v>201</v>
      </c>
      <c r="C4591" s="135" t="s">
        <v>143</v>
      </c>
      <c r="D4591">
        <v>0</v>
      </c>
      <c r="E4591">
        <v>41</v>
      </c>
      <c r="I4591">
        <v>0</v>
      </c>
      <c r="J4591">
        <v>36</v>
      </c>
      <c r="M4591" t="s">
        <v>4713</v>
      </c>
    </row>
    <row r="4592" spans="1:13" ht="15" customHeight="1">
      <c r="A4592" s="10">
        <v>46180</v>
      </c>
      <c r="B4592" t="s">
        <v>201</v>
      </c>
      <c r="C4592" s="135" t="s">
        <v>145</v>
      </c>
      <c r="D4592">
        <v>0</v>
      </c>
      <c r="E4592">
        <v>28</v>
      </c>
      <c r="I4592">
        <v>0</v>
      </c>
      <c r="J4592">
        <v>26</v>
      </c>
      <c r="M4592" t="s">
        <v>4714</v>
      </c>
    </row>
    <row r="4593" spans="1:13" ht="15" customHeight="1">
      <c r="A4593" s="10">
        <v>46180</v>
      </c>
      <c r="B4593" t="s">
        <v>201</v>
      </c>
      <c r="C4593" s="135" t="s">
        <v>147</v>
      </c>
      <c r="D4593">
        <v>0</v>
      </c>
      <c r="E4593">
        <v>36</v>
      </c>
      <c r="I4593">
        <v>0</v>
      </c>
      <c r="J4593">
        <v>36</v>
      </c>
      <c r="M4593" t="s">
        <v>4715</v>
      </c>
    </row>
    <row r="4594" spans="1:13" ht="15" customHeight="1">
      <c r="A4594" s="10">
        <v>46180</v>
      </c>
      <c r="B4594" t="s">
        <v>201</v>
      </c>
      <c r="C4594" t="s">
        <v>302</v>
      </c>
      <c r="D4594">
        <v>2</v>
      </c>
      <c r="E4594">
        <v>2</v>
      </c>
      <c r="I4594">
        <v>1</v>
      </c>
      <c r="M4594" t="s">
        <v>4716</v>
      </c>
    </row>
    <row r="4595" spans="1:13" ht="15" customHeight="1">
      <c r="A4595" s="10">
        <v>46180</v>
      </c>
      <c r="B4595" t="s">
        <v>201</v>
      </c>
      <c r="C4595" t="s">
        <v>150</v>
      </c>
      <c r="D4595">
        <v>1</v>
      </c>
      <c r="E4595">
        <v>0</v>
      </c>
      <c r="I4595">
        <v>1</v>
      </c>
      <c r="M4595" t="s">
        <v>4717</v>
      </c>
    </row>
    <row r="4596" spans="1:13" ht="15" customHeight="1">
      <c r="A4596" s="10">
        <v>46180</v>
      </c>
      <c r="B4596" t="s">
        <v>201</v>
      </c>
      <c r="C4596" t="s">
        <v>151</v>
      </c>
      <c r="D4596">
        <v>0</v>
      </c>
      <c r="E4596">
        <v>0</v>
      </c>
      <c r="I4596">
        <v>0</v>
      </c>
      <c r="M4596" t="s">
        <v>4718</v>
      </c>
    </row>
    <row r="4597" spans="1:13" ht="15" customHeight="1">
      <c r="A4597" s="10">
        <v>46180</v>
      </c>
      <c r="B4597" t="s">
        <v>201</v>
      </c>
      <c r="C4597" t="s">
        <v>152</v>
      </c>
      <c r="D4597">
        <v>2</v>
      </c>
      <c r="E4597">
        <v>0</v>
      </c>
      <c r="I4597">
        <v>2</v>
      </c>
      <c r="M4597" t="s">
        <v>4719</v>
      </c>
    </row>
    <row r="4598" spans="1:13" ht="15" customHeight="1">
      <c r="A4598" s="10">
        <v>46180</v>
      </c>
      <c r="B4598" t="s">
        <v>201</v>
      </c>
      <c r="C4598" t="s">
        <v>153</v>
      </c>
      <c r="D4598">
        <v>2</v>
      </c>
      <c r="E4598">
        <v>0</v>
      </c>
      <c r="I4598">
        <v>2</v>
      </c>
      <c r="M4598" t="s">
        <v>4720</v>
      </c>
    </row>
    <row r="4599" spans="1:13" ht="15" customHeight="1">
      <c r="A4599" s="10">
        <v>46180</v>
      </c>
      <c r="B4599" t="s">
        <v>201</v>
      </c>
      <c r="C4599" t="s">
        <v>308</v>
      </c>
      <c r="D4599">
        <v>4</v>
      </c>
      <c r="E4599">
        <v>3</v>
      </c>
      <c r="I4599">
        <v>0</v>
      </c>
      <c r="J4599">
        <v>3</v>
      </c>
      <c r="M4599" t="s">
        <v>4721</v>
      </c>
    </row>
    <row r="4600" spans="1:13" ht="15" customHeight="1">
      <c r="A4600" s="10">
        <v>46180</v>
      </c>
      <c r="B4600" t="s">
        <v>201</v>
      </c>
      <c r="C4600" t="s">
        <v>310</v>
      </c>
      <c r="D4600">
        <v>2</v>
      </c>
      <c r="E4600">
        <v>2</v>
      </c>
      <c r="I4600">
        <v>0</v>
      </c>
      <c r="J4600">
        <v>2</v>
      </c>
      <c r="M4600" t="s">
        <v>4722</v>
      </c>
    </row>
    <row r="4601" spans="1:13" ht="15" customHeight="1">
      <c r="A4601" s="10">
        <v>46180</v>
      </c>
      <c r="B4601" t="s">
        <v>201</v>
      </c>
      <c r="C4601" t="s">
        <v>312</v>
      </c>
      <c r="D4601">
        <v>4</v>
      </c>
      <c r="E4601">
        <v>5</v>
      </c>
      <c r="I4601">
        <v>0</v>
      </c>
      <c r="J4601">
        <v>5</v>
      </c>
      <c r="M4601" t="s">
        <v>4723</v>
      </c>
    </row>
    <row r="4602" spans="1:13" ht="15" customHeight="1">
      <c r="A4602" s="10">
        <v>46180</v>
      </c>
      <c r="B4602" t="s">
        <v>201</v>
      </c>
      <c r="C4602" t="s">
        <v>314</v>
      </c>
      <c r="D4602">
        <v>1</v>
      </c>
      <c r="E4602">
        <v>0</v>
      </c>
      <c r="I4602">
        <v>1</v>
      </c>
      <c r="M4602" t="s">
        <v>4724</v>
      </c>
    </row>
    <row r="4603" spans="1:13" ht="15" customHeight="1">
      <c r="A4603" s="10">
        <v>46180</v>
      </c>
      <c r="B4603" t="s">
        <v>201</v>
      </c>
      <c r="C4603" t="s">
        <v>316</v>
      </c>
      <c r="D4603">
        <v>1</v>
      </c>
      <c r="E4603">
        <v>0</v>
      </c>
      <c r="I4603">
        <v>0</v>
      </c>
      <c r="M4603" t="s">
        <v>4725</v>
      </c>
    </row>
    <row r="4604" spans="1:13" ht="15" customHeight="1">
      <c r="A4604" s="10">
        <v>46180</v>
      </c>
      <c r="B4604" t="s">
        <v>201</v>
      </c>
      <c r="C4604" t="s">
        <v>318</v>
      </c>
      <c r="D4604">
        <v>3</v>
      </c>
      <c r="E4604">
        <v>0</v>
      </c>
      <c r="I4604">
        <v>3</v>
      </c>
      <c r="M4604" t="s">
        <v>4726</v>
      </c>
    </row>
    <row r="4605" spans="1:13" ht="15" customHeight="1">
      <c r="A4605" s="10">
        <v>46180</v>
      </c>
      <c r="B4605" t="s">
        <v>201</v>
      </c>
      <c r="C4605" t="s">
        <v>320</v>
      </c>
      <c r="D4605">
        <v>1</v>
      </c>
      <c r="E4605">
        <v>0</v>
      </c>
      <c r="I4605">
        <v>1</v>
      </c>
      <c r="M4605" t="s">
        <v>4727</v>
      </c>
    </row>
    <row r="4606" spans="1:13" ht="15" customHeight="1">
      <c r="A4606" s="10">
        <v>46180</v>
      </c>
      <c r="B4606" t="s">
        <v>201</v>
      </c>
      <c r="C4606" t="s">
        <v>322</v>
      </c>
      <c r="D4606">
        <v>2</v>
      </c>
      <c r="E4606">
        <v>0</v>
      </c>
      <c r="I4606">
        <v>2</v>
      </c>
      <c r="M4606" t="s">
        <v>4728</v>
      </c>
    </row>
    <row r="4607" spans="1:13" ht="15" customHeight="1">
      <c r="A4607" s="10">
        <v>46180</v>
      </c>
      <c r="B4607" t="s">
        <v>201</v>
      </c>
      <c r="C4607" s="135" t="s">
        <v>168</v>
      </c>
      <c r="D4607">
        <v>1</v>
      </c>
      <c r="E4607">
        <v>0</v>
      </c>
      <c r="I4607">
        <v>1</v>
      </c>
      <c r="M4607" t="s">
        <v>4729</v>
      </c>
    </row>
    <row r="4608" spans="1:13" ht="15" customHeight="1">
      <c r="A4608" s="10">
        <v>46180</v>
      </c>
      <c r="B4608" t="s">
        <v>201</v>
      </c>
      <c r="C4608" s="135" t="s">
        <v>170</v>
      </c>
      <c r="D4608">
        <v>1</v>
      </c>
      <c r="E4608">
        <v>0</v>
      </c>
      <c r="I4608">
        <v>1</v>
      </c>
      <c r="M4608" t="s">
        <v>4730</v>
      </c>
    </row>
    <row r="4609" spans="1:13" ht="15" customHeight="1">
      <c r="A4609" s="10">
        <v>46180</v>
      </c>
      <c r="B4609" t="s">
        <v>201</v>
      </c>
      <c r="C4609" s="135" t="s">
        <v>171</v>
      </c>
      <c r="D4609">
        <v>3</v>
      </c>
      <c r="E4609">
        <v>0</v>
      </c>
      <c r="I4609">
        <v>3</v>
      </c>
      <c r="M4609" t="s">
        <v>4731</v>
      </c>
    </row>
    <row r="4610" spans="1:13" ht="15" customHeight="1">
      <c r="A4610" s="10">
        <v>46180</v>
      </c>
      <c r="B4610" t="s">
        <v>201</v>
      </c>
      <c r="C4610" s="135" t="s">
        <v>172</v>
      </c>
      <c r="D4610">
        <v>1</v>
      </c>
      <c r="E4610">
        <v>0</v>
      </c>
      <c r="I4610">
        <v>1</v>
      </c>
      <c r="M4610" t="s">
        <v>4732</v>
      </c>
    </row>
    <row r="4611" spans="1:13" ht="15" customHeight="1">
      <c r="A4611" s="10">
        <v>46180</v>
      </c>
      <c r="B4611" t="s">
        <v>201</v>
      </c>
      <c r="C4611" s="135" t="s">
        <v>173</v>
      </c>
      <c r="D4611">
        <v>1</v>
      </c>
      <c r="E4611">
        <v>0</v>
      </c>
      <c r="I4611">
        <v>1</v>
      </c>
      <c r="M4611" t="s">
        <v>4733</v>
      </c>
    </row>
    <row r="4612" spans="1:13" ht="15" customHeight="1">
      <c r="A4612" s="10">
        <v>46180</v>
      </c>
      <c r="B4612" t="s">
        <v>201</v>
      </c>
      <c r="C4612" t="s">
        <v>176</v>
      </c>
      <c r="D4612">
        <v>22</v>
      </c>
      <c r="E4612">
        <v>22</v>
      </c>
      <c r="I4612">
        <v>0</v>
      </c>
      <c r="J4612">
        <v>22</v>
      </c>
      <c r="M4612" t="s">
        <v>4734</v>
      </c>
    </row>
    <row r="4613" spans="1:13" ht="15" customHeight="1">
      <c r="A4613" s="10">
        <v>46180</v>
      </c>
      <c r="B4613" t="s">
        <v>201</v>
      </c>
      <c r="C4613" t="s">
        <v>178</v>
      </c>
      <c r="D4613">
        <v>18</v>
      </c>
      <c r="E4613">
        <v>18</v>
      </c>
      <c r="I4613">
        <v>0</v>
      </c>
      <c r="J4613">
        <v>18</v>
      </c>
      <c r="M4613" t="s">
        <v>4735</v>
      </c>
    </row>
    <row r="4614" spans="1:13" ht="15" customHeight="1">
      <c r="A4614" s="10">
        <v>46180</v>
      </c>
      <c r="B4614" t="s">
        <v>201</v>
      </c>
      <c r="C4614" t="s">
        <v>179</v>
      </c>
      <c r="D4614">
        <v>20</v>
      </c>
      <c r="E4614">
        <v>20</v>
      </c>
      <c r="H4614">
        <v>1</v>
      </c>
      <c r="I4614">
        <v>0</v>
      </c>
      <c r="J4614">
        <v>19</v>
      </c>
      <c r="M4614" t="s">
        <v>4736</v>
      </c>
    </row>
    <row r="4615" spans="1:13" ht="15" customHeight="1">
      <c r="A4615" s="10">
        <v>46180</v>
      </c>
      <c r="B4615" t="s">
        <v>201</v>
      </c>
      <c r="C4615" t="s">
        <v>180</v>
      </c>
      <c r="D4615">
        <v>17</v>
      </c>
      <c r="E4615">
        <v>17</v>
      </c>
      <c r="H4615">
        <v>1</v>
      </c>
      <c r="I4615">
        <v>0</v>
      </c>
      <c r="J4615">
        <v>16</v>
      </c>
      <c r="M4615" t="s">
        <v>4737</v>
      </c>
    </row>
    <row r="4616" spans="1:13" ht="15" customHeight="1">
      <c r="A4616" s="10">
        <v>46180</v>
      </c>
      <c r="B4616" t="s">
        <v>201</v>
      </c>
      <c r="C4616" s="135" t="s">
        <v>182</v>
      </c>
      <c r="D4616">
        <v>1</v>
      </c>
      <c r="E4616">
        <v>158</v>
      </c>
      <c r="I4616">
        <v>1</v>
      </c>
      <c r="J4616">
        <v>158</v>
      </c>
      <c r="M4616" t="s">
        <v>4738</v>
      </c>
    </row>
    <row r="4617" spans="1:13" ht="15" customHeight="1">
      <c r="A4617" s="10">
        <v>46180</v>
      </c>
      <c r="B4617" t="s">
        <v>201</v>
      </c>
      <c r="C4617" s="135" t="s">
        <v>184</v>
      </c>
      <c r="D4617">
        <v>1</v>
      </c>
      <c r="E4617">
        <v>60</v>
      </c>
      <c r="I4617">
        <v>1</v>
      </c>
      <c r="J4617">
        <v>54</v>
      </c>
      <c r="M4617" t="s">
        <v>4739</v>
      </c>
    </row>
    <row r="4618" spans="1:13" ht="15" customHeight="1">
      <c r="A4618" s="10">
        <v>46180</v>
      </c>
      <c r="B4618" t="s">
        <v>201</v>
      </c>
      <c r="C4618" s="135" t="s">
        <v>185</v>
      </c>
      <c r="D4618">
        <v>1</v>
      </c>
      <c r="E4618">
        <v>44</v>
      </c>
      <c r="I4618">
        <v>1</v>
      </c>
      <c r="J4618">
        <v>40</v>
      </c>
      <c r="M4618" t="s">
        <v>4740</v>
      </c>
    </row>
    <row r="4619" spans="1:13" ht="15" customHeight="1">
      <c r="A4619" s="10">
        <v>46180</v>
      </c>
      <c r="B4619" t="s">
        <v>201</v>
      </c>
      <c r="C4619" s="135" t="s">
        <v>186</v>
      </c>
      <c r="D4619">
        <v>1</v>
      </c>
      <c r="E4619">
        <v>650</v>
      </c>
      <c r="I4619">
        <v>1</v>
      </c>
      <c r="J4619">
        <v>650</v>
      </c>
      <c r="M4619" t="s">
        <v>4741</v>
      </c>
    </row>
    <row r="4620" spans="1:13" ht="15" customHeight="1">
      <c r="A4620" s="10">
        <v>46180</v>
      </c>
      <c r="B4620" t="s">
        <v>201</v>
      </c>
      <c r="C4620" t="s">
        <v>337</v>
      </c>
      <c r="D4620">
        <v>1</v>
      </c>
      <c r="E4620">
        <v>324</v>
      </c>
      <c r="I4620">
        <v>1</v>
      </c>
      <c r="J4620">
        <v>218</v>
      </c>
      <c r="M4620" t="s">
        <v>4742</v>
      </c>
    </row>
    <row r="4621" spans="1:13" ht="15" customHeight="1">
      <c r="A4621" s="10">
        <v>46180</v>
      </c>
      <c r="B4621" t="s">
        <v>201</v>
      </c>
      <c r="C4621" t="s">
        <v>339</v>
      </c>
      <c r="D4621">
        <v>0</v>
      </c>
      <c r="E4621">
        <v>0</v>
      </c>
      <c r="I4621">
        <v>0</v>
      </c>
      <c r="J4621">
        <v>0</v>
      </c>
      <c r="M4621" t="s">
        <v>4743</v>
      </c>
    </row>
    <row r="4622" spans="1:13" ht="15" customHeight="1">
      <c r="A4622" s="10">
        <v>46180</v>
      </c>
      <c r="B4622" t="s">
        <v>201</v>
      </c>
      <c r="C4622" s="135" t="s">
        <v>191</v>
      </c>
      <c r="D4622">
        <v>1</v>
      </c>
      <c r="E4622">
        <v>315</v>
      </c>
      <c r="I4622">
        <v>1</v>
      </c>
      <c r="J4622">
        <v>276</v>
      </c>
      <c r="M4622" t="s">
        <v>4744</v>
      </c>
    </row>
    <row r="4623" spans="1:13" ht="15" customHeight="1">
      <c r="A4623" s="10">
        <v>46180</v>
      </c>
      <c r="B4623" t="s">
        <v>201</v>
      </c>
      <c r="C4623" s="135" t="s">
        <v>193</v>
      </c>
      <c r="D4623">
        <v>0</v>
      </c>
      <c r="E4623">
        <v>653</v>
      </c>
      <c r="I4623">
        <v>0</v>
      </c>
      <c r="J4623">
        <v>563</v>
      </c>
      <c r="M4623" t="s">
        <v>4745</v>
      </c>
    </row>
    <row r="4624" spans="1:13" ht="15" customHeight="1">
      <c r="A4624" s="10">
        <v>46180</v>
      </c>
      <c r="B4624" t="s">
        <v>201</v>
      </c>
      <c r="C4624" s="135" t="s">
        <v>194</v>
      </c>
      <c r="D4624">
        <v>1</v>
      </c>
      <c r="E4624">
        <v>4</v>
      </c>
      <c r="I4624">
        <v>1</v>
      </c>
      <c r="J4624">
        <v>4</v>
      </c>
      <c r="M4624" t="s">
        <v>4746</v>
      </c>
    </row>
    <row r="4625" spans="1:13" ht="15" customHeight="1">
      <c r="A4625" s="10">
        <v>46180</v>
      </c>
      <c r="B4625" t="s">
        <v>201</v>
      </c>
      <c r="C4625" s="135" t="s">
        <v>196</v>
      </c>
      <c r="D4625">
        <v>0</v>
      </c>
      <c r="E4625">
        <v>660</v>
      </c>
      <c r="I4625">
        <v>0</v>
      </c>
      <c r="J4625">
        <v>660</v>
      </c>
      <c r="M4625" t="s">
        <v>4747</v>
      </c>
    </row>
    <row r="4626" spans="1:13" ht="15" customHeight="1">
      <c r="A4626" s="10">
        <v>46180</v>
      </c>
      <c r="B4626" t="s">
        <v>201</v>
      </c>
      <c r="C4626" s="135" t="s">
        <v>199</v>
      </c>
      <c r="D4626">
        <v>0</v>
      </c>
      <c r="E4626">
        <v>115</v>
      </c>
      <c r="I4626">
        <v>0</v>
      </c>
      <c r="J4626">
        <v>39</v>
      </c>
      <c r="M4626" t="s">
        <v>4748</v>
      </c>
    </row>
    <row r="4627" spans="1:13" ht="15" customHeight="1">
      <c r="A4627" s="10">
        <v>46180</v>
      </c>
      <c r="B4627" t="s">
        <v>201</v>
      </c>
      <c r="C4627" s="135" t="s">
        <v>200</v>
      </c>
      <c r="D4627">
        <v>0</v>
      </c>
      <c r="E4627">
        <v>570</v>
      </c>
      <c r="I4627">
        <v>0</v>
      </c>
      <c r="J4627">
        <v>513</v>
      </c>
      <c r="M4627" t="s">
        <v>4749</v>
      </c>
    </row>
    <row r="4628" spans="1:13" ht="15" customHeight="1">
      <c r="A4628" s="10">
        <v>46180</v>
      </c>
      <c r="B4628" t="s">
        <v>201</v>
      </c>
      <c r="C4628" s="135" t="s">
        <v>202</v>
      </c>
      <c r="D4628">
        <v>0</v>
      </c>
      <c r="E4628">
        <v>411</v>
      </c>
      <c r="I4628">
        <v>0</v>
      </c>
      <c r="J4628">
        <v>367</v>
      </c>
      <c r="M4628" t="s">
        <v>4750</v>
      </c>
    </row>
    <row r="4629" spans="1:13" ht="15" customHeight="1">
      <c r="A4629" s="10">
        <v>46181</v>
      </c>
      <c r="B4629" t="s">
        <v>201</v>
      </c>
      <c r="C4629" t="s">
        <v>23</v>
      </c>
      <c r="D4629">
        <v>9</v>
      </c>
      <c r="E4629">
        <v>972</v>
      </c>
      <c r="I4629">
        <v>8</v>
      </c>
      <c r="J4629">
        <v>112</v>
      </c>
      <c r="M4629" t="s">
        <v>4751</v>
      </c>
    </row>
    <row r="4630" spans="1:13" ht="15" customHeight="1">
      <c r="A4630" s="10">
        <v>46181</v>
      </c>
      <c r="B4630" t="s">
        <v>201</v>
      </c>
      <c r="C4630" t="s">
        <v>26</v>
      </c>
      <c r="D4630">
        <v>0</v>
      </c>
      <c r="E4630">
        <v>139</v>
      </c>
      <c r="I4630">
        <v>0</v>
      </c>
      <c r="J4630">
        <v>0</v>
      </c>
      <c r="M4630" t="s">
        <v>4752</v>
      </c>
    </row>
    <row r="4631" spans="1:13" ht="15" customHeight="1">
      <c r="A4631" s="10">
        <v>46181</v>
      </c>
      <c r="B4631" t="s">
        <v>201</v>
      </c>
      <c r="C4631" t="s">
        <v>27</v>
      </c>
      <c r="D4631">
        <v>1</v>
      </c>
      <c r="E4631">
        <v>328</v>
      </c>
      <c r="I4631">
        <v>0</v>
      </c>
      <c r="J4631">
        <v>1160</v>
      </c>
      <c r="M4631" t="s">
        <v>4753</v>
      </c>
    </row>
    <row r="4632" spans="1:13" ht="15" customHeight="1">
      <c r="A4632" s="10">
        <v>46181</v>
      </c>
      <c r="B4632" t="s">
        <v>201</v>
      </c>
      <c r="C4632" t="s">
        <v>28</v>
      </c>
      <c r="D4632">
        <v>0</v>
      </c>
      <c r="E4632">
        <v>325</v>
      </c>
      <c r="I4632">
        <v>0</v>
      </c>
      <c r="J4632">
        <v>235</v>
      </c>
      <c r="M4632" t="s">
        <v>4754</v>
      </c>
    </row>
    <row r="4633" spans="1:13" ht="15" customHeight="1">
      <c r="A4633" s="10">
        <v>46181</v>
      </c>
      <c r="B4633" t="s">
        <v>201</v>
      </c>
      <c r="C4633" t="s">
        <v>29</v>
      </c>
      <c r="D4633">
        <v>0</v>
      </c>
      <c r="E4633">
        <v>591</v>
      </c>
      <c r="I4633">
        <v>0</v>
      </c>
      <c r="J4633">
        <v>577</v>
      </c>
      <c r="M4633" t="s">
        <v>4755</v>
      </c>
    </row>
    <row r="4634" spans="1:13" ht="15" customHeight="1">
      <c r="A4634" s="10">
        <v>46181</v>
      </c>
      <c r="B4634" t="s">
        <v>201</v>
      </c>
      <c r="C4634" t="s">
        <v>30</v>
      </c>
      <c r="D4634">
        <v>0</v>
      </c>
      <c r="E4634">
        <v>1183</v>
      </c>
      <c r="I4634">
        <v>0</v>
      </c>
      <c r="J4634">
        <v>1080</v>
      </c>
      <c r="M4634" t="s">
        <v>4756</v>
      </c>
    </row>
    <row r="4635" spans="1:13" ht="15" customHeight="1">
      <c r="A4635" s="10">
        <v>46181</v>
      </c>
      <c r="B4635" t="s">
        <v>201</v>
      </c>
      <c r="C4635" t="s">
        <v>31</v>
      </c>
      <c r="D4635">
        <v>1</v>
      </c>
      <c r="E4635">
        <v>494</v>
      </c>
      <c r="I4635">
        <v>1</v>
      </c>
      <c r="J4635">
        <v>240</v>
      </c>
      <c r="M4635" t="s">
        <v>4757</v>
      </c>
    </row>
    <row r="4636" spans="1:13" ht="15" customHeight="1">
      <c r="A4636" s="10">
        <v>46181</v>
      </c>
      <c r="B4636" t="s">
        <v>201</v>
      </c>
      <c r="C4636" t="s">
        <v>32</v>
      </c>
      <c r="D4636">
        <v>1</v>
      </c>
      <c r="E4636">
        <v>536</v>
      </c>
      <c r="I4636">
        <v>0</v>
      </c>
      <c r="J4636">
        <v>925</v>
      </c>
      <c r="M4636" t="s">
        <v>4758</v>
      </c>
    </row>
    <row r="4637" spans="1:13" ht="15" customHeight="1">
      <c r="A4637" s="10">
        <v>46181</v>
      </c>
      <c r="B4637" t="s">
        <v>201</v>
      </c>
      <c r="C4637" t="s">
        <v>223</v>
      </c>
      <c r="D4637">
        <v>6</v>
      </c>
      <c r="E4637">
        <v>890</v>
      </c>
      <c r="I4637">
        <v>6</v>
      </c>
      <c r="J4637">
        <v>271</v>
      </c>
      <c r="M4637" t="s">
        <v>4759</v>
      </c>
    </row>
    <row r="4638" spans="1:13" ht="15" customHeight="1">
      <c r="A4638" s="10">
        <v>46181</v>
      </c>
      <c r="B4638" t="s">
        <v>201</v>
      </c>
      <c r="C4638" t="s">
        <v>35</v>
      </c>
      <c r="D4638">
        <v>8</v>
      </c>
      <c r="E4638">
        <v>0</v>
      </c>
      <c r="H4638">
        <v>4</v>
      </c>
      <c r="I4638">
        <v>4</v>
      </c>
      <c r="M4638" t="s">
        <v>4760</v>
      </c>
    </row>
    <row r="4639" spans="1:13" ht="15" customHeight="1">
      <c r="A4639" s="10">
        <v>46181</v>
      </c>
      <c r="B4639" t="s">
        <v>201</v>
      </c>
      <c r="C4639" t="s">
        <v>37</v>
      </c>
      <c r="D4639">
        <v>2</v>
      </c>
      <c r="E4639">
        <v>0</v>
      </c>
      <c r="I4639">
        <v>2</v>
      </c>
      <c r="M4639" t="s">
        <v>4761</v>
      </c>
    </row>
    <row r="4640" spans="1:13" ht="15" customHeight="1">
      <c r="A4640" s="10">
        <v>46181</v>
      </c>
      <c r="B4640" t="s">
        <v>201</v>
      </c>
      <c r="C4640" t="s">
        <v>39</v>
      </c>
      <c r="D4640">
        <v>13</v>
      </c>
      <c r="E4640">
        <v>0</v>
      </c>
      <c r="I4640">
        <v>13</v>
      </c>
      <c r="J4640">
        <v>0</v>
      </c>
      <c r="M4640" t="s">
        <v>4762</v>
      </c>
    </row>
    <row r="4641" spans="1:13" ht="15" customHeight="1">
      <c r="A4641" s="10">
        <v>46181</v>
      </c>
      <c r="B4641" t="s">
        <v>201</v>
      </c>
      <c r="C4641" t="s">
        <v>41</v>
      </c>
      <c r="D4641">
        <v>25</v>
      </c>
      <c r="E4641">
        <v>0</v>
      </c>
      <c r="I4641">
        <v>25</v>
      </c>
      <c r="J4641">
        <v>0</v>
      </c>
      <c r="M4641" t="s">
        <v>4763</v>
      </c>
    </row>
    <row r="4642" spans="1:13" ht="15" customHeight="1">
      <c r="A4642" s="10">
        <v>46181</v>
      </c>
      <c r="B4642" t="s">
        <v>201</v>
      </c>
      <c r="C4642" s="135" t="s">
        <v>44</v>
      </c>
      <c r="D4642">
        <v>6</v>
      </c>
      <c r="E4642">
        <v>7550</v>
      </c>
      <c r="I4642">
        <v>5</v>
      </c>
      <c r="J4642">
        <v>7988</v>
      </c>
      <c r="M4642" t="s">
        <v>4764</v>
      </c>
    </row>
    <row r="4643" spans="1:13" ht="15" customHeight="1">
      <c r="A4643" s="10">
        <v>46181</v>
      </c>
      <c r="B4643" t="s">
        <v>201</v>
      </c>
      <c r="C4643" t="s">
        <v>230</v>
      </c>
      <c r="D4643">
        <v>1</v>
      </c>
      <c r="E4643">
        <v>265</v>
      </c>
      <c r="I4643">
        <v>1</v>
      </c>
      <c r="J4643">
        <v>265</v>
      </c>
      <c r="M4643" t="s">
        <v>4765</v>
      </c>
    </row>
    <row r="4644" spans="1:13" ht="15" customHeight="1">
      <c r="A4644" s="10">
        <v>46181</v>
      </c>
      <c r="B4644" t="s">
        <v>201</v>
      </c>
      <c r="C4644" t="s">
        <v>232</v>
      </c>
      <c r="D4644">
        <v>12</v>
      </c>
      <c r="E4644">
        <v>0</v>
      </c>
      <c r="I4644">
        <v>0</v>
      </c>
      <c r="J4644">
        <v>0</v>
      </c>
      <c r="M4644" t="s">
        <v>4766</v>
      </c>
    </row>
    <row r="4645" spans="1:13" ht="15" customHeight="1">
      <c r="A4645" s="10">
        <v>46181</v>
      </c>
      <c r="B4645" t="s">
        <v>201</v>
      </c>
      <c r="C4645" t="s">
        <v>234</v>
      </c>
      <c r="D4645">
        <v>86</v>
      </c>
      <c r="E4645">
        <v>0</v>
      </c>
      <c r="H4645">
        <v>9</v>
      </c>
      <c r="I4645">
        <v>77</v>
      </c>
      <c r="J4645">
        <v>0</v>
      </c>
      <c r="M4645" t="s">
        <v>4767</v>
      </c>
    </row>
    <row r="4646" spans="1:13" ht="15" customHeight="1">
      <c r="A4646" s="10">
        <v>46181</v>
      </c>
      <c r="B4646" t="s">
        <v>201</v>
      </c>
      <c r="C4646" t="s">
        <v>54</v>
      </c>
      <c r="D4646">
        <v>0</v>
      </c>
      <c r="E4646">
        <v>0</v>
      </c>
      <c r="H4646">
        <v>0</v>
      </c>
      <c r="I4646">
        <v>0</v>
      </c>
      <c r="J4646">
        <v>0</v>
      </c>
      <c r="M4646" t="s">
        <v>4768</v>
      </c>
    </row>
    <row r="4647" spans="1:13" ht="15" customHeight="1">
      <c r="A4647" s="10">
        <v>46181</v>
      </c>
      <c r="B4647" t="s">
        <v>201</v>
      </c>
      <c r="C4647" t="s">
        <v>237</v>
      </c>
      <c r="D4647">
        <v>10</v>
      </c>
      <c r="E4647">
        <v>0</v>
      </c>
      <c r="H4647">
        <v>0</v>
      </c>
      <c r="I4647">
        <v>10</v>
      </c>
      <c r="J4647">
        <v>0</v>
      </c>
      <c r="M4647" t="s">
        <v>4769</v>
      </c>
    </row>
    <row r="4648" spans="1:13" ht="15" customHeight="1">
      <c r="A4648" s="10">
        <v>46181</v>
      </c>
      <c r="B4648" t="s">
        <v>201</v>
      </c>
      <c r="C4648" s="135" t="s">
        <v>58</v>
      </c>
      <c r="D4648">
        <v>13</v>
      </c>
      <c r="E4648">
        <v>0</v>
      </c>
      <c r="H4648">
        <v>3</v>
      </c>
      <c r="I4648">
        <v>10</v>
      </c>
      <c r="J4648">
        <v>0</v>
      </c>
      <c r="M4648" t="s">
        <v>4770</v>
      </c>
    </row>
    <row r="4649" spans="1:13" ht="15" customHeight="1">
      <c r="A4649" s="10">
        <v>46181</v>
      </c>
      <c r="B4649" t="s">
        <v>201</v>
      </c>
      <c r="C4649" s="135" t="s">
        <v>60</v>
      </c>
      <c r="D4649">
        <v>15</v>
      </c>
      <c r="E4649">
        <v>0</v>
      </c>
      <c r="H4649">
        <v>2</v>
      </c>
      <c r="I4649">
        <v>13</v>
      </c>
      <c r="J4649">
        <v>0</v>
      </c>
      <c r="M4649" t="s">
        <v>4771</v>
      </c>
    </row>
    <row r="4650" spans="1:13" ht="15" customHeight="1">
      <c r="A4650" s="10">
        <v>46181</v>
      </c>
      <c r="B4650" t="s">
        <v>201</v>
      </c>
      <c r="C4650" s="135" t="s">
        <v>61</v>
      </c>
      <c r="D4650">
        <v>8</v>
      </c>
      <c r="E4650">
        <v>0</v>
      </c>
      <c r="H4650">
        <v>1</v>
      </c>
      <c r="I4650">
        <v>7</v>
      </c>
      <c r="J4650">
        <v>0</v>
      </c>
      <c r="M4650" t="s">
        <v>4772</v>
      </c>
    </row>
    <row r="4651" spans="1:13" ht="15" customHeight="1">
      <c r="A4651" s="10">
        <v>46181</v>
      </c>
      <c r="B4651" t="s">
        <v>201</v>
      </c>
      <c r="C4651" s="135" t="s">
        <v>62</v>
      </c>
      <c r="D4651">
        <v>16</v>
      </c>
      <c r="E4651">
        <v>0</v>
      </c>
      <c r="H4651">
        <v>0</v>
      </c>
      <c r="I4651">
        <v>16</v>
      </c>
      <c r="J4651">
        <v>0</v>
      </c>
      <c r="M4651" t="s">
        <v>4773</v>
      </c>
    </row>
    <row r="4652" spans="1:13" ht="15" customHeight="1">
      <c r="A4652" s="10">
        <v>46181</v>
      </c>
      <c r="B4652" t="s">
        <v>201</v>
      </c>
      <c r="C4652" s="135" t="s">
        <v>63</v>
      </c>
      <c r="D4652">
        <v>16</v>
      </c>
      <c r="E4652">
        <v>0</v>
      </c>
      <c r="H4652">
        <v>1</v>
      </c>
      <c r="I4652">
        <v>15</v>
      </c>
      <c r="J4652">
        <v>0</v>
      </c>
      <c r="M4652" t="s">
        <v>4774</v>
      </c>
    </row>
    <row r="4653" spans="1:13" ht="15" customHeight="1">
      <c r="A4653" s="10">
        <v>46181</v>
      </c>
      <c r="B4653" t="s">
        <v>201</v>
      </c>
      <c r="C4653" s="135" t="s">
        <v>64</v>
      </c>
      <c r="D4653">
        <v>15</v>
      </c>
      <c r="E4653">
        <v>0</v>
      </c>
      <c r="H4653">
        <v>1</v>
      </c>
      <c r="I4653">
        <v>14</v>
      </c>
      <c r="J4653">
        <v>0</v>
      </c>
      <c r="M4653" t="s">
        <v>4775</v>
      </c>
    </row>
    <row r="4654" spans="1:13" ht="15" customHeight="1">
      <c r="A4654" s="10">
        <v>46181</v>
      </c>
      <c r="B4654" t="s">
        <v>201</v>
      </c>
      <c r="C4654" t="s">
        <v>66</v>
      </c>
      <c r="D4654">
        <v>4</v>
      </c>
      <c r="E4654">
        <v>0</v>
      </c>
      <c r="I4654">
        <v>4</v>
      </c>
      <c r="J4654">
        <v>0</v>
      </c>
      <c r="M4654" t="s">
        <v>4776</v>
      </c>
    </row>
    <row r="4655" spans="1:13" ht="15" customHeight="1">
      <c r="A4655" s="10">
        <v>46181</v>
      </c>
      <c r="B4655" t="s">
        <v>201</v>
      </c>
      <c r="C4655" t="s">
        <v>67</v>
      </c>
      <c r="D4655">
        <v>7</v>
      </c>
      <c r="E4655">
        <v>0</v>
      </c>
      <c r="I4655">
        <v>7</v>
      </c>
      <c r="J4655">
        <v>0</v>
      </c>
      <c r="M4655" t="s">
        <v>4777</v>
      </c>
    </row>
    <row r="4656" spans="1:13" ht="15" customHeight="1">
      <c r="A4656" s="10">
        <v>46181</v>
      </c>
      <c r="B4656" t="s">
        <v>201</v>
      </c>
      <c r="C4656" t="s">
        <v>68</v>
      </c>
      <c r="D4656">
        <v>0</v>
      </c>
      <c r="E4656">
        <v>0</v>
      </c>
      <c r="I4656">
        <v>0</v>
      </c>
      <c r="J4656">
        <v>0</v>
      </c>
      <c r="M4656" t="s">
        <v>4778</v>
      </c>
    </row>
    <row r="4657" spans="1:13" ht="15" customHeight="1">
      <c r="A4657" s="10">
        <v>46181</v>
      </c>
      <c r="B4657" t="s">
        <v>201</v>
      </c>
      <c r="C4657" t="s">
        <v>71</v>
      </c>
      <c r="D4657">
        <v>2</v>
      </c>
      <c r="E4657">
        <v>528</v>
      </c>
      <c r="I4657">
        <v>2</v>
      </c>
      <c r="J4657">
        <v>421</v>
      </c>
      <c r="M4657" t="s">
        <v>4779</v>
      </c>
    </row>
    <row r="4658" spans="1:13" ht="15" customHeight="1">
      <c r="A4658" s="10">
        <v>46181</v>
      </c>
      <c r="B4658" t="s">
        <v>201</v>
      </c>
      <c r="C4658" t="s">
        <v>73</v>
      </c>
      <c r="D4658">
        <v>2</v>
      </c>
      <c r="E4658">
        <v>565</v>
      </c>
      <c r="I4658">
        <v>2</v>
      </c>
      <c r="J4658">
        <v>533</v>
      </c>
      <c r="M4658" t="s">
        <v>4780</v>
      </c>
    </row>
    <row r="4659" spans="1:13" ht="15" customHeight="1">
      <c r="A4659" s="10">
        <v>46181</v>
      </c>
      <c r="B4659" t="s">
        <v>201</v>
      </c>
      <c r="C4659" t="s">
        <v>75</v>
      </c>
      <c r="D4659">
        <v>0</v>
      </c>
      <c r="E4659">
        <v>213</v>
      </c>
      <c r="I4659">
        <v>0</v>
      </c>
      <c r="J4659">
        <v>213</v>
      </c>
      <c r="M4659" t="s">
        <v>4781</v>
      </c>
    </row>
    <row r="4660" spans="1:13" ht="15" customHeight="1">
      <c r="A4660" s="10">
        <v>46181</v>
      </c>
      <c r="B4660" t="s">
        <v>201</v>
      </c>
      <c r="C4660" t="s">
        <v>77</v>
      </c>
      <c r="D4660">
        <v>0</v>
      </c>
      <c r="E4660">
        <v>103</v>
      </c>
      <c r="I4660">
        <v>0</v>
      </c>
      <c r="J4660">
        <v>498</v>
      </c>
      <c r="M4660" t="s">
        <v>4782</v>
      </c>
    </row>
    <row r="4661" spans="1:13" ht="15" customHeight="1">
      <c r="A4661" s="10">
        <v>46181</v>
      </c>
      <c r="B4661" t="s">
        <v>201</v>
      </c>
      <c r="C4661" t="s">
        <v>79</v>
      </c>
      <c r="D4661">
        <v>0</v>
      </c>
      <c r="E4661">
        <v>482</v>
      </c>
      <c r="I4661">
        <v>1</v>
      </c>
      <c r="J4661">
        <v>255</v>
      </c>
      <c r="M4661" t="s">
        <v>4783</v>
      </c>
    </row>
    <row r="4662" spans="1:13" ht="15" customHeight="1">
      <c r="A4662" s="10">
        <v>46181</v>
      </c>
      <c r="B4662" t="s">
        <v>201</v>
      </c>
      <c r="C4662" t="s">
        <v>81</v>
      </c>
      <c r="D4662">
        <v>1</v>
      </c>
      <c r="E4662">
        <v>500</v>
      </c>
      <c r="I4662">
        <v>1</v>
      </c>
      <c r="J4662">
        <v>479</v>
      </c>
      <c r="M4662" t="s">
        <v>4784</v>
      </c>
    </row>
    <row r="4663" spans="1:13" ht="15" customHeight="1">
      <c r="A4663" s="10">
        <v>46181</v>
      </c>
      <c r="B4663" t="s">
        <v>201</v>
      </c>
      <c r="C4663" t="s">
        <v>83</v>
      </c>
      <c r="D4663">
        <v>1</v>
      </c>
      <c r="E4663">
        <v>84</v>
      </c>
      <c r="I4663">
        <v>1</v>
      </c>
      <c r="J4663">
        <v>84</v>
      </c>
      <c r="M4663" t="s">
        <v>4785</v>
      </c>
    </row>
    <row r="4664" spans="1:13" ht="15" customHeight="1">
      <c r="A4664" s="10">
        <v>46181</v>
      </c>
      <c r="B4664" t="s">
        <v>201</v>
      </c>
      <c r="C4664" t="s">
        <v>84</v>
      </c>
      <c r="D4664">
        <v>1</v>
      </c>
      <c r="E4664">
        <v>363</v>
      </c>
      <c r="I4664">
        <v>1</v>
      </c>
      <c r="J4664">
        <v>363</v>
      </c>
      <c r="M4664" t="s">
        <v>4786</v>
      </c>
    </row>
    <row r="4665" spans="1:13" ht="15" customHeight="1">
      <c r="A4665" s="10">
        <v>46181</v>
      </c>
      <c r="B4665" t="s">
        <v>201</v>
      </c>
      <c r="C4665" t="s">
        <v>85</v>
      </c>
      <c r="D4665">
        <v>0</v>
      </c>
      <c r="E4665">
        <v>214</v>
      </c>
      <c r="I4665">
        <v>0</v>
      </c>
      <c r="J4665">
        <v>214</v>
      </c>
      <c r="M4665" t="s">
        <v>4787</v>
      </c>
    </row>
    <row r="4666" spans="1:13" ht="15" customHeight="1">
      <c r="A4666" s="10">
        <v>46181</v>
      </c>
      <c r="B4666" t="s">
        <v>201</v>
      </c>
      <c r="C4666" t="s">
        <v>87</v>
      </c>
      <c r="D4666">
        <v>1</v>
      </c>
      <c r="E4666">
        <v>375</v>
      </c>
      <c r="I4666">
        <v>1</v>
      </c>
      <c r="J4666">
        <v>371</v>
      </c>
      <c r="M4666" t="s">
        <v>4788</v>
      </c>
    </row>
    <row r="4667" spans="1:13" ht="15" customHeight="1">
      <c r="A4667" s="10">
        <v>46181</v>
      </c>
      <c r="B4667" t="s">
        <v>201</v>
      </c>
      <c r="C4667" t="s">
        <v>88</v>
      </c>
      <c r="D4667">
        <v>1</v>
      </c>
      <c r="E4667">
        <v>696</v>
      </c>
      <c r="I4667">
        <v>1</v>
      </c>
      <c r="J4667">
        <v>319</v>
      </c>
      <c r="M4667" t="s">
        <v>4789</v>
      </c>
    </row>
    <row r="4668" spans="1:13" ht="15" customHeight="1">
      <c r="A4668" s="10">
        <v>46181</v>
      </c>
      <c r="B4668" t="s">
        <v>201</v>
      </c>
      <c r="C4668" t="s">
        <v>89</v>
      </c>
      <c r="D4668">
        <v>1</v>
      </c>
      <c r="E4668">
        <v>325</v>
      </c>
      <c r="I4668">
        <v>1</v>
      </c>
      <c r="J4668">
        <v>638</v>
      </c>
      <c r="M4668" t="s">
        <v>4790</v>
      </c>
    </row>
    <row r="4669" spans="1:13" ht="15" customHeight="1">
      <c r="A4669" s="10">
        <v>46181</v>
      </c>
      <c r="B4669" t="s">
        <v>201</v>
      </c>
      <c r="C4669" t="s">
        <v>90</v>
      </c>
      <c r="D4669">
        <v>1</v>
      </c>
      <c r="E4669">
        <v>301</v>
      </c>
      <c r="I4669">
        <v>1</v>
      </c>
      <c r="J4669">
        <v>247</v>
      </c>
      <c r="M4669" t="s">
        <v>4791</v>
      </c>
    </row>
    <row r="4670" spans="1:13" ht="15" customHeight="1">
      <c r="A4670" s="10">
        <v>46181</v>
      </c>
      <c r="B4670" t="s">
        <v>201</v>
      </c>
      <c r="C4670" t="s">
        <v>92</v>
      </c>
      <c r="D4670">
        <v>1</v>
      </c>
      <c r="E4670">
        <v>422</v>
      </c>
      <c r="I4670">
        <v>1</v>
      </c>
      <c r="J4670">
        <v>302</v>
      </c>
      <c r="M4670" t="s">
        <v>4792</v>
      </c>
    </row>
    <row r="4671" spans="1:13" ht="15" customHeight="1">
      <c r="A4671" s="10">
        <v>46181</v>
      </c>
      <c r="B4671" t="s">
        <v>201</v>
      </c>
      <c r="C4671" t="s">
        <v>94</v>
      </c>
      <c r="D4671">
        <v>2</v>
      </c>
      <c r="E4671">
        <v>491</v>
      </c>
      <c r="I4671">
        <v>0</v>
      </c>
      <c r="J4671">
        <v>801</v>
      </c>
      <c r="M4671" t="s">
        <v>4793</v>
      </c>
    </row>
    <row r="4672" spans="1:13" ht="15" customHeight="1">
      <c r="A4672" s="10">
        <v>46181</v>
      </c>
      <c r="B4672" t="s">
        <v>201</v>
      </c>
      <c r="C4672" t="s">
        <v>96</v>
      </c>
      <c r="D4672">
        <v>0</v>
      </c>
      <c r="E4672">
        <v>0</v>
      </c>
      <c r="I4672">
        <v>0</v>
      </c>
      <c r="J4672">
        <v>0</v>
      </c>
      <c r="M4672" t="s">
        <v>4794</v>
      </c>
    </row>
    <row r="4673" spans="1:13" ht="15" customHeight="1">
      <c r="A4673" s="10">
        <v>46181</v>
      </c>
      <c r="B4673" t="s">
        <v>201</v>
      </c>
      <c r="C4673" t="s">
        <v>98</v>
      </c>
      <c r="D4673">
        <v>0</v>
      </c>
      <c r="E4673">
        <v>275</v>
      </c>
      <c r="I4673">
        <v>0</v>
      </c>
      <c r="J4673">
        <v>628</v>
      </c>
      <c r="M4673" t="s">
        <v>4795</v>
      </c>
    </row>
    <row r="4674" spans="1:13" ht="15" customHeight="1">
      <c r="A4674" s="10">
        <v>46181</v>
      </c>
      <c r="B4674" t="s">
        <v>201</v>
      </c>
      <c r="C4674" t="s">
        <v>203</v>
      </c>
      <c r="D4674">
        <v>4</v>
      </c>
      <c r="E4674">
        <v>0</v>
      </c>
      <c r="I4674">
        <v>2</v>
      </c>
      <c r="J4674">
        <v>0</v>
      </c>
      <c r="M4674" t="s">
        <v>4796</v>
      </c>
    </row>
    <row r="4675" spans="1:13" ht="15" customHeight="1">
      <c r="A4675" s="10">
        <v>46181</v>
      </c>
      <c r="B4675" t="s">
        <v>201</v>
      </c>
      <c r="C4675" t="s">
        <v>100</v>
      </c>
      <c r="D4675">
        <v>0</v>
      </c>
      <c r="E4675">
        <v>0</v>
      </c>
      <c r="I4675">
        <v>0</v>
      </c>
      <c r="J4675">
        <v>0</v>
      </c>
      <c r="M4675" t="s">
        <v>4797</v>
      </c>
    </row>
    <row r="4676" spans="1:13" ht="15" customHeight="1">
      <c r="A4676" s="10">
        <v>46181</v>
      </c>
      <c r="B4676" t="s">
        <v>201</v>
      </c>
      <c r="C4676" t="s">
        <v>101</v>
      </c>
      <c r="D4676">
        <v>0</v>
      </c>
      <c r="E4676">
        <v>549</v>
      </c>
      <c r="I4676">
        <v>0</v>
      </c>
      <c r="J4676">
        <v>534</v>
      </c>
      <c r="M4676" t="s">
        <v>4798</v>
      </c>
    </row>
    <row r="4677" spans="1:13" ht="15" customHeight="1">
      <c r="A4677" s="10">
        <v>46181</v>
      </c>
      <c r="B4677" t="s">
        <v>201</v>
      </c>
      <c r="C4677" t="s">
        <v>103</v>
      </c>
      <c r="D4677">
        <v>9</v>
      </c>
      <c r="E4677">
        <v>0</v>
      </c>
      <c r="G4677">
        <v>10</v>
      </c>
      <c r="I4677">
        <v>0</v>
      </c>
      <c r="J4677">
        <v>7</v>
      </c>
      <c r="M4677" t="s">
        <v>4799</v>
      </c>
    </row>
    <row r="4678" spans="1:13" ht="15" customHeight="1">
      <c r="A4678" s="10">
        <v>46181</v>
      </c>
      <c r="B4678" t="s">
        <v>201</v>
      </c>
      <c r="C4678" t="s">
        <v>106</v>
      </c>
      <c r="D4678">
        <v>1</v>
      </c>
      <c r="E4678">
        <v>465</v>
      </c>
      <c r="I4678">
        <v>1</v>
      </c>
      <c r="J4678">
        <v>408</v>
      </c>
      <c r="M4678" t="s">
        <v>4800</v>
      </c>
    </row>
    <row r="4679" spans="1:13" ht="15" customHeight="1">
      <c r="A4679" s="10">
        <v>46181</v>
      </c>
      <c r="B4679" t="s">
        <v>201</v>
      </c>
      <c r="C4679" t="s">
        <v>108</v>
      </c>
      <c r="D4679">
        <v>1</v>
      </c>
      <c r="E4679">
        <v>598</v>
      </c>
      <c r="I4679">
        <v>1</v>
      </c>
      <c r="J4679">
        <v>567</v>
      </c>
      <c r="M4679" t="s">
        <v>4801</v>
      </c>
    </row>
    <row r="4680" spans="1:13" ht="15" customHeight="1">
      <c r="A4680" s="10">
        <v>46181</v>
      </c>
      <c r="B4680" t="s">
        <v>201</v>
      </c>
      <c r="C4680" t="s">
        <v>109</v>
      </c>
      <c r="D4680">
        <v>1</v>
      </c>
      <c r="E4680">
        <v>520</v>
      </c>
      <c r="I4680">
        <v>1</v>
      </c>
      <c r="J4680">
        <v>455</v>
      </c>
      <c r="M4680" t="s">
        <v>4802</v>
      </c>
    </row>
    <row r="4681" spans="1:13" ht="15" customHeight="1">
      <c r="A4681" s="10">
        <v>46181</v>
      </c>
      <c r="B4681" t="s">
        <v>201</v>
      </c>
      <c r="C4681" t="s">
        <v>112</v>
      </c>
      <c r="D4681">
        <v>2</v>
      </c>
      <c r="E4681">
        <v>11</v>
      </c>
      <c r="I4681">
        <v>2</v>
      </c>
      <c r="J4681">
        <v>11</v>
      </c>
      <c r="M4681" t="s">
        <v>4803</v>
      </c>
    </row>
    <row r="4682" spans="1:13" ht="15" customHeight="1">
      <c r="A4682" s="10">
        <v>46181</v>
      </c>
      <c r="B4682" t="s">
        <v>201</v>
      </c>
      <c r="C4682" t="s">
        <v>114</v>
      </c>
      <c r="D4682">
        <v>2</v>
      </c>
      <c r="E4682">
        <v>48</v>
      </c>
      <c r="I4682">
        <v>2</v>
      </c>
      <c r="J4682">
        <v>31</v>
      </c>
      <c r="M4682" t="s">
        <v>4804</v>
      </c>
    </row>
    <row r="4683" spans="1:13" ht="15" customHeight="1">
      <c r="A4683" s="10">
        <v>46181</v>
      </c>
      <c r="B4683" t="s">
        <v>201</v>
      </c>
      <c r="C4683" t="s">
        <v>115</v>
      </c>
      <c r="D4683">
        <v>1</v>
      </c>
      <c r="E4683">
        <v>39</v>
      </c>
      <c r="I4683">
        <v>1</v>
      </c>
      <c r="J4683">
        <v>33</v>
      </c>
      <c r="M4683" t="s">
        <v>4805</v>
      </c>
    </row>
    <row r="4684" spans="1:13" ht="15" customHeight="1">
      <c r="A4684" s="10">
        <v>46181</v>
      </c>
      <c r="B4684" t="s">
        <v>201</v>
      </c>
      <c r="C4684" t="s">
        <v>116</v>
      </c>
      <c r="D4684">
        <v>2</v>
      </c>
      <c r="E4684">
        <v>25</v>
      </c>
      <c r="I4684">
        <v>2</v>
      </c>
      <c r="J4684">
        <v>15</v>
      </c>
      <c r="M4684" t="s">
        <v>4806</v>
      </c>
    </row>
    <row r="4685" spans="1:13" ht="15" customHeight="1">
      <c r="A4685" s="10">
        <v>46181</v>
      </c>
      <c r="B4685" t="s">
        <v>201</v>
      </c>
      <c r="C4685" t="s">
        <v>119</v>
      </c>
      <c r="D4685">
        <v>2</v>
      </c>
      <c r="E4685">
        <v>0</v>
      </c>
      <c r="I4685">
        <v>2</v>
      </c>
      <c r="M4685" t="s">
        <v>4807</v>
      </c>
    </row>
    <row r="4686" spans="1:13" ht="15" customHeight="1">
      <c r="A4686" s="10">
        <v>46181</v>
      </c>
      <c r="B4686" t="s">
        <v>201</v>
      </c>
      <c r="C4686" t="s">
        <v>120</v>
      </c>
      <c r="D4686">
        <v>0</v>
      </c>
      <c r="E4686">
        <v>0</v>
      </c>
      <c r="I4686">
        <v>0</v>
      </c>
      <c r="M4686" t="s">
        <v>4808</v>
      </c>
    </row>
    <row r="4687" spans="1:13" ht="15" customHeight="1">
      <c r="A4687" s="10">
        <v>46181</v>
      </c>
      <c r="B4687" t="s">
        <v>201</v>
      </c>
      <c r="C4687" t="s">
        <v>121</v>
      </c>
      <c r="D4687">
        <v>1</v>
      </c>
      <c r="E4687">
        <v>0</v>
      </c>
      <c r="I4687">
        <v>1</v>
      </c>
      <c r="M4687" t="s">
        <v>4809</v>
      </c>
    </row>
    <row r="4688" spans="1:13" ht="15" customHeight="1">
      <c r="A4688" s="10">
        <v>46181</v>
      </c>
      <c r="B4688" t="s">
        <v>201</v>
      </c>
      <c r="C4688" t="s">
        <v>123</v>
      </c>
      <c r="D4688">
        <v>1</v>
      </c>
      <c r="E4688">
        <v>0</v>
      </c>
      <c r="I4688">
        <v>1</v>
      </c>
      <c r="M4688" t="s">
        <v>4810</v>
      </c>
    </row>
    <row r="4689" spans="1:13" ht="15" customHeight="1">
      <c r="A4689" s="10">
        <v>46181</v>
      </c>
      <c r="B4689" t="s">
        <v>201</v>
      </c>
      <c r="C4689" t="s">
        <v>124</v>
      </c>
      <c r="D4689">
        <v>2</v>
      </c>
      <c r="E4689">
        <v>0</v>
      </c>
      <c r="I4689">
        <v>2</v>
      </c>
      <c r="M4689" t="s">
        <v>4811</v>
      </c>
    </row>
    <row r="4690" spans="1:13" ht="15" customHeight="1">
      <c r="A4690" s="10">
        <v>46181</v>
      </c>
      <c r="B4690" t="s">
        <v>201</v>
      </c>
      <c r="C4690" t="s">
        <v>125</v>
      </c>
      <c r="D4690">
        <v>1</v>
      </c>
      <c r="E4690">
        <v>0</v>
      </c>
      <c r="I4690">
        <v>1</v>
      </c>
      <c r="M4690" t="s">
        <v>4812</v>
      </c>
    </row>
    <row r="4691" spans="1:13" ht="15" customHeight="1">
      <c r="A4691" s="10">
        <v>46181</v>
      </c>
      <c r="B4691" t="s">
        <v>201</v>
      </c>
      <c r="C4691" t="s">
        <v>126</v>
      </c>
      <c r="D4691">
        <v>2</v>
      </c>
      <c r="E4691">
        <v>0</v>
      </c>
      <c r="I4691">
        <v>2</v>
      </c>
      <c r="M4691" t="s">
        <v>4813</v>
      </c>
    </row>
    <row r="4692" spans="1:13" ht="15" customHeight="1">
      <c r="A4692" s="10">
        <v>46181</v>
      </c>
      <c r="B4692" t="s">
        <v>201</v>
      </c>
      <c r="C4692" t="s">
        <v>128</v>
      </c>
      <c r="D4692">
        <v>3</v>
      </c>
      <c r="E4692">
        <v>0</v>
      </c>
      <c r="I4692">
        <v>3</v>
      </c>
      <c r="M4692" t="s">
        <v>4814</v>
      </c>
    </row>
    <row r="4693" spans="1:13" ht="15" customHeight="1">
      <c r="A4693" s="10">
        <v>46181</v>
      </c>
      <c r="B4693" t="s">
        <v>201</v>
      </c>
      <c r="C4693" t="s">
        <v>130</v>
      </c>
      <c r="D4693">
        <v>4</v>
      </c>
      <c r="E4693">
        <v>0</v>
      </c>
      <c r="I4693">
        <v>4</v>
      </c>
      <c r="M4693" t="s">
        <v>4815</v>
      </c>
    </row>
    <row r="4694" spans="1:13" ht="15" customHeight="1">
      <c r="A4694" s="10">
        <v>46181</v>
      </c>
      <c r="B4694" t="s">
        <v>201</v>
      </c>
      <c r="C4694" t="s">
        <v>285</v>
      </c>
      <c r="D4694">
        <v>2</v>
      </c>
      <c r="E4694">
        <v>0</v>
      </c>
      <c r="I4694">
        <v>2</v>
      </c>
      <c r="M4694" t="s">
        <v>4816</v>
      </c>
    </row>
    <row r="4695" spans="1:13" ht="15" customHeight="1">
      <c r="A4695" s="10">
        <v>46181</v>
      </c>
      <c r="B4695" t="s">
        <v>201</v>
      </c>
      <c r="C4695" t="s">
        <v>287</v>
      </c>
      <c r="D4695">
        <v>2</v>
      </c>
      <c r="E4695">
        <v>0</v>
      </c>
      <c r="I4695">
        <v>2</v>
      </c>
      <c r="M4695" t="s">
        <v>4817</v>
      </c>
    </row>
    <row r="4696" spans="1:13" ht="15" customHeight="1">
      <c r="A4696" s="10">
        <v>46181</v>
      </c>
      <c r="B4696" t="s">
        <v>201</v>
      </c>
      <c r="C4696" t="s">
        <v>289</v>
      </c>
      <c r="D4696">
        <v>1</v>
      </c>
      <c r="E4696">
        <v>0</v>
      </c>
      <c r="I4696">
        <v>1</v>
      </c>
      <c r="M4696" t="s">
        <v>4818</v>
      </c>
    </row>
    <row r="4697" spans="1:13" ht="15" customHeight="1">
      <c r="A4697" s="10">
        <v>46181</v>
      </c>
      <c r="B4697" t="s">
        <v>201</v>
      </c>
      <c r="C4697" t="s">
        <v>291</v>
      </c>
      <c r="D4697">
        <v>2</v>
      </c>
      <c r="E4697">
        <v>0</v>
      </c>
      <c r="I4697">
        <v>2</v>
      </c>
      <c r="M4697" t="s">
        <v>4819</v>
      </c>
    </row>
    <row r="4698" spans="1:13" ht="15" customHeight="1">
      <c r="A4698" s="10">
        <v>46181</v>
      </c>
      <c r="B4698" t="s">
        <v>201</v>
      </c>
      <c r="C4698" t="s">
        <v>293</v>
      </c>
      <c r="D4698">
        <v>2</v>
      </c>
      <c r="E4698">
        <v>0</v>
      </c>
      <c r="I4698">
        <v>2</v>
      </c>
      <c r="M4698" t="s">
        <v>4820</v>
      </c>
    </row>
    <row r="4699" spans="1:13" ht="15" customHeight="1">
      <c r="A4699" s="10">
        <v>46181</v>
      </c>
      <c r="B4699" t="s">
        <v>201</v>
      </c>
      <c r="C4699" s="135" t="s">
        <v>138</v>
      </c>
      <c r="D4699">
        <v>0</v>
      </c>
      <c r="E4699">
        <v>27</v>
      </c>
      <c r="I4699">
        <v>0</v>
      </c>
      <c r="J4699">
        <v>19</v>
      </c>
      <c r="M4699" t="s">
        <v>4821</v>
      </c>
    </row>
    <row r="4700" spans="1:13" ht="15" customHeight="1">
      <c r="A4700" s="10">
        <v>46181</v>
      </c>
      <c r="B4700" t="s">
        <v>201</v>
      </c>
      <c r="C4700" s="135" t="s">
        <v>139</v>
      </c>
      <c r="D4700">
        <v>0</v>
      </c>
      <c r="E4700">
        <v>49</v>
      </c>
      <c r="I4700">
        <v>0</v>
      </c>
      <c r="J4700">
        <v>44</v>
      </c>
      <c r="M4700" t="s">
        <v>4822</v>
      </c>
    </row>
    <row r="4701" spans="1:13" ht="15" customHeight="1">
      <c r="A4701" s="10">
        <v>46181</v>
      </c>
      <c r="B4701" t="s">
        <v>201</v>
      </c>
      <c r="C4701" s="135" t="s">
        <v>140</v>
      </c>
      <c r="D4701">
        <v>0</v>
      </c>
      <c r="E4701">
        <v>36</v>
      </c>
      <c r="I4701">
        <v>0</v>
      </c>
      <c r="J4701">
        <v>24</v>
      </c>
      <c r="M4701" t="s">
        <v>4823</v>
      </c>
    </row>
    <row r="4702" spans="1:13" ht="15" customHeight="1">
      <c r="A4702" s="10">
        <v>46181</v>
      </c>
      <c r="B4702" t="s">
        <v>201</v>
      </c>
      <c r="C4702" s="135" t="s">
        <v>141</v>
      </c>
      <c r="D4702">
        <v>1</v>
      </c>
      <c r="E4702">
        <v>1</v>
      </c>
      <c r="I4702">
        <v>0</v>
      </c>
      <c r="J4702">
        <v>1</v>
      </c>
      <c r="M4702" t="s">
        <v>4824</v>
      </c>
    </row>
    <row r="4703" spans="1:13" ht="15" customHeight="1">
      <c r="A4703" s="10">
        <v>46181</v>
      </c>
      <c r="B4703" t="s">
        <v>201</v>
      </c>
      <c r="C4703" s="135" t="s">
        <v>143</v>
      </c>
      <c r="D4703">
        <v>0</v>
      </c>
      <c r="E4703">
        <v>36</v>
      </c>
      <c r="I4703">
        <v>0</v>
      </c>
      <c r="J4703">
        <v>31</v>
      </c>
      <c r="M4703" t="s">
        <v>4825</v>
      </c>
    </row>
    <row r="4704" spans="1:13" ht="15" customHeight="1">
      <c r="A4704" s="10">
        <v>46181</v>
      </c>
      <c r="B4704" t="s">
        <v>201</v>
      </c>
      <c r="C4704" s="135" t="s">
        <v>145</v>
      </c>
      <c r="D4704">
        <v>0</v>
      </c>
      <c r="E4704">
        <v>26</v>
      </c>
      <c r="I4704">
        <v>0</v>
      </c>
      <c r="J4704">
        <v>32</v>
      </c>
      <c r="M4704" t="s">
        <v>4826</v>
      </c>
    </row>
    <row r="4705" spans="1:13" ht="15" customHeight="1">
      <c r="A4705" s="10">
        <v>46181</v>
      </c>
      <c r="B4705" t="s">
        <v>201</v>
      </c>
      <c r="C4705" s="135" t="s">
        <v>147</v>
      </c>
      <c r="D4705">
        <v>0</v>
      </c>
      <c r="E4705">
        <v>36</v>
      </c>
      <c r="I4705">
        <v>0</v>
      </c>
      <c r="J4705">
        <v>36</v>
      </c>
      <c r="M4705" t="s">
        <v>4827</v>
      </c>
    </row>
    <row r="4706" spans="1:13" ht="15" customHeight="1">
      <c r="A4706" s="10">
        <v>46181</v>
      </c>
      <c r="B4706" t="s">
        <v>201</v>
      </c>
      <c r="C4706" t="s">
        <v>302</v>
      </c>
      <c r="D4706">
        <v>1</v>
      </c>
      <c r="E4706">
        <v>2</v>
      </c>
      <c r="I4706">
        <v>1</v>
      </c>
      <c r="M4706" t="s">
        <v>4828</v>
      </c>
    </row>
    <row r="4707" spans="1:13" ht="15" customHeight="1">
      <c r="A4707" s="10">
        <v>46181</v>
      </c>
      <c r="B4707" t="s">
        <v>201</v>
      </c>
      <c r="C4707" t="s">
        <v>150</v>
      </c>
      <c r="D4707">
        <v>1</v>
      </c>
      <c r="E4707">
        <v>0</v>
      </c>
      <c r="I4707">
        <v>1</v>
      </c>
      <c r="M4707" t="s">
        <v>4829</v>
      </c>
    </row>
    <row r="4708" spans="1:13" ht="15" customHeight="1">
      <c r="A4708" s="10">
        <v>46181</v>
      </c>
      <c r="B4708" t="s">
        <v>201</v>
      </c>
      <c r="C4708" t="s">
        <v>151</v>
      </c>
      <c r="D4708">
        <v>0</v>
      </c>
      <c r="E4708">
        <v>0</v>
      </c>
      <c r="I4708">
        <v>0</v>
      </c>
      <c r="M4708" t="s">
        <v>4830</v>
      </c>
    </row>
    <row r="4709" spans="1:13" ht="15" customHeight="1">
      <c r="A4709" s="10">
        <v>46181</v>
      </c>
      <c r="B4709" t="s">
        <v>201</v>
      </c>
      <c r="C4709" t="s">
        <v>152</v>
      </c>
      <c r="D4709">
        <v>2</v>
      </c>
      <c r="E4709">
        <v>0</v>
      </c>
      <c r="I4709">
        <v>2</v>
      </c>
      <c r="M4709" t="s">
        <v>4831</v>
      </c>
    </row>
    <row r="4710" spans="1:13" ht="15" customHeight="1">
      <c r="A4710" s="10">
        <v>46181</v>
      </c>
      <c r="B4710" t="s">
        <v>201</v>
      </c>
      <c r="C4710" t="s">
        <v>153</v>
      </c>
      <c r="D4710">
        <v>2</v>
      </c>
      <c r="E4710">
        <v>0</v>
      </c>
      <c r="I4710">
        <v>2</v>
      </c>
      <c r="M4710" t="s">
        <v>4832</v>
      </c>
    </row>
    <row r="4711" spans="1:13" ht="15" customHeight="1">
      <c r="A4711" s="10">
        <v>46181</v>
      </c>
      <c r="B4711" t="s">
        <v>201</v>
      </c>
      <c r="C4711" t="s">
        <v>308</v>
      </c>
      <c r="D4711">
        <v>4</v>
      </c>
      <c r="E4711">
        <v>3</v>
      </c>
      <c r="I4711">
        <v>0</v>
      </c>
      <c r="J4711">
        <v>3</v>
      </c>
      <c r="M4711" t="s">
        <v>4833</v>
      </c>
    </row>
    <row r="4712" spans="1:13" ht="15" customHeight="1">
      <c r="A4712" s="10">
        <v>46181</v>
      </c>
      <c r="B4712" t="s">
        <v>201</v>
      </c>
      <c r="C4712" t="s">
        <v>310</v>
      </c>
      <c r="D4712">
        <v>2</v>
      </c>
      <c r="E4712">
        <v>2</v>
      </c>
      <c r="I4712">
        <v>0</v>
      </c>
      <c r="J4712">
        <v>1</v>
      </c>
      <c r="M4712" t="s">
        <v>4834</v>
      </c>
    </row>
    <row r="4713" spans="1:13" ht="15" customHeight="1">
      <c r="A4713" s="10">
        <v>46181</v>
      </c>
      <c r="B4713" t="s">
        <v>201</v>
      </c>
      <c r="C4713" t="s">
        <v>312</v>
      </c>
      <c r="D4713">
        <v>4</v>
      </c>
      <c r="E4713">
        <v>5</v>
      </c>
      <c r="I4713">
        <v>0</v>
      </c>
      <c r="J4713">
        <v>5</v>
      </c>
      <c r="M4713" t="s">
        <v>4835</v>
      </c>
    </row>
    <row r="4714" spans="1:13" ht="15" customHeight="1">
      <c r="A4714" s="10">
        <v>46181</v>
      </c>
      <c r="B4714" t="s">
        <v>201</v>
      </c>
      <c r="C4714" t="s">
        <v>314</v>
      </c>
      <c r="D4714">
        <v>1</v>
      </c>
      <c r="E4714">
        <v>0</v>
      </c>
      <c r="I4714">
        <v>1</v>
      </c>
      <c r="M4714" t="s">
        <v>4836</v>
      </c>
    </row>
    <row r="4715" spans="1:13" ht="15" customHeight="1">
      <c r="A4715" s="10">
        <v>46181</v>
      </c>
      <c r="B4715" t="s">
        <v>201</v>
      </c>
      <c r="C4715" t="s">
        <v>316</v>
      </c>
      <c r="D4715">
        <v>0</v>
      </c>
      <c r="E4715">
        <v>0</v>
      </c>
      <c r="I4715">
        <v>0</v>
      </c>
      <c r="M4715" t="s">
        <v>4837</v>
      </c>
    </row>
    <row r="4716" spans="1:13" ht="15" customHeight="1">
      <c r="A4716" s="10">
        <v>46181</v>
      </c>
      <c r="B4716" t="s">
        <v>201</v>
      </c>
      <c r="C4716" t="s">
        <v>318</v>
      </c>
      <c r="D4716">
        <v>3</v>
      </c>
      <c r="E4716">
        <v>0</v>
      </c>
      <c r="I4716">
        <v>3</v>
      </c>
      <c r="M4716" t="s">
        <v>4838</v>
      </c>
    </row>
    <row r="4717" spans="1:13" ht="15" customHeight="1">
      <c r="A4717" s="10">
        <v>46181</v>
      </c>
      <c r="B4717" t="s">
        <v>201</v>
      </c>
      <c r="C4717" t="s">
        <v>320</v>
      </c>
      <c r="D4717">
        <v>1</v>
      </c>
      <c r="E4717">
        <v>0</v>
      </c>
      <c r="I4717">
        <v>1</v>
      </c>
      <c r="M4717" t="s">
        <v>4839</v>
      </c>
    </row>
    <row r="4718" spans="1:13" ht="15" customHeight="1">
      <c r="A4718" s="10">
        <v>46181</v>
      </c>
      <c r="B4718" t="s">
        <v>201</v>
      </c>
      <c r="C4718" t="s">
        <v>322</v>
      </c>
      <c r="D4718">
        <v>2</v>
      </c>
      <c r="E4718">
        <v>0</v>
      </c>
      <c r="I4718">
        <v>2</v>
      </c>
      <c r="M4718" t="s">
        <v>4840</v>
      </c>
    </row>
    <row r="4719" spans="1:13" ht="15" customHeight="1">
      <c r="A4719" s="10">
        <v>46181</v>
      </c>
      <c r="B4719" t="s">
        <v>201</v>
      </c>
      <c r="C4719" s="135" t="s">
        <v>168</v>
      </c>
      <c r="D4719">
        <v>1</v>
      </c>
      <c r="E4719">
        <v>0</v>
      </c>
      <c r="I4719">
        <v>1</v>
      </c>
      <c r="M4719" t="s">
        <v>4841</v>
      </c>
    </row>
    <row r="4720" spans="1:13" ht="15" customHeight="1">
      <c r="A4720" s="10">
        <v>46181</v>
      </c>
      <c r="B4720" t="s">
        <v>201</v>
      </c>
      <c r="C4720" s="135" t="s">
        <v>170</v>
      </c>
      <c r="D4720">
        <v>1</v>
      </c>
      <c r="E4720">
        <v>0</v>
      </c>
      <c r="I4720">
        <v>1</v>
      </c>
      <c r="M4720" t="s">
        <v>4842</v>
      </c>
    </row>
    <row r="4721" spans="1:13" ht="15" customHeight="1">
      <c r="A4721" s="10">
        <v>46181</v>
      </c>
      <c r="B4721" t="s">
        <v>201</v>
      </c>
      <c r="C4721" s="135" t="s">
        <v>171</v>
      </c>
      <c r="D4721">
        <v>3</v>
      </c>
      <c r="E4721">
        <v>0</v>
      </c>
      <c r="I4721">
        <v>2</v>
      </c>
      <c r="M4721" t="s">
        <v>4843</v>
      </c>
    </row>
    <row r="4722" spans="1:13" ht="15" customHeight="1">
      <c r="A4722" s="10">
        <v>46181</v>
      </c>
      <c r="B4722" t="s">
        <v>201</v>
      </c>
      <c r="C4722" s="135" t="s">
        <v>172</v>
      </c>
      <c r="D4722">
        <v>1</v>
      </c>
      <c r="E4722">
        <v>0</v>
      </c>
      <c r="I4722">
        <v>1</v>
      </c>
      <c r="M4722" t="s">
        <v>4844</v>
      </c>
    </row>
    <row r="4723" spans="1:13" ht="15" customHeight="1">
      <c r="A4723" s="10">
        <v>46181</v>
      </c>
      <c r="B4723" t="s">
        <v>201</v>
      </c>
      <c r="C4723" s="135" t="s">
        <v>173</v>
      </c>
      <c r="D4723">
        <v>1</v>
      </c>
      <c r="E4723">
        <v>0</v>
      </c>
      <c r="I4723">
        <v>1</v>
      </c>
      <c r="M4723" t="s">
        <v>4845</v>
      </c>
    </row>
    <row r="4724" spans="1:13" ht="15" customHeight="1">
      <c r="A4724" s="10">
        <v>46181</v>
      </c>
      <c r="B4724" t="s">
        <v>201</v>
      </c>
      <c r="C4724" t="s">
        <v>176</v>
      </c>
      <c r="D4724">
        <v>22</v>
      </c>
      <c r="E4724">
        <v>22</v>
      </c>
      <c r="I4724">
        <v>0</v>
      </c>
      <c r="J4724">
        <v>22</v>
      </c>
      <c r="M4724" t="s">
        <v>4846</v>
      </c>
    </row>
    <row r="4725" spans="1:13" ht="15" customHeight="1">
      <c r="A4725" s="10">
        <v>46181</v>
      </c>
      <c r="B4725" t="s">
        <v>201</v>
      </c>
      <c r="C4725" t="s">
        <v>178</v>
      </c>
      <c r="D4725">
        <v>18</v>
      </c>
      <c r="E4725">
        <v>18</v>
      </c>
      <c r="H4725">
        <v>1</v>
      </c>
      <c r="I4725">
        <v>0</v>
      </c>
      <c r="J4725">
        <v>17</v>
      </c>
      <c r="M4725" t="s">
        <v>4847</v>
      </c>
    </row>
    <row r="4726" spans="1:13" ht="15" customHeight="1">
      <c r="A4726" s="10">
        <v>46181</v>
      </c>
      <c r="B4726" t="s">
        <v>201</v>
      </c>
      <c r="C4726" t="s">
        <v>179</v>
      </c>
      <c r="D4726">
        <v>19</v>
      </c>
      <c r="E4726">
        <v>19</v>
      </c>
      <c r="I4726">
        <v>0</v>
      </c>
      <c r="J4726">
        <v>19</v>
      </c>
      <c r="M4726" t="s">
        <v>4848</v>
      </c>
    </row>
    <row r="4727" spans="1:13" ht="15" customHeight="1">
      <c r="A4727" s="10">
        <v>46181</v>
      </c>
      <c r="B4727" t="s">
        <v>201</v>
      </c>
      <c r="C4727" t="s">
        <v>180</v>
      </c>
      <c r="D4727">
        <v>16</v>
      </c>
      <c r="E4727">
        <v>16</v>
      </c>
      <c r="I4727">
        <v>0</v>
      </c>
      <c r="J4727">
        <v>16</v>
      </c>
      <c r="M4727" t="s">
        <v>4849</v>
      </c>
    </row>
    <row r="4728" spans="1:13" ht="15" customHeight="1">
      <c r="A4728" s="10">
        <v>46181</v>
      </c>
      <c r="B4728" t="s">
        <v>201</v>
      </c>
      <c r="C4728" s="135" t="s">
        <v>182</v>
      </c>
      <c r="D4728">
        <v>1</v>
      </c>
      <c r="E4728">
        <v>158</v>
      </c>
      <c r="I4728">
        <v>1</v>
      </c>
      <c r="J4728">
        <v>158</v>
      </c>
      <c r="M4728" t="s">
        <v>4850</v>
      </c>
    </row>
    <row r="4729" spans="1:13" ht="15" customHeight="1">
      <c r="A4729" s="10">
        <v>46181</v>
      </c>
      <c r="B4729" t="s">
        <v>201</v>
      </c>
      <c r="C4729" s="135" t="s">
        <v>184</v>
      </c>
      <c r="D4729">
        <v>1</v>
      </c>
      <c r="E4729">
        <v>54</v>
      </c>
      <c r="I4729">
        <v>1</v>
      </c>
      <c r="J4729">
        <v>54</v>
      </c>
      <c r="M4729" t="s">
        <v>4851</v>
      </c>
    </row>
    <row r="4730" spans="1:13" ht="15" customHeight="1">
      <c r="A4730" s="10">
        <v>46181</v>
      </c>
      <c r="B4730" t="s">
        <v>201</v>
      </c>
      <c r="C4730" s="135" t="s">
        <v>185</v>
      </c>
      <c r="D4730">
        <v>1</v>
      </c>
      <c r="E4730">
        <v>40</v>
      </c>
      <c r="I4730">
        <v>1</v>
      </c>
      <c r="J4730">
        <v>40</v>
      </c>
      <c r="M4730" t="s">
        <v>4852</v>
      </c>
    </row>
    <row r="4731" spans="1:13" ht="15" customHeight="1">
      <c r="A4731" s="10">
        <v>46181</v>
      </c>
      <c r="B4731" t="s">
        <v>201</v>
      </c>
      <c r="C4731" s="135" t="s">
        <v>186</v>
      </c>
      <c r="D4731">
        <v>1</v>
      </c>
      <c r="E4731">
        <v>650</v>
      </c>
      <c r="I4731">
        <v>1</v>
      </c>
      <c r="J4731">
        <v>650</v>
      </c>
      <c r="M4731" t="s">
        <v>4853</v>
      </c>
    </row>
    <row r="4732" spans="1:13" ht="15" customHeight="1">
      <c r="A4732" s="10">
        <v>46181</v>
      </c>
      <c r="B4732" t="s">
        <v>201</v>
      </c>
      <c r="C4732" t="s">
        <v>337</v>
      </c>
      <c r="D4732">
        <v>1</v>
      </c>
      <c r="E4732">
        <v>218</v>
      </c>
      <c r="I4732">
        <v>1</v>
      </c>
      <c r="J4732">
        <v>218</v>
      </c>
      <c r="M4732" t="s">
        <v>4854</v>
      </c>
    </row>
    <row r="4733" spans="1:13" ht="15" customHeight="1">
      <c r="A4733" s="10">
        <v>46181</v>
      </c>
      <c r="B4733" t="s">
        <v>201</v>
      </c>
      <c r="C4733" t="s">
        <v>339</v>
      </c>
      <c r="D4733">
        <v>0</v>
      </c>
      <c r="E4733">
        <v>0</v>
      </c>
      <c r="I4733">
        <v>0</v>
      </c>
      <c r="J4733">
        <v>0</v>
      </c>
      <c r="M4733" t="s">
        <v>4855</v>
      </c>
    </row>
    <row r="4734" spans="1:13" ht="15" customHeight="1">
      <c r="A4734" s="10">
        <v>46181</v>
      </c>
      <c r="B4734" t="s">
        <v>201</v>
      </c>
      <c r="C4734" s="135" t="s">
        <v>191</v>
      </c>
      <c r="D4734">
        <v>1</v>
      </c>
      <c r="E4734">
        <v>276</v>
      </c>
      <c r="I4734">
        <v>1</v>
      </c>
      <c r="J4734">
        <v>260</v>
      </c>
      <c r="M4734" t="s">
        <v>4856</v>
      </c>
    </row>
    <row r="4735" spans="1:13" ht="15" customHeight="1">
      <c r="A4735" s="10">
        <v>46181</v>
      </c>
      <c r="B4735" t="s">
        <v>201</v>
      </c>
      <c r="C4735" s="135" t="s">
        <v>193</v>
      </c>
      <c r="D4735">
        <v>0</v>
      </c>
      <c r="E4735">
        <v>563</v>
      </c>
      <c r="I4735">
        <v>0</v>
      </c>
      <c r="J4735">
        <v>563</v>
      </c>
      <c r="M4735" t="s">
        <v>4857</v>
      </c>
    </row>
    <row r="4736" spans="1:13" ht="15" customHeight="1">
      <c r="A4736" s="10">
        <v>46181</v>
      </c>
      <c r="B4736" t="s">
        <v>201</v>
      </c>
      <c r="C4736" s="135" t="s">
        <v>194</v>
      </c>
      <c r="D4736">
        <v>1</v>
      </c>
      <c r="E4736">
        <v>4</v>
      </c>
      <c r="I4736">
        <v>1</v>
      </c>
      <c r="J4736">
        <v>4</v>
      </c>
      <c r="M4736" t="s">
        <v>4858</v>
      </c>
    </row>
    <row r="4737" spans="1:13" ht="15" customHeight="1">
      <c r="A4737" s="10">
        <v>46181</v>
      </c>
      <c r="B4737" t="s">
        <v>201</v>
      </c>
      <c r="C4737" s="135" t="s">
        <v>196</v>
      </c>
      <c r="D4737">
        <v>0</v>
      </c>
      <c r="E4737">
        <v>660</v>
      </c>
      <c r="I4737">
        <v>0</v>
      </c>
      <c r="J4737">
        <v>660</v>
      </c>
      <c r="M4737" t="s">
        <v>4859</v>
      </c>
    </row>
    <row r="4738" spans="1:13" ht="15" customHeight="1">
      <c r="A4738" s="10">
        <v>46181</v>
      </c>
      <c r="B4738" t="s">
        <v>201</v>
      </c>
      <c r="C4738" s="135" t="s">
        <v>199</v>
      </c>
      <c r="D4738">
        <v>0</v>
      </c>
      <c r="E4738">
        <v>39</v>
      </c>
      <c r="I4738">
        <v>0</v>
      </c>
      <c r="J4738">
        <v>0</v>
      </c>
      <c r="M4738" t="s">
        <v>4860</v>
      </c>
    </row>
    <row r="4739" spans="1:13" ht="15" customHeight="1">
      <c r="A4739" s="10">
        <v>46181</v>
      </c>
      <c r="B4739" t="s">
        <v>201</v>
      </c>
      <c r="C4739" s="135" t="s">
        <v>200</v>
      </c>
      <c r="D4739">
        <v>0</v>
      </c>
      <c r="E4739">
        <v>513</v>
      </c>
      <c r="I4739">
        <v>0</v>
      </c>
      <c r="J4739">
        <v>498</v>
      </c>
      <c r="M4739" t="s">
        <v>4861</v>
      </c>
    </row>
    <row r="4740" spans="1:13" ht="15" customHeight="1">
      <c r="A4740" s="10">
        <v>46181</v>
      </c>
      <c r="B4740" t="s">
        <v>201</v>
      </c>
      <c r="C4740" s="135" t="s">
        <v>202</v>
      </c>
      <c r="D4740">
        <v>0</v>
      </c>
      <c r="E4740">
        <v>367</v>
      </c>
      <c r="I4740">
        <v>0</v>
      </c>
      <c r="J4740">
        <v>357</v>
      </c>
      <c r="M4740" t="s">
        <v>4862</v>
      </c>
    </row>
    <row r="4741" spans="1:13" ht="15" customHeight="1">
      <c r="A4741" s="10">
        <v>46182</v>
      </c>
      <c r="B4741" t="s">
        <v>201</v>
      </c>
      <c r="C4741" t="s">
        <v>23</v>
      </c>
      <c r="D4741">
        <v>8</v>
      </c>
      <c r="E4741">
        <v>112</v>
      </c>
      <c r="I4741">
        <v>7</v>
      </c>
      <c r="J4741">
        <v>421</v>
      </c>
      <c r="M4741" t="s">
        <v>4863</v>
      </c>
    </row>
    <row r="4742" spans="1:13" ht="15" customHeight="1">
      <c r="A4742" s="10">
        <v>46182</v>
      </c>
      <c r="B4742" t="s">
        <v>201</v>
      </c>
      <c r="C4742" t="s">
        <v>26</v>
      </c>
      <c r="D4742">
        <v>0</v>
      </c>
      <c r="E4742">
        <v>0</v>
      </c>
      <c r="I4742">
        <v>0</v>
      </c>
      <c r="J4742">
        <v>0</v>
      </c>
      <c r="M4742" t="s">
        <v>4864</v>
      </c>
    </row>
    <row r="4743" spans="1:13" ht="15" customHeight="1">
      <c r="A4743" s="10">
        <v>46182</v>
      </c>
      <c r="B4743" t="s">
        <v>201</v>
      </c>
      <c r="C4743" t="s">
        <v>27</v>
      </c>
      <c r="D4743">
        <v>0</v>
      </c>
      <c r="E4743">
        <v>1160</v>
      </c>
      <c r="I4743">
        <v>0</v>
      </c>
      <c r="J4743">
        <v>736</v>
      </c>
      <c r="M4743" t="s">
        <v>4865</v>
      </c>
    </row>
    <row r="4744" spans="1:13" ht="15" customHeight="1">
      <c r="A4744" s="10">
        <v>46182</v>
      </c>
      <c r="B4744" t="s">
        <v>201</v>
      </c>
      <c r="C4744" t="s">
        <v>28</v>
      </c>
      <c r="D4744">
        <v>0</v>
      </c>
      <c r="E4744">
        <v>235</v>
      </c>
      <c r="I4744">
        <v>0</v>
      </c>
      <c r="J4744">
        <v>221</v>
      </c>
      <c r="M4744" t="s">
        <v>4866</v>
      </c>
    </row>
    <row r="4745" spans="1:13" ht="15" customHeight="1">
      <c r="A4745" s="10">
        <v>46182</v>
      </c>
      <c r="B4745" t="s">
        <v>201</v>
      </c>
      <c r="C4745" t="s">
        <v>29</v>
      </c>
      <c r="D4745">
        <v>0</v>
      </c>
      <c r="E4745">
        <v>577</v>
      </c>
      <c r="I4745">
        <v>0</v>
      </c>
      <c r="J4745">
        <v>561</v>
      </c>
      <c r="M4745" t="s">
        <v>4867</v>
      </c>
    </row>
    <row r="4746" spans="1:13" ht="15" customHeight="1">
      <c r="A4746" s="10">
        <v>46182</v>
      </c>
      <c r="B4746" t="s">
        <v>201</v>
      </c>
      <c r="C4746" t="s">
        <v>30</v>
      </c>
      <c r="D4746">
        <v>0</v>
      </c>
      <c r="E4746">
        <v>1080</v>
      </c>
      <c r="I4746">
        <v>0</v>
      </c>
      <c r="J4746">
        <v>910</v>
      </c>
      <c r="M4746" t="s">
        <v>4868</v>
      </c>
    </row>
    <row r="4747" spans="1:13" ht="15" customHeight="1">
      <c r="A4747" s="10">
        <v>46182</v>
      </c>
      <c r="B4747" t="s">
        <v>201</v>
      </c>
      <c r="C4747" t="s">
        <v>31</v>
      </c>
      <c r="D4747">
        <v>1</v>
      </c>
      <c r="E4747">
        <v>240</v>
      </c>
      <c r="I4747">
        <v>0</v>
      </c>
      <c r="J4747">
        <v>796</v>
      </c>
      <c r="M4747" t="s">
        <v>4869</v>
      </c>
    </row>
    <row r="4748" spans="1:13" ht="15" customHeight="1">
      <c r="A4748" s="10">
        <v>46182</v>
      </c>
      <c r="B4748" t="s">
        <v>201</v>
      </c>
      <c r="C4748" t="s">
        <v>32</v>
      </c>
      <c r="D4748">
        <v>0</v>
      </c>
      <c r="E4748">
        <v>925</v>
      </c>
      <c r="I4748">
        <v>0</v>
      </c>
      <c r="J4748">
        <v>927</v>
      </c>
      <c r="M4748" t="s">
        <v>4870</v>
      </c>
    </row>
    <row r="4749" spans="1:13" ht="15" customHeight="1">
      <c r="A4749" s="10">
        <v>46182</v>
      </c>
      <c r="B4749" t="s">
        <v>201</v>
      </c>
      <c r="C4749" t="s">
        <v>223</v>
      </c>
      <c r="D4749">
        <v>6</v>
      </c>
      <c r="E4749">
        <v>271</v>
      </c>
      <c r="I4749">
        <v>5</v>
      </c>
      <c r="J4749">
        <v>732</v>
      </c>
      <c r="M4749" t="s">
        <v>4871</v>
      </c>
    </row>
    <row r="4750" spans="1:13" ht="15" customHeight="1">
      <c r="A4750" s="10">
        <v>46182</v>
      </c>
      <c r="B4750" t="s">
        <v>201</v>
      </c>
      <c r="C4750" t="s">
        <v>35</v>
      </c>
      <c r="D4750">
        <v>4</v>
      </c>
      <c r="E4750">
        <v>0</v>
      </c>
      <c r="H4750">
        <v>2</v>
      </c>
      <c r="I4750">
        <v>2</v>
      </c>
      <c r="M4750" t="s">
        <v>4872</v>
      </c>
    </row>
    <row r="4751" spans="1:13" ht="15" customHeight="1">
      <c r="A4751" s="10">
        <v>46182</v>
      </c>
      <c r="B4751" t="s">
        <v>201</v>
      </c>
      <c r="C4751" t="s">
        <v>37</v>
      </c>
      <c r="D4751">
        <v>2</v>
      </c>
      <c r="E4751">
        <v>0</v>
      </c>
      <c r="H4751">
        <v>1</v>
      </c>
      <c r="I4751">
        <v>1</v>
      </c>
      <c r="M4751" t="s">
        <v>4873</v>
      </c>
    </row>
    <row r="4752" spans="1:13" ht="15" customHeight="1">
      <c r="A4752" s="10">
        <v>46182</v>
      </c>
      <c r="B4752" t="s">
        <v>201</v>
      </c>
      <c r="C4752" t="s">
        <v>39</v>
      </c>
      <c r="D4752">
        <v>13</v>
      </c>
      <c r="E4752">
        <v>0</v>
      </c>
      <c r="H4752">
        <v>3</v>
      </c>
      <c r="I4752">
        <v>10</v>
      </c>
      <c r="J4752">
        <v>0</v>
      </c>
      <c r="M4752" t="s">
        <v>4874</v>
      </c>
    </row>
    <row r="4753" spans="1:13" ht="15" customHeight="1">
      <c r="A4753" s="10">
        <v>46182</v>
      </c>
      <c r="B4753" t="s">
        <v>201</v>
      </c>
      <c r="C4753" t="s">
        <v>41</v>
      </c>
      <c r="D4753">
        <v>25</v>
      </c>
      <c r="E4753">
        <v>0</v>
      </c>
      <c r="H4753">
        <v>1</v>
      </c>
      <c r="I4753">
        <v>24</v>
      </c>
      <c r="J4753">
        <v>0</v>
      </c>
      <c r="M4753" t="s">
        <v>4875</v>
      </c>
    </row>
    <row r="4754" spans="1:13" ht="15" customHeight="1">
      <c r="A4754" s="10">
        <v>46182</v>
      </c>
      <c r="B4754" t="s">
        <v>201</v>
      </c>
      <c r="C4754" s="135" t="s">
        <v>44</v>
      </c>
      <c r="D4754">
        <v>5</v>
      </c>
      <c r="E4754">
        <v>7988</v>
      </c>
      <c r="I4754">
        <v>5</v>
      </c>
      <c r="J4754">
        <v>9067</v>
      </c>
      <c r="M4754" t="s">
        <v>4876</v>
      </c>
    </row>
    <row r="4755" spans="1:13" ht="15" customHeight="1">
      <c r="A4755" s="10">
        <v>46182</v>
      </c>
      <c r="B4755" t="s">
        <v>201</v>
      </c>
      <c r="C4755" t="s">
        <v>230</v>
      </c>
      <c r="D4755">
        <v>1</v>
      </c>
      <c r="E4755">
        <v>265</v>
      </c>
      <c r="I4755">
        <v>1</v>
      </c>
      <c r="J4755">
        <v>256</v>
      </c>
      <c r="M4755" t="s">
        <v>4877</v>
      </c>
    </row>
    <row r="4756" spans="1:13" ht="15" customHeight="1">
      <c r="A4756" s="10">
        <v>46182</v>
      </c>
      <c r="B4756" t="s">
        <v>201</v>
      </c>
      <c r="C4756" t="s">
        <v>232</v>
      </c>
      <c r="D4756">
        <v>0</v>
      </c>
      <c r="E4756">
        <v>0</v>
      </c>
      <c r="I4756">
        <v>12</v>
      </c>
      <c r="J4756">
        <v>0</v>
      </c>
      <c r="M4756" t="s">
        <v>4878</v>
      </c>
    </row>
    <row r="4757" spans="1:13" ht="15" customHeight="1">
      <c r="A4757" s="10">
        <v>46182</v>
      </c>
      <c r="B4757" t="s">
        <v>201</v>
      </c>
      <c r="C4757" t="s">
        <v>234</v>
      </c>
      <c r="D4757">
        <v>77</v>
      </c>
      <c r="E4757">
        <v>0</v>
      </c>
      <c r="H4757">
        <v>5</v>
      </c>
      <c r="I4757">
        <v>72</v>
      </c>
      <c r="J4757">
        <v>0</v>
      </c>
      <c r="M4757" t="s">
        <v>4879</v>
      </c>
    </row>
    <row r="4758" spans="1:13" ht="15" customHeight="1">
      <c r="A4758" s="10">
        <v>46182</v>
      </c>
      <c r="B4758" t="s">
        <v>201</v>
      </c>
      <c r="C4758" t="s">
        <v>54</v>
      </c>
      <c r="D4758">
        <v>0</v>
      </c>
      <c r="E4758">
        <v>0</v>
      </c>
      <c r="H4758">
        <v>0</v>
      </c>
      <c r="I4758">
        <v>0</v>
      </c>
      <c r="J4758">
        <v>0</v>
      </c>
      <c r="M4758" t="s">
        <v>4880</v>
      </c>
    </row>
    <row r="4759" spans="1:13" ht="15" customHeight="1">
      <c r="A4759" s="10">
        <v>46182</v>
      </c>
      <c r="B4759" t="s">
        <v>201</v>
      </c>
      <c r="C4759" t="s">
        <v>237</v>
      </c>
      <c r="D4759">
        <v>10</v>
      </c>
      <c r="E4759">
        <v>0</v>
      </c>
      <c r="H4759">
        <v>0</v>
      </c>
      <c r="I4759">
        <v>10</v>
      </c>
      <c r="J4759">
        <v>0</v>
      </c>
      <c r="M4759" t="s">
        <v>4881</v>
      </c>
    </row>
    <row r="4760" spans="1:13" ht="15" customHeight="1">
      <c r="A4760" s="10">
        <v>46182</v>
      </c>
      <c r="B4760" t="s">
        <v>201</v>
      </c>
      <c r="C4760" s="135" t="s">
        <v>58</v>
      </c>
      <c r="D4760">
        <v>10</v>
      </c>
      <c r="E4760">
        <v>0</v>
      </c>
      <c r="H4760">
        <v>3</v>
      </c>
      <c r="I4760">
        <v>7</v>
      </c>
      <c r="J4760">
        <v>0</v>
      </c>
      <c r="M4760" t="s">
        <v>4882</v>
      </c>
    </row>
    <row r="4761" spans="1:13" ht="15" customHeight="1">
      <c r="A4761" s="10">
        <v>46182</v>
      </c>
      <c r="B4761" t="s">
        <v>201</v>
      </c>
      <c r="C4761" s="135" t="s">
        <v>60</v>
      </c>
      <c r="D4761">
        <v>13</v>
      </c>
      <c r="E4761">
        <v>0</v>
      </c>
      <c r="H4761">
        <v>3</v>
      </c>
      <c r="I4761">
        <v>10</v>
      </c>
      <c r="J4761">
        <v>0</v>
      </c>
      <c r="M4761" t="s">
        <v>4883</v>
      </c>
    </row>
    <row r="4762" spans="1:13" ht="15" customHeight="1">
      <c r="A4762" s="10">
        <v>46182</v>
      </c>
      <c r="B4762" t="s">
        <v>201</v>
      </c>
      <c r="C4762" s="135" t="s">
        <v>61</v>
      </c>
      <c r="D4762">
        <v>7</v>
      </c>
      <c r="E4762">
        <v>0</v>
      </c>
      <c r="H4762">
        <v>2</v>
      </c>
      <c r="I4762">
        <v>5</v>
      </c>
      <c r="J4762">
        <v>0</v>
      </c>
      <c r="M4762" t="s">
        <v>4884</v>
      </c>
    </row>
    <row r="4763" spans="1:13" ht="15" customHeight="1">
      <c r="A4763" s="10">
        <v>46182</v>
      </c>
      <c r="B4763" t="s">
        <v>201</v>
      </c>
      <c r="C4763" s="135" t="s">
        <v>62</v>
      </c>
      <c r="D4763">
        <v>16</v>
      </c>
      <c r="E4763">
        <v>0</v>
      </c>
      <c r="H4763">
        <v>0</v>
      </c>
      <c r="I4763">
        <v>16</v>
      </c>
      <c r="J4763">
        <v>0</v>
      </c>
      <c r="M4763" t="s">
        <v>4885</v>
      </c>
    </row>
    <row r="4764" spans="1:13" ht="15" customHeight="1">
      <c r="A4764" s="10">
        <v>46182</v>
      </c>
      <c r="B4764" t="s">
        <v>201</v>
      </c>
      <c r="C4764" s="135" t="s">
        <v>63</v>
      </c>
      <c r="D4764">
        <v>15</v>
      </c>
      <c r="E4764">
        <v>0</v>
      </c>
      <c r="H4764">
        <v>1</v>
      </c>
      <c r="I4764">
        <v>14</v>
      </c>
      <c r="J4764">
        <v>0</v>
      </c>
      <c r="M4764" t="s">
        <v>4886</v>
      </c>
    </row>
    <row r="4765" spans="1:13" ht="15" customHeight="1">
      <c r="A4765" s="10">
        <v>46182</v>
      </c>
      <c r="B4765" t="s">
        <v>201</v>
      </c>
      <c r="C4765" s="135" t="s">
        <v>64</v>
      </c>
      <c r="D4765">
        <v>14</v>
      </c>
      <c r="E4765">
        <v>0</v>
      </c>
      <c r="H4765">
        <v>2</v>
      </c>
      <c r="I4765">
        <v>12</v>
      </c>
      <c r="J4765">
        <v>0</v>
      </c>
      <c r="M4765" t="s">
        <v>4887</v>
      </c>
    </row>
    <row r="4766" spans="1:13" ht="15" customHeight="1">
      <c r="A4766" s="10">
        <v>46182</v>
      </c>
      <c r="B4766" t="s">
        <v>201</v>
      </c>
      <c r="C4766" t="s">
        <v>66</v>
      </c>
      <c r="D4766">
        <v>4</v>
      </c>
      <c r="E4766">
        <v>0</v>
      </c>
      <c r="I4766">
        <v>4</v>
      </c>
      <c r="J4766">
        <v>0</v>
      </c>
      <c r="M4766" t="s">
        <v>4888</v>
      </c>
    </row>
    <row r="4767" spans="1:13" ht="15" customHeight="1">
      <c r="A4767" s="10">
        <v>46182</v>
      </c>
      <c r="B4767" t="s">
        <v>201</v>
      </c>
      <c r="C4767" t="s">
        <v>67</v>
      </c>
      <c r="D4767">
        <v>7</v>
      </c>
      <c r="E4767">
        <v>0</v>
      </c>
      <c r="H4767">
        <v>1</v>
      </c>
      <c r="I4767">
        <v>6</v>
      </c>
      <c r="J4767">
        <v>0</v>
      </c>
      <c r="M4767" t="s">
        <v>4889</v>
      </c>
    </row>
    <row r="4768" spans="1:13" ht="15" customHeight="1">
      <c r="A4768" s="10">
        <v>46182</v>
      </c>
      <c r="B4768" t="s">
        <v>201</v>
      </c>
      <c r="C4768" t="s">
        <v>68</v>
      </c>
      <c r="D4768">
        <v>0</v>
      </c>
      <c r="E4768">
        <v>0</v>
      </c>
      <c r="H4768">
        <v>0</v>
      </c>
      <c r="I4768">
        <v>0</v>
      </c>
      <c r="J4768">
        <v>0</v>
      </c>
      <c r="M4768" t="s">
        <v>4890</v>
      </c>
    </row>
    <row r="4769" spans="1:13" ht="15" customHeight="1">
      <c r="A4769" s="10">
        <v>46182</v>
      </c>
      <c r="B4769" t="s">
        <v>201</v>
      </c>
      <c r="C4769" t="s">
        <v>71</v>
      </c>
      <c r="D4769">
        <v>2</v>
      </c>
      <c r="E4769">
        <v>421</v>
      </c>
      <c r="I4769">
        <v>2</v>
      </c>
      <c r="J4769">
        <v>343</v>
      </c>
      <c r="M4769" t="s">
        <v>4891</v>
      </c>
    </row>
    <row r="4770" spans="1:13" ht="15" customHeight="1">
      <c r="A4770" s="10">
        <v>46182</v>
      </c>
      <c r="B4770" t="s">
        <v>201</v>
      </c>
      <c r="C4770" t="s">
        <v>73</v>
      </c>
      <c r="D4770">
        <v>2</v>
      </c>
      <c r="E4770">
        <v>533</v>
      </c>
      <c r="I4770">
        <v>2</v>
      </c>
      <c r="J4770">
        <v>499</v>
      </c>
      <c r="M4770" t="s">
        <v>4892</v>
      </c>
    </row>
    <row r="4771" spans="1:13" ht="15" customHeight="1">
      <c r="A4771" s="10">
        <v>46182</v>
      </c>
      <c r="B4771" t="s">
        <v>201</v>
      </c>
      <c r="C4771" t="s">
        <v>75</v>
      </c>
      <c r="D4771">
        <v>0</v>
      </c>
      <c r="E4771">
        <v>213</v>
      </c>
      <c r="I4771">
        <v>0</v>
      </c>
      <c r="J4771">
        <v>207</v>
      </c>
      <c r="M4771" t="s">
        <v>4893</v>
      </c>
    </row>
    <row r="4772" spans="1:13" ht="15" customHeight="1">
      <c r="A4772" s="10">
        <v>46182</v>
      </c>
      <c r="B4772" t="s">
        <v>201</v>
      </c>
      <c r="C4772" t="s">
        <v>77</v>
      </c>
      <c r="D4772">
        <v>0</v>
      </c>
      <c r="E4772">
        <v>498</v>
      </c>
      <c r="I4772">
        <v>0</v>
      </c>
      <c r="J4772">
        <v>498</v>
      </c>
      <c r="M4772" t="s">
        <v>4894</v>
      </c>
    </row>
    <row r="4773" spans="1:13" ht="15" customHeight="1">
      <c r="A4773" s="10">
        <v>46182</v>
      </c>
      <c r="B4773" t="s">
        <v>201</v>
      </c>
      <c r="C4773" t="s">
        <v>79</v>
      </c>
      <c r="D4773">
        <v>1</v>
      </c>
      <c r="E4773">
        <v>255</v>
      </c>
      <c r="I4773">
        <v>0</v>
      </c>
      <c r="J4773">
        <v>1635</v>
      </c>
      <c r="M4773" t="s">
        <v>4895</v>
      </c>
    </row>
    <row r="4774" spans="1:13" ht="15" customHeight="1">
      <c r="A4774" s="10">
        <v>46182</v>
      </c>
      <c r="B4774" t="s">
        <v>201</v>
      </c>
      <c r="C4774" t="s">
        <v>81</v>
      </c>
      <c r="D4774">
        <v>1</v>
      </c>
      <c r="E4774">
        <v>479</v>
      </c>
      <c r="I4774">
        <v>1</v>
      </c>
      <c r="J4774">
        <v>479</v>
      </c>
      <c r="M4774" t="s">
        <v>4896</v>
      </c>
    </row>
    <row r="4775" spans="1:13" ht="15" customHeight="1">
      <c r="A4775" s="10">
        <v>46182</v>
      </c>
      <c r="B4775" t="s">
        <v>201</v>
      </c>
      <c r="C4775" t="s">
        <v>83</v>
      </c>
      <c r="D4775">
        <v>1</v>
      </c>
      <c r="E4775">
        <v>84</v>
      </c>
      <c r="I4775">
        <v>1</v>
      </c>
      <c r="J4775">
        <v>84</v>
      </c>
      <c r="M4775" t="s">
        <v>4897</v>
      </c>
    </row>
    <row r="4776" spans="1:13" ht="15" customHeight="1">
      <c r="A4776" s="10">
        <v>46182</v>
      </c>
      <c r="B4776" t="s">
        <v>201</v>
      </c>
      <c r="C4776" t="s">
        <v>84</v>
      </c>
      <c r="D4776">
        <v>1</v>
      </c>
      <c r="E4776">
        <v>363</v>
      </c>
      <c r="I4776">
        <v>1</v>
      </c>
      <c r="J4776">
        <v>363</v>
      </c>
      <c r="M4776" t="s">
        <v>4898</v>
      </c>
    </row>
    <row r="4777" spans="1:13" ht="15" customHeight="1">
      <c r="A4777" s="10">
        <v>46182</v>
      </c>
      <c r="B4777" t="s">
        <v>201</v>
      </c>
      <c r="C4777" t="s">
        <v>85</v>
      </c>
      <c r="D4777">
        <v>0</v>
      </c>
      <c r="E4777">
        <v>214</v>
      </c>
      <c r="I4777">
        <v>0</v>
      </c>
      <c r="J4777">
        <v>117</v>
      </c>
      <c r="M4777" t="s">
        <v>4899</v>
      </c>
    </row>
    <row r="4778" spans="1:13" ht="15" customHeight="1">
      <c r="A4778" s="10">
        <v>46182</v>
      </c>
      <c r="B4778" t="s">
        <v>201</v>
      </c>
      <c r="C4778" t="s">
        <v>87</v>
      </c>
      <c r="D4778">
        <v>1</v>
      </c>
      <c r="E4778">
        <v>371</v>
      </c>
      <c r="I4778">
        <v>1</v>
      </c>
      <c r="J4778">
        <v>368</v>
      </c>
      <c r="M4778" t="s">
        <v>4900</v>
      </c>
    </row>
    <row r="4779" spans="1:13" ht="15" customHeight="1">
      <c r="A4779" s="10">
        <v>46182</v>
      </c>
      <c r="B4779" t="s">
        <v>201</v>
      </c>
      <c r="C4779" t="s">
        <v>88</v>
      </c>
      <c r="D4779">
        <v>1</v>
      </c>
      <c r="E4779">
        <v>319</v>
      </c>
      <c r="I4779">
        <v>1</v>
      </c>
      <c r="J4779">
        <v>321</v>
      </c>
      <c r="M4779" t="s">
        <v>4901</v>
      </c>
    </row>
    <row r="4780" spans="1:13" ht="15" customHeight="1">
      <c r="A4780" s="10">
        <v>46182</v>
      </c>
      <c r="B4780" t="s">
        <v>201</v>
      </c>
      <c r="C4780" t="s">
        <v>89</v>
      </c>
      <c r="D4780">
        <v>1</v>
      </c>
      <c r="E4780">
        <v>638</v>
      </c>
      <c r="I4780">
        <v>1</v>
      </c>
      <c r="J4780">
        <v>637</v>
      </c>
      <c r="M4780" t="s">
        <v>4902</v>
      </c>
    </row>
    <row r="4781" spans="1:13" ht="15" customHeight="1">
      <c r="A4781" s="10">
        <v>46182</v>
      </c>
      <c r="B4781" t="s">
        <v>201</v>
      </c>
      <c r="C4781" t="s">
        <v>90</v>
      </c>
      <c r="D4781">
        <v>1</v>
      </c>
      <c r="E4781">
        <v>247</v>
      </c>
      <c r="I4781">
        <v>1</v>
      </c>
      <c r="J4781">
        <v>144</v>
      </c>
      <c r="M4781" t="s">
        <v>4903</v>
      </c>
    </row>
    <row r="4782" spans="1:13" ht="15" customHeight="1">
      <c r="A4782" s="10">
        <v>46182</v>
      </c>
      <c r="B4782" t="s">
        <v>201</v>
      </c>
      <c r="C4782" t="s">
        <v>92</v>
      </c>
      <c r="D4782">
        <v>1</v>
      </c>
      <c r="E4782">
        <v>302</v>
      </c>
      <c r="I4782">
        <v>1</v>
      </c>
      <c r="J4782">
        <v>249</v>
      </c>
      <c r="M4782" t="s">
        <v>4904</v>
      </c>
    </row>
    <row r="4783" spans="1:13" ht="15" customHeight="1">
      <c r="A4783" s="10">
        <v>46182</v>
      </c>
      <c r="B4783" t="s">
        <v>201</v>
      </c>
      <c r="C4783" t="s">
        <v>94</v>
      </c>
      <c r="D4783">
        <v>0</v>
      </c>
      <c r="E4783">
        <v>801</v>
      </c>
      <c r="I4783">
        <v>0</v>
      </c>
      <c r="J4783">
        <v>677</v>
      </c>
      <c r="M4783" t="s">
        <v>4905</v>
      </c>
    </row>
    <row r="4784" spans="1:13" ht="15" customHeight="1">
      <c r="A4784" s="10">
        <v>46182</v>
      </c>
      <c r="B4784" t="s">
        <v>201</v>
      </c>
      <c r="C4784" t="s">
        <v>96</v>
      </c>
      <c r="D4784">
        <v>0</v>
      </c>
      <c r="E4784">
        <v>0</v>
      </c>
      <c r="I4784">
        <v>0</v>
      </c>
      <c r="J4784">
        <v>0</v>
      </c>
      <c r="M4784" t="s">
        <v>4906</v>
      </c>
    </row>
    <row r="4785" spans="1:13" ht="15" customHeight="1">
      <c r="A4785" s="10">
        <v>46182</v>
      </c>
      <c r="B4785" t="s">
        <v>201</v>
      </c>
      <c r="C4785" t="s">
        <v>98</v>
      </c>
      <c r="D4785">
        <v>0</v>
      </c>
      <c r="E4785">
        <v>628</v>
      </c>
      <c r="I4785">
        <v>0</v>
      </c>
      <c r="J4785">
        <v>499</v>
      </c>
      <c r="M4785" t="s">
        <v>4907</v>
      </c>
    </row>
    <row r="4786" spans="1:13" ht="15" customHeight="1">
      <c r="A4786" s="10">
        <v>46182</v>
      </c>
      <c r="B4786" t="s">
        <v>201</v>
      </c>
      <c r="C4786" t="s">
        <v>203</v>
      </c>
      <c r="D4786">
        <v>2</v>
      </c>
      <c r="E4786">
        <v>0</v>
      </c>
      <c r="I4786">
        <v>2</v>
      </c>
      <c r="J4786">
        <v>0</v>
      </c>
      <c r="M4786" t="s">
        <v>4908</v>
      </c>
    </row>
    <row r="4787" spans="1:13" ht="15" customHeight="1">
      <c r="A4787" s="10">
        <v>46182</v>
      </c>
      <c r="B4787" t="s">
        <v>201</v>
      </c>
      <c r="C4787" t="s">
        <v>100</v>
      </c>
      <c r="D4787">
        <v>0</v>
      </c>
      <c r="E4787">
        <v>0</v>
      </c>
      <c r="I4787">
        <v>0</v>
      </c>
      <c r="J4787">
        <v>0</v>
      </c>
      <c r="M4787" t="s">
        <v>4909</v>
      </c>
    </row>
    <row r="4788" spans="1:13" ht="15" customHeight="1">
      <c r="A4788" s="10">
        <v>46182</v>
      </c>
      <c r="B4788" t="s">
        <v>201</v>
      </c>
      <c r="C4788" t="s">
        <v>101</v>
      </c>
      <c r="D4788">
        <v>0</v>
      </c>
      <c r="E4788">
        <v>534</v>
      </c>
      <c r="I4788">
        <v>0</v>
      </c>
      <c r="J4788">
        <v>424</v>
      </c>
      <c r="M4788" t="s">
        <v>4910</v>
      </c>
    </row>
    <row r="4789" spans="1:13" ht="15" customHeight="1">
      <c r="A4789" s="10">
        <v>46182</v>
      </c>
      <c r="B4789" t="s">
        <v>201</v>
      </c>
      <c r="C4789" t="s">
        <v>103</v>
      </c>
      <c r="D4789">
        <v>9</v>
      </c>
      <c r="E4789">
        <v>7</v>
      </c>
      <c r="I4789">
        <v>0</v>
      </c>
      <c r="J4789">
        <v>3</v>
      </c>
      <c r="M4789" t="s">
        <v>4911</v>
      </c>
    </row>
    <row r="4790" spans="1:13" ht="15" customHeight="1">
      <c r="A4790" s="10">
        <v>46182</v>
      </c>
      <c r="B4790" t="s">
        <v>201</v>
      </c>
      <c r="C4790" t="s">
        <v>106</v>
      </c>
      <c r="D4790">
        <v>1</v>
      </c>
      <c r="E4790">
        <v>408</v>
      </c>
      <c r="I4790">
        <v>1</v>
      </c>
      <c r="J4790">
        <v>353</v>
      </c>
      <c r="M4790" t="s">
        <v>4912</v>
      </c>
    </row>
    <row r="4791" spans="1:13" ht="15" customHeight="1">
      <c r="A4791" s="10">
        <v>46182</v>
      </c>
      <c r="B4791" t="s">
        <v>201</v>
      </c>
      <c r="C4791" t="s">
        <v>108</v>
      </c>
      <c r="D4791">
        <v>1</v>
      </c>
      <c r="E4791">
        <v>567</v>
      </c>
      <c r="I4791">
        <v>1</v>
      </c>
      <c r="J4791">
        <v>551</v>
      </c>
      <c r="M4791" t="s">
        <v>4913</v>
      </c>
    </row>
    <row r="4792" spans="1:13" ht="15" customHeight="1">
      <c r="A4792" s="10">
        <v>46182</v>
      </c>
      <c r="B4792" t="s">
        <v>201</v>
      </c>
      <c r="C4792" t="s">
        <v>109</v>
      </c>
      <c r="D4792">
        <v>1</v>
      </c>
      <c r="E4792">
        <v>455</v>
      </c>
      <c r="I4792">
        <v>1</v>
      </c>
      <c r="J4792">
        <v>663</v>
      </c>
      <c r="M4792" t="s">
        <v>4914</v>
      </c>
    </row>
    <row r="4793" spans="1:13" ht="15" customHeight="1">
      <c r="A4793" s="10">
        <v>46182</v>
      </c>
      <c r="B4793" t="s">
        <v>201</v>
      </c>
      <c r="C4793" t="s">
        <v>112</v>
      </c>
      <c r="D4793">
        <v>2</v>
      </c>
      <c r="E4793">
        <v>11</v>
      </c>
      <c r="I4793">
        <v>2</v>
      </c>
      <c r="J4793">
        <v>7</v>
      </c>
      <c r="M4793" t="s">
        <v>4915</v>
      </c>
    </row>
    <row r="4794" spans="1:13" ht="15" customHeight="1">
      <c r="A4794" s="10">
        <v>46182</v>
      </c>
      <c r="B4794" t="s">
        <v>201</v>
      </c>
      <c r="C4794" t="s">
        <v>114</v>
      </c>
      <c r="D4794">
        <v>2</v>
      </c>
      <c r="E4794">
        <v>31</v>
      </c>
      <c r="I4794">
        <v>2</v>
      </c>
      <c r="J4794">
        <v>21</v>
      </c>
      <c r="M4794" t="s">
        <v>4916</v>
      </c>
    </row>
    <row r="4795" spans="1:13" ht="15" customHeight="1">
      <c r="A4795" s="10">
        <v>46182</v>
      </c>
      <c r="B4795" t="s">
        <v>201</v>
      </c>
      <c r="C4795" t="s">
        <v>115</v>
      </c>
      <c r="D4795">
        <v>1</v>
      </c>
      <c r="E4795">
        <v>33</v>
      </c>
      <c r="I4795">
        <v>1</v>
      </c>
      <c r="J4795">
        <v>30</v>
      </c>
      <c r="M4795" t="s">
        <v>4917</v>
      </c>
    </row>
    <row r="4796" spans="1:13" ht="15" customHeight="1">
      <c r="A4796" s="10">
        <v>46182</v>
      </c>
      <c r="B4796" t="s">
        <v>201</v>
      </c>
      <c r="C4796" t="s">
        <v>116</v>
      </c>
      <c r="D4796">
        <v>2</v>
      </c>
      <c r="E4796">
        <v>15</v>
      </c>
      <c r="I4796">
        <v>2</v>
      </c>
      <c r="J4796">
        <v>9</v>
      </c>
      <c r="M4796" t="s">
        <v>4918</v>
      </c>
    </row>
    <row r="4797" spans="1:13" ht="15" customHeight="1">
      <c r="A4797" s="10">
        <v>46182</v>
      </c>
      <c r="B4797" t="s">
        <v>201</v>
      </c>
      <c r="C4797" t="s">
        <v>119</v>
      </c>
      <c r="D4797">
        <v>2</v>
      </c>
      <c r="E4797">
        <v>0</v>
      </c>
      <c r="I4797">
        <v>2</v>
      </c>
      <c r="M4797" t="s">
        <v>4919</v>
      </c>
    </row>
    <row r="4798" spans="1:13" ht="15" customHeight="1">
      <c r="A4798" s="10">
        <v>46182</v>
      </c>
      <c r="B4798" t="s">
        <v>201</v>
      </c>
      <c r="C4798" t="s">
        <v>120</v>
      </c>
      <c r="D4798">
        <v>0</v>
      </c>
      <c r="E4798">
        <v>0</v>
      </c>
      <c r="I4798">
        <v>0</v>
      </c>
      <c r="M4798" t="s">
        <v>4920</v>
      </c>
    </row>
    <row r="4799" spans="1:13" ht="15" customHeight="1">
      <c r="A4799" s="10">
        <v>46182</v>
      </c>
      <c r="B4799" t="s">
        <v>201</v>
      </c>
      <c r="C4799" t="s">
        <v>121</v>
      </c>
      <c r="D4799">
        <v>1</v>
      </c>
      <c r="E4799">
        <v>0</v>
      </c>
      <c r="I4799">
        <v>1</v>
      </c>
      <c r="M4799" t="s">
        <v>4921</v>
      </c>
    </row>
    <row r="4800" spans="1:13" ht="15" customHeight="1">
      <c r="A4800" s="10">
        <v>46182</v>
      </c>
      <c r="B4800" t="s">
        <v>201</v>
      </c>
      <c r="C4800" t="s">
        <v>123</v>
      </c>
      <c r="D4800">
        <v>1</v>
      </c>
      <c r="E4800">
        <v>0</v>
      </c>
      <c r="I4800">
        <v>1</v>
      </c>
      <c r="M4800" t="s">
        <v>4922</v>
      </c>
    </row>
    <row r="4801" spans="1:13" ht="15" customHeight="1">
      <c r="A4801" s="10">
        <v>46182</v>
      </c>
      <c r="B4801" t="s">
        <v>201</v>
      </c>
      <c r="C4801" t="s">
        <v>124</v>
      </c>
      <c r="D4801">
        <v>2</v>
      </c>
      <c r="E4801">
        <v>0</v>
      </c>
      <c r="I4801">
        <v>2</v>
      </c>
      <c r="M4801" t="s">
        <v>4923</v>
      </c>
    </row>
    <row r="4802" spans="1:13" ht="15" customHeight="1">
      <c r="A4802" s="10">
        <v>46182</v>
      </c>
      <c r="B4802" t="s">
        <v>201</v>
      </c>
      <c r="C4802" t="s">
        <v>125</v>
      </c>
      <c r="D4802">
        <v>1</v>
      </c>
      <c r="E4802">
        <v>0</v>
      </c>
      <c r="I4802">
        <v>1</v>
      </c>
      <c r="M4802" t="s">
        <v>4924</v>
      </c>
    </row>
    <row r="4803" spans="1:13" ht="15" customHeight="1">
      <c r="A4803" s="10">
        <v>46182</v>
      </c>
      <c r="B4803" t="s">
        <v>201</v>
      </c>
      <c r="C4803" t="s">
        <v>126</v>
      </c>
      <c r="D4803">
        <v>2</v>
      </c>
      <c r="E4803">
        <v>0</v>
      </c>
      <c r="I4803">
        <v>2</v>
      </c>
      <c r="M4803" t="s">
        <v>4925</v>
      </c>
    </row>
    <row r="4804" spans="1:13" ht="15" customHeight="1">
      <c r="A4804" s="10">
        <v>46182</v>
      </c>
      <c r="B4804" t="s">
        <v>201</v>
      </c>
      <c r="C4804" t="s">
        <v>128</v>
      </c>
      <c r="D4804">
        <v>3</v>
      </c>
      <c r="E4804">
        <v>0</v>
      </c>
      <c r="I4804">
        <v>3</v>
      </c>
      <c r="M4804" t="s">
        <v>4926</v>
      </c>
    </row>
    <row r="4805" spans="1:13" ht="15" customHeight="1">
      <c r="A4805" s="10">
        <v>46182</v>
      </c>
      <c r="B4805" t="s">
        <v>201</v>
      </c>
      <c r="C4805" t="s">
        <v>130</v>
      </c>
      <c r="D4805">
        <v>4</v>
      </c>
      <c r="E4805">
        <v>0</v>
      </c>
      <c r="I4805">
        <v>4</v>
      </c>
      <c r="M4805" t="s">
        <v>4927</v>
      </c>
    </row>
    <row r="4806" spans="1:13" ht="15" customHeight="1">
      <c r="A4806" s="10">
        <v>46182</v>
      </c>
      <c r="B4806" t="s">
        <v>201</v>
      </c>
      <c r="C4806" t="s">
        <v>285</v>
      </c>
      <c r="D4806">
        <v>2</v>
      </c>
      <c r="E4806">
        <v>0</v>
      </c>
      <c r="I4806">
        <v>2</v>
      </c>
      <c r="M4806" t="s">
        <v>4928</v>
      </c>
    </row>
    <row r="4807" spans="1:13" ht="15" customHeight="1">
      <c r="A4807" s="10">
        <v>46182</v>
      </c>
      <c r="B4807" t="s">
        <v>201</v>
      </c>
      <c r="C4807" t="s">
        <v>287</v>
      </c>
      <c r="D4807">
        <v>2</v>
      </c>
      <c r="E4807">
        <v>0</v>
      </c>
      <c r="I4807">
        <v>2</v>
      </c>
      <c r="M4807" t="s">
        <v>4929</v>
      </c>
    </row>
    <row r="4808" spans="1:13" ht="15" customHeight="1">
      <c r="A4808" s="10">
        <v>46182</v>
      </c>
      <c r="B4808" t="s">
        <v>201</v>
      </c>
      <c r="C4808" t="s">
        <v>289</v>
      </c>
      <c r="D4808">
        <v>1</v>
      </c>
      <c r="E4808">
        <v>0</v>
      </c>
      <c r="I4808">
        <v>1</v>
      </c>
      <c r="M4808" t="s">
        <v>4930</v>
      </c>
    </row>
    <row r="4809" spans="1:13" ht="15" customHeight="1">
      <c r="A4809" s="10">
        <v>46182</v>
      </c>
      <c r="B4809" t="s">
        <v>201</v>
      </c>
      <c r="C4809" t="s">
        <v>291</v>
      </c>
      <c r="D4809">
        <v>2</v>
      </c>
      <c r="E4809">
        <v>0</v>
      </c>
      <c r="I4809">
        <v>2</v>
      </c>
      <c r="M4809" t="s">
        <v>4931</v>
      </c>
    </row>
    <row r="4810" spans="1:13" ht="15" customHeight="1">
      <c r="A4810" s="10">
        <v>46182</v>
      </c>
      <c r="B4810" t="s">
        <v>201</v>
      </c>
      <c r="C4810" t="s">
        <v>293</v>
      </c>
      <c r="D4810">
        <v>2</v>
      </c>
      <c r="E4810">
        <v>0</v>
      </c>
      <c r="I4810">
        <v>2</v>
      </c>
      <c r="M4810" t="s">
        <v>4932</v>
      </c>
    </row>
    <row r="4811" spans="1:13" ht="15" customHeight="1">
      <c r="A4811" s="10">
        <v>46182</v>
      </c>
      <c r="B4811" t="s">
        <v>201</v>
      </c>
      <c r="C4811" s="135" t="s">
        <v>138</v>
      </c>
      <c r="D4811">
        <v>0</v>
      </c>
      <c r="E4811">
        <v>19</v>
      </c>
      <c r="I4811">
        <v>0</v>
      </c>
      <c r="J4811">
        <v>17</v>
      </c>
      <c r="M4811" t="s">
        <v>4933</v>
      </c>
    </row>
    <row r="4812" spans="1:13" ht="15" customHeight="1">
      <c r="A4812" s="10">
        <v>46182</v>
      </c>
      <c r="B4812" t="s">
        <v>201</v>
      </c>
      <c r="C4812" s="135" t="s">
        <v>139</v>
      </c>
      <c r="D4812">
        <v>0</v>
      </c>
      <c r="E4812">
        <v>44</v>
      </c>
      <c r="I4812">
        <v>0</v>
      </c>
      <c r="J4812">
        <v>40</v>
      </c>
      <c r="M4812" t="s">
        <v>4934</v>
      </c>
    </row>
    <row r="4813" spans="1:13" ht="15" customHeight="1">
      <c r="A4813" s="10">
        <v>46182</v>
      </c>
      <c r="B4813" t="s">
        <v>201</v>
      </c>
      <c r="C4813" s="135" t="s">
        <v>140</v>
      </c>
      <c r="D4813">
        <v>0</v>
      </c>
      <c r="E4813">
        <v>24</v>
      </c>
      <c r="I4813">
        <v>0</v>
      </c>
      <c r="J4813">
        <v>33</v>
      </c>
      <c r="M4813" t="s">
        <v>4935</v>
      </c>
    </row>
    <row r="4814" spans="1:13" ht="15" customHeight="1">
      <c r="A4814" s="10">
        <v>46182</v>
      </c>
      <c r="B4814" t="s">
        <v>201</v>
      </c>
      <c r="C4814" s="135" t="s">
        <v>141</v>
      </c>
      <c r="D4814">
        <v>1</v>
      </c>
      <c r="E4814">
        <v>1</v>
      </c>
      <c r="I4814">
        <v>0</v>
      </c>
      <c r="J4814">
        <v>1</v>
      </c>
      <c r="M4814" t="s">
        <v>4936</v>
      </c>
    </row>
    <row r="4815" spans="1:13" ht="15" customHeight="1">
      <c r="A4815" s="10">
        <v>46182</v>
      </c>
      <c r="B4815" t="s">
        <v>201</v>
      </c>
      <c r="C4815" s="135" t="s">
        <v>143</v>
      </c>
      <c r="D4815">
        <v>0</v>
      </c>
      <c r="E4815">
        <v>31</v>
      </c>
      <c r="I4815">
        <v>0</v>
      </c>
      <c r="J4815">
        <v>27</v>
      </c>
      <c r="M4815" t="s">
        <v>4937</v>
      </c>
    </row>
    <row r="4816" spans="1:13" ht="15" customHeight="1">
      <c r="A4816" s="10">
        <v>46182</v>
      </c>
      <c r="B4816" t="s">
        <v>201</v>
      </c>
      <c r="C4816" s="135" t="s">
        <v>145</v>
      </c>
      <c r="D4816">
        <v>0</v>
      </c>
      <c r="E4816">
        <v>32</v>
      </c>
      <c r="I4816">
        <v>0</v>
      </c>
      <c r="J4816">
        <v>19</v>
      </c>
      <c r="M4816" t="s">
        <v>4938</v>
      </c>
    </row>
    <row r="4817" spans="1:13" ht="15" customHeight="1">
      <c r="A4817" s="10">
        <v>46182</v>
      </c>
      <c r="B4817" t="s">
        <v>201</v>
      </c>
      <c r="C4817" s="135" t="s">
        <v>147</v>
      </c>
      <c r="D4817">
        <v>0</v>
      </c>
      <c r="E4817">
        <v>36</v>
      </c>
      <c r="I4817">
        <v>0</v>
      </c>
      <c r="J4817">
        <v>34</v>
      </c>
      <c r="M4817" t="s">
        <v>4939</v>
      </c>
    </row>
    <row r="4818" spans="1:13" ht="15" customHeight="1">
      <c r="A4818" s="10">
        <v>46182</v>
      </c>
      <c r="B4818" t="s">
        <v>201</v>
      </c>
      <c r="C4818" t="s">
        <v>302</v>
      </c>
      <c r="D4818">
        <v>1</v>
      </c>
      <c r="E4818">
        <v>2</v>
      </c>
      <c r="I4818">
        <v>1</v>
      </c>
      <c r="M4818" t="s">
        <v>4940</v>
      </c>
    </row>
    <row r="4819" spans="1:13" ht="15" customHeight="1">
      <c r="A4819" s="10">
        <v>46182</v>
      </c>
      <c r="B4819" t="s">
        <v>201</v>
      </c>
      <c r="C4819" t="s">
        <v>150</v>
      </c>
      <c r="D4819">
        <v>1</v>
      </c>
      <c r="E4819">
        <v>0</v>
      </c>
      <c r="I4819">
        <v>1</v>
      </c>
      <c r="M4819" t="s">
        <v>4941</v>
      </c>
    </row>
    <row r="4820" spans="1:13" ht="15" customHeight="1">
      <c r="A4820" s="10">
        <v>46182</v>
      </c>
      <c r="B4820" t="s">
        <v>201</v>
      </c>
      <c r="C4820" t="s">
        <v>151</v>
      </c>
      <c r="D4820">
        <v>0</v>
      </c>
      <c r="E4820">
        <v>0</v>
      </c>
      <c r="I4820">
        <v>0</v>
      </c>
      <c r="M4820" t="s">
        <v>4942</v>
      </c>
    </row>
    <row r="4821" spans="1:13" ht="15" customHeight="1">
      <c r="A4821" s="10">
        <v>46182</v>
      </c>
      <c r="B4821" t="s">
        <v>201</v>
      </c>
      <c r="C4821" t="s">
        <v>152</v>
      </c>
      <c r="D4821">
        <v>2</v>
      </c>
      <c r="E4821">
        <v>0</v>
      </c>
      <c r="I4821">
        <v>2</v>
      </c>
      <c r="M4821" t="s">
        <v>4943</v>
      </c>
    </row>
    <row r="4822" spans="1:13" ht="15" customHeight="1">
      <c r="A4822" s="10">
        <v>46182</v>
      </c>
      <c r="B4822" t="s">
        <v>201</v>
      </c>
      <c r="C4822" t="s">
        <v>153</v>
      </c>
      <c r="D4822">
        <v>2</v>
      </c>
      <c r="E4822">
        <v>0</v>
      </c>
      <c r="I4822">
        <v>2</v>
      </c>
      <c r="M4822" t="s">
        <v>4944</v>
      </c>
    </row>
    <row r="4823" spans="1:13" ht="15" customHeight="1">
      <c r="A4823" s="10">
        <v>46182</v>
      </c>
      <c r="B4823" t="s">
        <v>201</v>
      </c>
      <c r="C4823" t="s">
        <v>308</v>
      </c>
      <c r="D4823">
        <v>4</v>
      </c>
      <c r="E4823">
        <v>3</v>
      </c>
      <c r="I4823">
        <v>0</v>
      </c>
      <c r="J4823">
        <v>3</v>
      </c>
      <c r="M4823" t="s">
        <v>4945</v>
      </c>
    </row>
    <row r="4824" spans="1:13" ht="15" customHeight="1">
      <c r="A4824" s="10">
        <v>46182</v>
      </c>
      <c r="B4824" t="s">
        <v>201</v>
      </c>
      <c r="C4824" t="s">
        <v>310</v>
      </c>
      <c r="D4824">
        <v>2</v>
      </c>
      <c r="E4824">
        <v>1</v>
      </c>
      <c r="I4824">
        <v>0</v>
      </c>
      <c r="J4824">
        <v>1</v>
      </c>
      <c r="M4824" t="s">
        <v>4946</v>
      </c>
    </row>
    <row r="4825" spans="1:13" ht="15" customHeight="1">
      <c r="A4825" s="10">
        <v>46182</v>
      </c>
      <c r="B4825" t="s">
        <v>201</v>
      </c>
      <c r="C4825" t="s">
        <v>312</v>
      </c>
      <c r="D4825">
        <v>4</v>
      </c>
      <c r="E4825">
        <v>5</v>
      </c>
      <c r="I4825">
        <v>0</v>
      </c>
      <c r="J4825">
        <v>4</v>
      </c>
      <c r="M4825" t="s">
        <v>4947</v>
      </c>
    </row>
    <row r="4826" spans="1:13" ht="15" customHeight="1">
      <c r="A4826" s="10">
        <v>46182</v>
      </c>
      <c r="B4826" t="s">
        <v>201</v>
      </c>
      <c r="C4826" t="s">
        <v>314</v>
      </c>
      <c r="D4826">
        <v>1</v>
      </c>
      <c r="E4826">
        <v>0</v>
      </c>
      <c r="I4826">
        <v>1</v>
      </c>
      <c r="M4826" t="s">
        <v>4948</v>
      </c>
    </row>
    <row r="4827" spans="1:13" ht="15" customHeight="1">
      <c r="A4827" s="10">
        <v>46182</v>
      </c>
      <c r="B4827" t="s">
        <v>201</v>
      </c>
      <c r="C4827" t="s">
        <v>316</v>
      </c>
      <c r="D4827">
        <v>0</v>
      </c>
      <c r="E4827">
        <v>0</v>
      </c>
      <c r="I4827">
        <v>0</v>
      </c>
      <c r="M4827" t="s">
        <v>4949</v>
      </c>
    </row>
    <row r="4828" spans="1:13" ht="15" customHeight="1">
      <c r="A4828" s="10">
        <v>46182</v>
      </c>
      <c r="B4828" t="s">
        <v>201</v>
      </c>
      <c r="C4828" t="s">
        <v>318</v>
      </c>
      <c r="D4828">
        <v>3</v>
      </c>
      <c r="E4828">
        <v>0</v>
      </c>
      <c r="I4828">
        <v>2</v>
      </c>
      <c r="M4828" t="s">
        <v>4950</v>
      </c>
    </row>
    <row r="4829" spans="1:13" ht="15" customHeight="1">
      <c r="A4829" s="10">
        <v>46182</v>
      </c>
      <c r="B4829" t="s">
        <v>201</v>
      </c>
      <c r="C4829" t="s">
        <v>320</v>
      </c>
      <c r="D4829">
        <v>1</v>
      </c>
      <c r="E4829">
        <v>0</v>
      </c>
      <c r="I4829">
        <v>1</v>
      </c>
      <c r="M4829" t="s">
        <v>4951</v>
      </c>
    </row>
    <row r="4830" spans="1:13" ht="15" customHeight="1">
      <c r="A4830" s="10">
        <v>46182</v>
      </c>
      <c r="B4830" t="s">
        <v>201</v>
      </c>
      <c r="C4830" t="s">
        <v>322</v>
      </c>
      <c r="D4830">
        <v>2</v>
      </c>
      <c r="E4830">
        <v>0</v>
      </c>
      <c r="I4830">
        <v>2</v>
      </c>
      <c r="M4830" t="s">
        <v>4952</v>
      </c>
    </row>
    <row r="4831" spans="1:13" ht="15" customHeight="1">
      <c r="A4831" s="10">
        <v>46182</v>
      </c>
      <c r="B4831" t="s">
        <v>201</v>
      </c>
      <c r="C4831" s="135" t="s">
        <v>168</v>
      </c>
      <c r="D4831">
        <v>1</v>
      </c>
      <c r="E4831">
        <v>0</v>
      </c>
      <c r="I4831">
        <v>1</v>
      </c>
      <c r="M4831" t="s">
        <v>4953</v>
      </c>
    </row>
    <row r="4832" spans="1:13" ht="15" customHeight="1">
      <c r="A4832" s="10">
        <v>46182</v>
      </c>
      <c r="B4832" t="s">
        <v>201</v>
      </c>
      <c r="C4832" s="135" t="s">
        <v>170</v>
      </c>
      <c r="D4832">
        <v>1</v>
      </c>
      <c r="E4832">
        <v>0</v>
      </c>
      <c r="I4832">
        <v>1</v>
      </c>
      <c r="M4832" t="s">
        <v>4954</v>
      </c>
    </row>
    <row r="4833" spans="1:13" ht="15" customHeight="1">
      <c r="A4833" s="10">
        <v>46182</v>
      </c>
      <c r="B4833" t="s">
        <v>201</v>
      </c>
      <c r="C4833" s="135" t="s">
        <v>171</v>
      </c>
      <c r="D4833">
        <v>2</v>
      </c>
      <c r="E4833">
        <v>0</v>
      </c>
      <c r="I4833">
        <v>3</v>
      </c>
      <c r="M4833" t="s">
        <v>4955</v>
      </c>
    </row>
    <row r="4834" spans="1:13" ht="15" customHeight="1">
      <c r="A4834" s="10">
        <v>46182</v>
      </c>
      <c r="B4834" t="s">
        <v>201</v>
      </c>
      <c r="C4834" s="135" t="s">
        <v>172</v>
      </c>
      <c r="D4834">
        <v>1</v>
      </c>
      <c r="E4834">
        <v>0</v>
      </c>
      <c r="I4834">
        <v>1</v>
      </c>
      <c r="M4834" t="s">
        <v>4956</v>
      </c>
    </row>
    <row r="4835" spans="1:13" ht="15" customHeight="1">
      <c r="A4835" s="10">
        <v>46182</v>
      </c>
      <c r="B4835" t="s">
        <v>201</v>
      </c>
      <c r="C4835" s="135" t="s">
        <v>173</v>
      </c>
      <c r="D4835">
        <v>1</v>
      </c>
      <c r="E4835">
        <v>0</v>
      </c>
      <c r="I4835">
        <v>1</v>
      </c>
      <c r="M4835" t="s">
        <v>4957</v>
      </c>
    </row>
    <row r="4836" spans="1:13" ht="15" customHeight="1">
      <c r="A4836" s="10">
        <v>46182</v>
      </c>
      <c r="B4836" t="s">
        <v>201</v>
      </c>
      <c r="C4836" t="s">
        <v>176</v>
      </c>
      <c r="D4836">
        <v>22</v>
      </c>
      <c r="E4836">
        <v>22</v>
      </c>
      <c r="I4836">
        <v>0</v>
      </c>
      <c r="J4836">
        <v>22</v>
      </c>
      <c r="M4836" t="s">
        <v>4958</v>
      </c>
    </row>
    <row r="4837" spans="1:13" ht="15" customHeight="1">
      <c r="A4837" s="10">
        <v>46182</v>
      </c>
      <c r="B4837" t="s">
        <v>201</v>
      </c>
      <c r="C4837" t="s">
        <v>178</v>
      </c>
      <c r="D4837">
        <v>17</v>
      </c>
      <c r="E4837">
        <v>17</v>
      </c>
      <c r="H4837">
        <v>1</v>
      </c>
      <c r="I4837">
        <v>0</v>
      </c>
      <c r="J4837">
        <v>16</v>
      </c>
      <c r="M4837" t="s">
        <v>4959</v>
      </c>
    </row>
    <row r="4838" spans="1:13" ht="15" customHeight="1">
      <c r="A4838" s="10">
        <v>46182</v>
      </c>
      <c r="B4838" t="s">
        <v>201</v>
      </c>
      <c r="C4838" t="s">
        <v>179</v>
      </c>
      <c r="D4838">
        <v>19</v>
      </c>
      <c r="E4838">
        <v>19</v>
      </c>
      <c r="I4838">
        <v>0</v>
      </c>
      <c r="J4838">
        <v>19</v>
      </c>
      <c r="M4838" t="s">
        <v>4960</v>
      </c>
    </row>
    <row r="4839" spans="1:13" ht="15" customHeight="1">
      <c r="A4839" s="10">
        <v>46182</v>
      </c>
      <c r="B4839" t="s">
        <v>201</v>
      </c>
      <c r="C4839" t="s">
        <v>180</v>
      </c>
      <c r="D4839">
        <v>16</v>
      </c>
      <c r="E4839">
        <v>16</v>
      </c>
      <c r="I4839">
        <v>0</v>
      </c>
      <c r="J4839">
        <v>16</v>
      </c>
      <c r="M4839" t="s">
        <v>4961</v>
      </c>
    </row>
    <row r="4840" spans="1:13" ht="15" customHeight="1">
      <c r="A4840" s="10">
        <v>46182</v>
      </c>
      <c r="B4840" t="s">
        <v>201</v>
      </c>
      <c r="C4840" s="135" t="s">
        <v>182</v>
      </c>
      <c r="D4840">
        <v>1</v>
      </c>
      <c r="E4840">
        <v>158</v>
      </c>
      <c r="I4840">
        <v>1</v>
      </c>
      <c r="J4840">
        <v>158</v>
      </c>
      <c r="M4840" t="s">
        <v>4962</v>
      </c>
    </row>
    <row r="4841" spans="1:13" ht="15" customHeight="1">
      <c r="A4841" s="10">
        <v>46182</v>
      </c>
      <c r="B4841" t="s">
        <v>201</v>
      </c>
      <c r="C4841" s="135" t="s">
        <v>184</v>
      </c>
      <c r="D4841">
        <v>1</v>
      </c>
      <c r="E4841">
        <v>54</v>
      </c>
      <c r="I4841">
        <v>1</v>
      </c>
      <c r="J4841">
        <v>54</v>
      </c>
      <c r="M4841" t="s">
        <v>4963</v>
      </c>
    </row>
    <row r="4842" spans="1:13" ht="15" customHeight="1">
      <c r="A4842" s="10">
        <v>46182</v>
      </c>
      <c r="B4842" t="s">
        <v>201</v>
      </c>
      <c r="C4842" s="135" t="s">
        <v>185</v>
      </c>
      <c r="D4842">
        <v>1</v>
      </c>
      <c r="E4842">
        <v>40</v>
      </c>
      <c r="I4842">
        <v>1</v>
      </c>
      <c r="J4842">
        <v>40</v>
      </c>
      <c r="M4842" t="s">
        <v>4964</v>
      </c>
    </row>
    <row r="4843" spans="1:13" ht="15" customHeight="1">
      <c r="A4843" s="10">
        <v>46182</v>
      </c>
      <c r="B4843" t="s">
        <v>201</v>
      </c>
      <c r="C4843" s="135" t="s">
        <v>186</v>
      </c>
      <c r="D4843">
        <v>1</v>
      </c>
      <c r="E4843">
        <v>650</v>
      </c>
      <c r="I4843">
        <v>1</v>
      </c>
      <c r="J4843">
        <v>650</v>
      </c>
      <c r="M4843" t="s">
        <v>4965</v>
      </c>
    </row>
    <row r="4844" spans="1:13" ht="15" customHeight="1">
      <c r="A4844" s="10">
        <v>46182</v>
      </c>
      <c r="B4844" t="s">
        <v>201</v>
      </c>
      <c r="C4844" t="s">
        <v>337</v>
      </c>
      <c r="D4844">
        <v>1</v>
      </c>
      <c r="E4844">
        <v>218</v>
      </c>
      <c r="I4844">
        <v>1</v>
      </c>
      <c r="J4844">
        <v>148</v>
      </c>
      <c r="M4844" t="s">
        <v>4966</v>
      </c>
    </row>
    <row r="4845" spans="1:13" ht="15" customHeight="1">
      <c r="A4845" s="10">
        <v>46182</v>
      </c>
      <c r="B4845" t="s">
        <v>201</v>
      </c>
      <c r="C4845" t="s">
        <v>339</v>
      </c>
      <c r="D4845">
        <v>0</v>
      </c>
      <c r="E4845">
        <v>0</v>
      </c>
      <c r="I4845">
        <v>0</v>
      </c>
      <c r="J4845">
        <v>0</v>
      </c>
      <c r="M4845" t="s">
        <v>4967</v>
      </c>
    </row>
    <row r="4846" spans="1:13" ht="15" customHeight="1">
      <c r="A4846" s="10">
        <v>46182</v>
      </c>
      <c r="B4846" t="s">
        <v>201</v>
      </c>
      <c r="C4846" s="135" t="s">
        <v>191</v>
      </c>
      <c r="D4846">
        <v>1</v>
      </c>
      <c r="E4846">
        <v>260</v>
      </c>
      <c r="I4846">
        <v>1</v>
      </c>
      <c r="J4846">
        <v>200</v>
      </c>
      <c r="M4846" t="s">
        <v>4968</v>
      </c>
    </row>
    <row r="4847" spans="1:13" ht="15" customHeight="1">
      <c r="A4847" s="10">
        <v>46182</v>
      </c>
      <c r="B4847" t="s">
        <v>201</v>
      </c>
      <c r="C4847" s="135" t="s">
        <v>193</v>
      </c>
      <c r="D4847">
        <v>0</v>
      </c>
      <c r="E4847">
        <v>563</v>
      </c>
      <c r="I4847">
        <v>0</v>
      </c>
      <c r="J4847">
        <v>562</v>
      </c>
      <c r="M4847" t="s">
        <v>4969</v>
      </c>
    </row>
    <row r="4848" spans="1:13" ht="15" customHeight="1">
      <c r="A4848" s="10">
        <v>46182</v>
      </c>
      <c r="B4848" t="s">
        <v>201</v>
      </c>
      <c r="C4848" s="135" t="s">
        <v>194</v>
      </c>
      <c r="D4848">
        <v>1</v>
      </c>
      <c r="E4848">
        <v>4</v>
      </c>
      <c r="I4848">
        <v>1</v>
      </c>
      <c r="J4848">
        <v>4</v>
      </c>
      <c r="M4848" t="s">
        <v>4970</v>
      </c>
    </row>
    <row r="4849" spans="1:13" ht="15" customHeight="1">
      <c r="A4849" s="10">
        <v>46182</v>
      </c>
      <c r="B4849" t="s">
        <v>201</v>
      </c>
      <c r="C4849" s="135" t="s">
        <v>196</v>
      </c>
      <c r="D4849">
        <v>0</v>
      </c>
      <c r="E4849">
        <v>660</v>
      </c>
      <c r="I4849">
        <v>0</v>
      </c>
      <c r="J4849">
        <v>660</v>
      </c>
      <c r="M4849" t="s">
        <v>4971</v>
      </c>
    </row>
    <row r="4850" spans="1:13" ht="15" customHeight="1">
      <c r="A4850" s="10">
        <v>46182</v>
      </c>
      <c r="B4850" t="s">
        <v>201</v>
      </c>
      <c r="C4850" s="135" t="s">
        <v>199</v>
      </c>
      <c r="D4850">
        <v>0</v>
      </c>
      <c r="E4850">
        <v>0</v>
      </c>
      <c r="I4850">
        <v>0</v>
      </c>
      <c r="J4850">
        <v>0</v>
      </c>
      <c r="M4850" t="s">
        <v>4972</v>
      </c>
    </row>
    <row r="4851" spans="1:13" ht="15" customHeight="1">
      <c r="A4851" s="10">
        <v>46182</v>
      </c>
      <c r="B4851" t="s">
        <v>201</v>
      </c>
      <c r="C4851" s="135" t="s">
        <v>200</v>
      </c>
      <c r="D4851">
        <v>0</v>
      </c>
      <c r="E4851">
        <v>498</v>
      </c>
      <c r="I4851">
        <v>0</v>
      </c>
      <c r="J4851">
        <v>498</v>
      </c>
      <c r="M4851" t="s">
        <v>4973</v>
      </c>
    </row>
    <row r="4852" spans="1:13" ht="15" customHeight="1">
      <c r="A4852" s="10">
        <v>46182</v>
      </c>
      <c r="B4852" t="s">
        <v>201</v>
      </c>
      <c r="C4852" s="135" t="s">
        <v>202</v>
      </c>
      <c r="D4852">
        <v>0</v>
      </c>
      <c r="E4852">
        <v>357</v>
      </c>
      <c r="I4852">
        <v>0</v>
      </c>
      <c r="J4852">
        <v>357</v>
      </c>
      <c r="M4852" t="s">
        <v>4974</v>
      </c>
    </row>
    <row r="4853" spans="1:13" ht="15" customHeight="1">
      <c r="A4853" s="10">
        <v>46183</v>
      </c>
      <c r="B4853" t="s">
        <v>201</v>
      </c>
      <c r="C4853" t="s">
        <v>23</v>
      </c>
      <c r="D4853">
        <v>7</v>
      </c>
      <c r="E4853">
        <v>421</v>
      </c>
      <c r="F4853">
        <v>2</v>
      </c>
      <c r="I4853">
        <v>7</v>
      </c>
      <c r="J4853">
        <v>1026</v>
      </c>
      <c r="M4853" t="s">
        <v>4975</v>
      </c>
    </row>
    <row r="4854" spans="1:13" ht="15" customHeight="1">
      <c r="A4854" s="10">
        <v>46183</v>
      </c>
      <c r="B4854" t="s">
        <v>201</v>
      </c>
      <c r="C4854" t="s">
        <v>26</v>
      </c>
      <c r="D4854">
        <v>0</v>
      </c>
      <c r="E4854">
        <v>0</v>
      </c>
      <c r="F4854">
        <v>2</v>
      </c>
      <c r="I4854">
        <v>1</v>
      </c>
      <c r="J4854">
        <v>988</v>
      </c>
      <c r="M4854" t="s">
        <v>4976</v>
      </c>
    </row>
    <row r="4855" spans="1:13" ht="15" customHeight="1">
      <c r="A4855" s="10">
        <v>46183</v>
      </c>
      <c r="B4855" t="s">
        <v>201</v>
      </c>
      <c r="C4855" t="s">
        <v>27</v>
      </c>
      <c r="D4855">
        <v>0</v>
      </c>
      <c r="E4855">
        <v>736</v>
      </c>
      <c r="F4855">
        <v>0</v>
      </c>
      <c r="I4855">
        <v>0</v>
      </c>
      <c r="J4855">
        <v>714</v>
      </c>
      <c r="M4855" t="s">
        <v>4977</v>
      </c>
    </row>
    <row r="4856" spans="1:13" ht="15" customHeight="1">
      <c r="A4856" s="10">
        <v>46183</v>
      </c>
      <c r="B4856" t="s">
        <v>201</v>
      </c>
      <c r="C4856" t="s">
        <v>28</v>
      </c>
      <c r="D4856">
        <v>0</v>
      </c>
      <c r="E4856">
        <v>221</v>
      </c>
      <c r="F4856">
        <v>0</v>
      </c>
      <c r="I4856">
        <v>0</v>
      </c>
      <c r="J4856">
        <v>214</v>
      </c>
      <c r="M4856" t="s">
        <v>4978</v>
      </c>
    </row>
    <row r="4857" spans="1:13" ht="15" customHeight="1">
      <c r="A4857" s="10">
        <v>46183</v>
      </c>
      <c r="B4857" t="s">
        <v>201</v>
      </c>
      <c r="C4857" t="s">
        <v>29</v>
      </c>
      <c r="D4857">
        <v>0</v>
      </c>
      <c r="E4857">
        <v>561</v>
      </c>
      <c r="F4857">
        <v>1</v>
      </c>
      <c r="I4857">
        <v>1</v>
      </c>
      <c r="J4857">
        <v>472</v>
      </c>
      <c r="M4857" t="s">
        <v>4979</v>
      </c>
    </row>
    <row r="4858" spans="1:13" ht="15" customHeight="1">
      <c r="A4858" s="10">
        <v>46183</v>
      </c>
      <c r="B4858" t="s">
        <v>201</v>
      </c>
      <c r="C4858" t="s">
        <v>30</v>
      </c>
      <c r="D4858">
        <v>0</v>
      </c>
      <c r="E4858">
        <v>910</v>
      </c>
      <c r="F4858">
        <v>1</v>
      </c>
      <c r="I4858">
        <v>1</v>
      </c>
      <c r="J4858">
        <v>887</v>
      </c>
      <c r="M4858" t="s">
        <v>4980</v>
      </c>
    </row>
    <row r="4859" spans="1:13" ht="15" customHeight="1">
      <c r="A4859" s="10">
        <v>46183</v>
      </c>
      <c r="B4859" t="s">
        <v>201</v>
      </c>
      <c r="C4859" t="s">
        <v>31</v>
      </c>
      <c r="D4859">
        <v>0</v>
      </c>
      <c r="E4859">
        <v>796</v>
      </c>
      <c r="F4859">
        <v>1</v>
      </c>
      <c r="I4859">
        <v>1</v>
      </c>
      <c r="J4859">
        <v>695</v>
      </c>
      <c r="M4859" t="s">
        <v>4981</v>
      </c>
    </row>
    <row r="4860" spans="1:13" ht="15" customHeight="1">
      <c r="A4860" s="10">
        <v>46183</v>
      </c>
      <c r="B4860" t="s">
        <v>201</v>
      </c>
      <c r="C4860" t="s">
        <v>32</v>
      </c>
      <c r="D4860">
        <v>0</v>
      </c>
      <c r="E4860">
        <v>927</v>
      </c>
      <c r="F4860">
        <v>1</v>
      </c>
      <c r="I4860">
        <v>1</v>
      </c>
      <c r="J4860">
        <v>565</v>
      </c>
      <c r="M4860" t="s">
        <v>4982</v>
      </c>
    </row>
    <row r="4861" spans="1:13" ht="15" customHeight="1">
      <c r="A4861" s="10">
        <v>46183</v>
      </c>
      <c r="B4861" t="s">
        <v>201</v>
      </c>
      <c r="C4861" t="s">
        <v>223</v>
      </c>
      <c r="D4861">
        <v>5</v>
      </c>
      <c r="E4861">
        <v>732</v>
      </c>
      <c r="F4861">
        <v>3</v>
      </c>
      <c r="I4861">
        <v>7</v>
      </c>
      <c r="J4861">
        <v>925</v>
      </c>
      <c r="M4861" t="s">
        <v>4983</v>
      </c>
    </row>
    <row r="4862" spans="1:13" ht="15" customHeight="1">
      <c r="A4862" s="10">
        <v>46183</v>
      </c>
      <c r="B4862" t="s">
        <v>201</v>
      </c>
      <c r="C4862" t="s">
        <v>35</v>
      </c>
      <c r="D4862">
        <v>2</v>
      </c>
      <c r="E4862">
        <v>0</v>
      </c>
      <c r="F4862">
        <v>10</v>
      </c>
      <c r="I4862">
        <v>12</v>
      </c>
      <c r="M4862" t="s">
        <v>4984</v>
      </c>
    </row>
    <row r="4863" spans="1:13" ht="15" customHeight="1">
      <c r="A4863" s="10">
        <v>46183</v>
      </c>
      <c r="B4863" t="s">
        <v>201</v>
      </c>
      <c r="C4863" t="s">
        <v>37</v>
      </c>
      <c r="D4863">
        <v>1</v>
      </c>
      <c r="E4863">
        <v>0</v>
      </c>
      <c r="F4863">
        <v>2</v>
      </c>
      <c r="I4863">
        <v>3</v>
      </c>
      <c r="M4863" t="s">
        <v>4985</v>
      </c>
    </row>
    <row r="4864" spans="1:13" ht="15" customHeight="1">
      <c r="A4864" s="10">
        <v>46183</v>
      </c>
      <c r="B4864" t="s">
        <v>201</v>
      </c>
      <c r="C4864" t="s">
        <v>39</v>
      </c>
      <c r="D4864">
        <v>10</v>
      </c>
      <c r="E4864">
        <v>0</v>
      </c>
      <c r="I4864">
        <v>10</v>
      </c>
      <c r="M4864" t="s">
        <v>4986</v>
      </c>
    </row>
    <row r="4865" spans="1:13" ht="15" customHeight="1">
      <c r="A4865" s="10">
        <v>46183</v>
      </c>
      <c r="B4865" t="s">
        <v>201</v>
      </c>
      <c r="C4865" t="s">
        <v>41</v>
      </c>
      <c r="D4865">
        <v>24</v>
      </c>
      <c r="E4865">
        <v>0</v>
      </c>
      <c r="H4865">
        <v>1</v>
      </c>
      <c r="I4865">
        <v>23</v>
      </c>
      <c r="M4865" t="s">
        <v>4987</v>
      </c>
    </row>
    <row r="4866" spans="1:13" ht="15" customHeight="1">
      <c r="A4866" s="10">
        <v>46183</v>
      </c>
      <c r="B4866" t="s">
        <v>201</v>
      </c>
      <c r="C4866" s="135" t="s">
        <v>44</v>
      </c>
      <c r="D4866">
        <v>5</v>
      </c>
      <c r="E4866">
        <v>9067</v>
      </c>
      <c r="F4866">
        <v>3</v>
      </c>
      <c r="G4866">
        <v>2300</v>
      </c>
      <c r="I4866">
        <v>8</v>
      </c>
      <c r="J4866">
        <v>8115</v>
      </c>
      <c r="M4866" t="s">
        <v>4988</v>
      </c>
    </row>
    <row r="4867" spans="1:13" ht="15" customHeight="1">
      <c r="A4867" s="10">
        <v>46183</v>
      </c>
      <c r="B4867" t="s">
        <v>201</v>
      </c>
      <c r="C4867" t="s">
        <v>230</v>
      </c>
      <c r="D4867">
        <v>1</v>
      </c>
      <c r="E4867">
        <v>256</v>
      </c>
      <c r="I4867">
        <v>1</v>
      </c>
      <c r="J4867">
        <v>256</v>
      </c>
      <c r="M4867" t="s">
        <v>4989</v>
      </c>
    </row>
    <row r="4868" spans="1:13" ht="15" customHeight="1">
      <c r="A4868" s="10">
        <v>46183</v>
      </c>
      <c r="B4868" t="s">
        <v>201</v>
      </c>
      <c r="C4868" t="s">
        <v>232</v>
      </c>
      <c r="D4868">
        <v>12</v>
      </c>
      <c r="E4868">
        <v>0</v>
      </c>
      <c r="I4868">
        <v>12</v>
      </c>
      <c r="M4868" t="s">
        <v>4990</v>
      </c>
    </row>
    <row r="4869" spans="1:13" ht="15" customHeight="1">
      <c r="A4869" s="10">
        <v>46183</v>
      </c>
      <c r="B4869" t="s">
        <v>201</v>
      </c>
      <c r="C4869" t="s">
        <v>234</v>
      </c>
      <c r="D4869">
        <v>72</v>
      </c>
      <c r="E4869">
        <v>0</v>
      </c>
      <c r="F4869">
        <v>30</v>
      </c>
      <c r="H4869">
        <v>3</v>
      </c>
      <c r="I4869">
        <v>99</v>
      </c>
      <c r="M4869" t="s">
        <v>4991</v>
      </c>
    </row>
    <row r="4870" spans="1:13" ht="15" customHeight="1">
      <c r="A4870" s="10">
        <v>46183</v>
      </c>
      <c r="B4870" t="s">
        <v>201</v>
      </c>
      <c r="C4870" t="s">
        <v>54</v>
      </c>
      <c r="D4870">
        <v>0</v>
      </c>
      <c r="E4870">
        <v>0</v>
      </c>
      <c r="I4870">
        <v>0</v>
      </c>
      <c r="M4870" t="s">
        <v>4992</v>
      </c>
    </row>
    <row r="4871" spans="1:13" ht="15" customHeight="1">
      <c r="A4871" s="10">
        <v>46183</v>
      </c>
      <c r="B4871" t="s">
        <v>201</v>
      </c>
      <c r="C4871" t="s">
        <v>237</v>
      </c>
      <c r="D4871">
        <v>10</v>
      </c>
      <c r="E4871">
        <v>0</v>
      </c>
      <c r="I4871">
        <v>10</v>
      </c>
      <c r="M4871" t="s">
        <v>4993</v>
      </c>
    </row>
    <row r="4872" spans="1:13" ht="15" customHeight="1">
      <c r="A4872" s="10">
        <v>46183</v>
      </c>
      <c r="B4872" t="s">
        <v>201</v>
      </c>
      <c r="C4872" s="135" t="s">
        <v>58</v>
      </c>
      <c r="D4872">
        <v>7</v>
      </c>
      <c r="E4872">
        <v>0</v>
      </c>
      <c r="F4872">
        <v>6</v>
      </c>
      <c r="I4872">
        <v>13</v>
      </c>
      <c r="M4872" t="s">
        <v>4994</v>
      </c>
    </row>
    <row r="4873" spans="1:13" ht="15" customHeight="1">
      <c r="A4873" s="10">
        <v>46183</v>
      </c>
      <c r="B4873" t="s">
        <v>201</v>
      </c>
      <c r="C4873" s="135" t="s">
        <v>60</v>
      </c>
      <c r="D4873">
        <v>10</v>
      </c>
      <c r="E4873">
        <v>0</v>
      </c>
      <c r="F4873">
        <v>6</v>
      </c>
      <c r="H4873">
        <v>1</v>
      </c>
      <c r="I4873">
        <v>15</v>
      </c>
      <c r="M4873" t="s">
        <v>4995</v>
      </c>
    </row>
    <row r="4874" spans="1:13" ht="15" customHeight="1">
      <c r="A4874" s="10">
        <v>46183</v>
      </c>
      <c r="B4874" t="s">
        <v>201</v>
      </c>
      <c r="C4874" s="135" t="s">
        <v>61</v>
      </c>
      <c r="D4874">
        <v>5</v>
      </c>
      <c r="E4874">
        <v>0</v>
      </c>
      <c r="F4874">
        <v>6</v>
      </c>
      <c r="I4874">
        <v>11</v>
      </c>
      <c r="M4874" t="s">
        <v>4996</v>
      </c>
    </row>
    <row r="4875" spans="1:13" ht="15" customHeight="1">
      <c r="A4875" s="10">
        <v>46183</v>
      </c>
      <c r="B4875" t="s">
        <v>201</v>
      </c>
      <c r="C4875" s="135" t="s">
        <v>62</v>
      </c>
      <c r="D4875">
        <v>16</v>
      </c>
      <c r="E4875">
        <v>0</v>
      </c>
      <c r="H4875">
        <v>1</v>
      </c>
      <c r="I4875">
        <v>15</v>
      </c>
      <c r="M4875" t="s">
        <v>4997</v>
      </c>
    </row>
    <row r="4876" spans="1:13" ht="15" customHeight="1">
      <c r="A4876" s="10">
        <v>46183</v>
      </c>
      <c r="B4876" t="s">
        <v>201</v>
      </c>
      <c r="C4876" s="135" t="s">
        <v>63</v>
      </c>
      <c r="D4876">
        <v>14</v>
      </c>
      <c r="E4876">
        <v>0</v>
      </c>
      <c r="I4876">
        <v>14</v>
      </c>
      <c r="M4876" t="s">
        <v>4998</v>
      </c>
    </row>
    <row r="4877" spans="1:13" ht="15" customHeight="1">
      <c r="A4877" s="10">
        <v>46183</v>
      </c>
      <c r="B4877" t="s">
        <v>201</v>
      </c>
      <c r="C4877" s="135" t="s">
        <v>64</v>
      </c>
      <c r="D4877">
        <v>12</v>
      </c>
      <c r="E4877">
        <v>0</v>
      </c>
      <c r="I4877">
        <v>10</v>
      </c>
      <c r="K4877">
        <v>2</v>
      </c>
      <c r="L4877" t="s">
        <v>4999</v>
      </c>
      <c r="M4877" t="s">
        <v>5000</v>
      </c>
    </row>
    <row r="4878" spans="1:13" ht="15" customHeight="1">
      <c r="A4878" s="10">
        <v>46183</v>
      </c>
      <c r="B4878" t="s">
        <v>201</v>
      </c>
      <c r="C4878" t="s">
        <v>66</v>
      </c>
      <c r="D4878">
        <v>4</v>
      </c>
      <c r="E4878">
        <v>0</v>
      </c>
      <c r="I4878">
        <v>4</v>
      </c>
      <c r="M4878" t="s">
        <v>5001</v>
      </c>
    </row>
    <row r="4879" spans="1:13" ht="15" customHeight="1">
      <c r="A4879" s="10">
        <v>46183</v>
      </c>
      <c r="B4879" t="s">
        <v>201</v>
      </c>
      <c r="C4879" t="s">
        <v>67</v>
      </c>
      <c r="D4879">
        <v>6</v>
      </c>
      <c r="E4879">
        <v>0</v>
      </c>
      <c r="I4879">
        <v>6</v>
      </c>
      <c r="M4879" t="s">
        <v>5002</v>
      </c>
    </row>
    <row r="4880" spans="1:13" ht="15" customHeight="1">
      <c r="A4880" s="10">
        <v>46183</v>
      </c>
      <c r="B4880" t="s">
        <v>201</v>
      </c>
      <c r="C4880" t="s">
        <v>68</v>
      </c>
      <c r="D4880">
        <v>0</v>
      </c>
      <c r="E4880">
        <v>0</v>
      </c>
      <c r="I4880">
        <v>0</v>
      </c>
      <c r="M4880" t="s">
        <v>5003</v>
      </c>
    </row>
    <row r="4881" spans="1:13" ht="15" customHeight="1">
      <c r="A4881" s="10">
        <v>46183</v>
      </c>
      <c r="B4881" t="s">
        <v>201</v>
      </c>
      <c r="C4881" t="s">
        <v>71</v>
      </c>
      <c r="D4881">
        <v>2</v>
      </c>
      <c r="E4881">
        <v>343</v>
      </c>
      <c r="I4881">
        <v>2</v>
      </c>
      <c r="J4881">
        <v>257</v>
      </c>
      <c r="M4881" t="s">
        <v>5004</v>
      </c>
    </row>
    <row r="4882" spans="1:13" ht="15" customHeight="1">
      <c r="A4882" s="10">
        <v>46183</v>
      </c>
      <c r="B4882" t="s">
        <v>201</v>
      </c>
      <c r="C4882" t="s">
        <v>73</v>
      </c>
      <c r="D4882">
        <v>2</v>
      </c>
      <c r="E4882">
        <v>499</v>
      </c>
      <c r="I4882">
        <v>2</v>
      </c>
      <c r="J4882">
        <v>371</v>
      </c>
      <c r="M4882" t="s">
        <v>5005</v>
      </c>
    </row>
    <row r="4883" spans="1:13" ht="15" customHeight="1">
      <c r="A4883" s="10">
        <v>46183</v>
      </c>
      <c r="B4883" t="s">
        <v>201</v>
      </c>
      <c r="C4883" t="s">
        <v>75</v>
      </c>
      <c r="D4883">
        <v>0</v>
      </c>
      <c r="E4883">
        <v>207</v>
      </c>
      <c r="I4883">
        <v>0</v>
      </c>
      <c r="J4883">
        <v>199</v>
      </c>
      <c r="M4883" t="s">
        <v>5006</v>
      </c>
    </row>
    <row r="4884" spans="1:13" ht="15" customHeight="1">
      <c r="A4884" s="10">
        <v>46183</v>
      </c>
      <c r="B4884" t="s">
        <v>201</v>
      </c>
      <c r="C4884" t="s">
        <v>77</v>
      </c>
      <c r="D4884">
        <v>0</v>
      </c>
      <c r="E4884">
        <v>498</v>
      </c>
      <c r="I4884">
        <v>0</v>
      </c>
      <c r="J4884">
        <v>498</v>
      </c>
      <c r="M4884" t="s">
        <v>5007</v>
      </c>
    </row>
    <row r="4885" spans="1:13" ht="15" customHeight="1">
      <c r="A4885" s="10">
        <v>46183</v>
      </c>
      <c r="B4885" t="s">
        <v>201</v>
      </c>
      <c r="C4885" t="s">
        <v>79</v>
      </c>
      <c r="D4885">
        <v>0</v>
      </c>
      <c r="E4885">
        <v>1635</v>
      </c>
      <c r="F4885">
        <v>1</v>
      </c>
      <c r="I4885">
        <v>1</v>
      </c>
      <c r="J4885">
        <v>1410</v>
      </c>
      <c r="M4885" t="s">
        <v>5008</v>
      </c>
    </row>
    <row r="4886" spans="1:13" ht="15" customHeight="1">
      <c r="A4886" s="10">
        <v>46183</v>
      </c>
      <c r="B4886" t="s">
        <v>201</v>
      </c>
      <c r="C4886" t="s">
        <v>81</v>
      </c>
      <c r="D4886">
        <v>1</v>
      </c>
      <c r="E4886">
        <v>479</v>
      </c>
      <c r="I4886">
        <v>1</v>
      </c>
      <c r="J4886">
        <v>454</v>
      </c>
      <c r="M4886" t="s">
        <v>5009</v>
      </c>
    </row>
    <row r="4887" spans="1:13" ht="15" customHeight="1">
      <c r="A4887" s="10">
        <v>46183</v>
      </c>
      <c r="B4887" t="s">
        <v>201</v>
      </c>
      <c r="C4887" t="s">
        <v>83</v>
      </c>
      <c r="D4887">
        <v>1</v>
      </c>
      <c r="E4887">
        <v>84</v>
      </c>
      <c r="I4887">
        <v>1</v>
      </c>
      <c r="J4887">
        <v>84</v>
      </c>
      <c r="M4887" t="s">
        <v>5010</v>
      </c>
    </row>
    <row r="4888" spans="1:13" ht="15" customHeight="1">
      <c r="A4888" s="10">
        <v>46183</v>
      </c>
      <c r="B4888" t="s">
        <v>201</v>
      </c>
      <c r="C4888" t="s">
        <v>84</v>
      </c>
      <c r="D4888">
        <v>1</v>
      </c>
      <c r="E4888">
        <v>363</v>
      </c>
      <c r="I4888">
        <v>1</v>
      </c>
      <c r="J4888">
        <v>363</v>
      </c>
      <c r="M4888" t="s">
        <v>5011</v>
      </c>
    </row>
    <row r="4889" spans="1:13" ht="15" customHeight="1">
      <c r="A4889" s="10">
        <v>46183</v>
      </c>
      <c r="B4889" t="s">
        <v>201</v>
      </c>
      <c r="C4889" t="s">
        <v>85</v>
      </c>
      <c r="D4889">
        <v>0</v>
      </c>
      <c r="E4889">
        <v>117</v>
      </c>
      <c r="I4889">
        <v>0</v>
      </c>
      <c r="J4889">
        <v>214</v>
      </c>
      <c r="M4889" t="s">
        <v>5012</v>
      </c>
    </row>
    <row r="4890" spans="1:13" ht="15" customHeight="1">
      <c r="A4890" s="10">
        <v>46183</v>
      </c>
      <c r="B4890" t="s">
        <v>201</v>
      </c>
      <c r="C4890" t="s">
        <v>87</v>
      </c>
      <c r="D4890">
        <v>1</v>
      </c>
      <c r="E4890">
        <v>368</v>
      </c>
      <c r="I4890">
        <v>1</v>
      </c>
      <c r="J4890">
        <v>329</v>
      </c>
      <c r="M4890" t="s">
        <v>5013</v>
      </c>
    </row>
    <row r="4891" spans="1:13" ht="15" customHeight="1">
      <c r="A4891" s="10">
        <v>46183</v>
      </c>
      <c r="B4891" t="s">
        <v>201</v>
      </c>
      <c r="C4891" t="s">
        <v>88</v>
      </c>
      <c r="D4891">
        <v>1</v>
      </c>
      <c r="E4891">
        <v>321</v>
      </c>
      <c r="I4891">
        <v>1</v>
      </c>
      <c r="J4891">
        <v>315</v>
      </c>
      <c r="M4891" t="s">
        <v>5014</v>
      </c>
    </row>
    <row r="4892" spans="1:13" ht="15" customHeight="1">
      <c r="A4892" s="10">
        <v>46183</v>
      </c>
      <c r="B4892" t="s">
        <v>201</v>
      </c>
      <c r="C4892" t="s">
        <v>89</v>
      </c>
      <c r="D4892">
        <v>1</v>
      </c>
      <c r="E4892">
        <v>637</v>
      </c>
      <c r="I4892">
        <v>1</v>
      </c>
      <c r="J4892">
        <v>311</v>
      </c>
      <c r="M4892" t="s">
        <v>5015</v>
      </c>
    </row>
    <row r="4893" spans="1:13" ht="15" customHeight="1">
      <c r="A4893" s="10">
        <v>46183</v>
      </c>
      <c r="B4893" t="s">
        <v>201</v>
      </c>
      <c r="C4893" t="s">
        <v>90</v>
      </c>
      <c r="D4893">
        <v>1</v>
      </c>
      <c r="E4893">
        <v>144</v>
      </c>
      <c r="I4893">
        <v>0</v>
      </c>
      <c r="J4893">
        <v>1138</v>
      </c>
      <c r="M4893" t="s">
        <v>5016</v>
      </c>
    </row>
    <row r="4894" spans="1:13" ht="15" customHeight="1">
      <c r="A4894" s="10">
        <v>46183</v>
      </c>
      <c r="B4894" t="s">
        <v>201</v>
      </c>
      <c r="C4894" t="s">
        <v>92</v>
      </c>
      <c r="D4894">
        <v>1</v>
      </c>
      <c r="E4894">
        <v>249</v>
      </c>
      <c r="I4894">
        <v>0</v>
      </c>
      <c r="J4894">
        <v>1247</v>
      </c>
      <c r="M4894" t="s">
        <v>5017</v>
      </c>
    </row>
    <row r="4895" spans="1:13" ht="15" customHeight="1">
      <c r="A4895" s="10">
        <v>46183</v>
      </c>
      <c r="B4895" t="s">
        <v>201</v>
      </c>
      <c r="C4895" t="s">
        <v>94</v>
      </c>
      <c r="D4895">
        <v>0</v>
      </c>
      <c r="E4895">
        <v>677</v>
      </c>
      <c r="F4895">
        <v>4</v>
      </c>
      <c r="I4895">
        <v>2</v>
      </c>
      <c r="J4895">
        <v>694</v>
      </c>
      <c r="M4895" t="s">
        <v>5018</v>
      </c>
    </row>
    <row r="4896" spans="1:13" ht="15" customHeight="1">
      <c r="A4896" s="10">
        <v>46183</v>
      </c>
      <c r="B4896" t="s">
        <v>201</v>
      </c>
      <c r="C4896" t="s">
        <v>96</v>
      </c>
      <c r="D4896">
        <v>0</v>
      </c>
      <c r="E4896">
        <v>0</v>
      </c>
      <c r="I4896">
        <v>0</v>
      </c>
      <c r="J4896">
        <v>0</v>
      </c>
      <c r="M4896" t="s">
        <v>5019</v>
      </c>
    </row>
    <row r="4897" spans="1:13" ht="15" customHeight="1">
      <c r="A4897" s="10">
        <v>46183</v>
      </c>
      <c r="B4897" t="s">
        <v>201</v>
      </c>
      <c r="C4897" t="s">
        <v>98</v>
      </c>
      <c r="D4897">
        <v>0</v>
      </c>
      <c r="E4897">
        <v>499</v>
      </c>
      <c r="F4897">
        <v>2</v>
      </c>
      <c r="I4897">
        <v>2</v>
      </c>
      <c r="J4897">
        <v>383</v>
      </c>
      <c r="M4897" t="s">
        <v>5020</v>
      </c>
    </row>
    <row r="4898" spans="1:13" ht="15" customHeight="1">
      <c r="A4898" s="10">
        <v>46183</v>
      </c>
      <c r="B4898" t="s">
        <v>201</v>
      </c>
      <c r="C4898" t="s">
        <v>203</v>
      </c>
      <c r="D4898">
        <v>2</v>
      </c>
      <c r="E4898">
        <v>0</v>
      </c>
      <c r="I4898">
        <v>2</v>
      </c>
      <c r="J4898">
        <v>0</v>
      </c>
      <c r="M4898" t="s">
        <v>5021</v>
      </c>
    </row>
    <row r="4899" spans="1:13" ht="15" customHeight="1">
      <c r="A4899" s="10">
        <v>46183</v>
      </c>
      <c r="B4899" t="s">
        <v>201</v>
      </c>
      <c r="C4899" t="s">
        <v>100</v>
      </c>
      <c r="D4899">
        <v>0</v>
      </c>
      <c r="E4899">
        <v>0</v>
      </c>
      <c r="I4899">
        <v>0</v>
      </c>
      <c r="J4899">
        <v>0</v>
      </c>
      <c r="M4899" t="s">
        <v>5022</v>
      </c>
    </row>
    <row r="4900" spans="1:13" ht="15" customHeight="1">
      <c r="A4900" s="10">
        <v>46183</v>
      </c>
      <c r="B4900" t="s">
        <v>201</v>
      </c>
      <c r="C4900" t="s">
        <v>101</v>
      </c>
      <c r="D4900">
        <v>0</v>
      </c>
      <c r="E4900">
        <v>424</v>
      </c>
      <c r="F4900">
        <v>1</v>
      </c>
      <c r="I4900">
        <v>1</v>
      </c>
      <c r="J4900">
        <v>358</v>
      </c>
      <c r="M4900" t="s">
        <v>5023</v>
      </c>
    </row>
    <row r="4901" spans="1:13" ht="15" customHeight="1">
      <c r="A4901" s="10">
        <v>46183</v>
      </c>
      <c r="B4901" t="s">
        <v>201</v>
      </c>
      <c r="C4901" t="s">
        <v>103</v>
      </c>
      <c r="D4901">
        <v>0</v>
      </c>
      <c r="E4901">
        <v>3</v>
      </c>
      <c r="I4901">
        <v>0</v>
      </c>
      <c r="J4901">
        <v>1</v>
      </c>
      <c r="M4901" t="s">
        <v>5024</v>
      </c>
    </row>
    <row r="4902" spans="1:13" ht="15" customHeight="1">
      <c r="A4902" s="10">
        <v>46183</v>
      </c>
      <c r="B4902" t="s">
        <v>201</v>
      </c>
      <c r="C4902" t="s">
        <v>106</v>
      </c>
      <c r="D4902">
        <v>1</v>
      </c>
      <c r="E4902">
        <v>353</v>
      </c>
      <c r="I4902">
        <v>1</v>
      </c>
      <c r="J4902">
        <v>173</v>
      </c>
      <c r="M4902" t="s">
        <v>5025</v>
      </c>
    </row>
    <row r="4903" spans="1:13" ht="15" customHeight="1">
      <c r="A4903" s="10">
        <v>46183</v>
      </c>
      <c r="B4903" t="s">
        <v>201</v>
      </c>
      <c r="C4903" t="s">
        <v>108</v>
      </c>
      <c r="D4903">
        <v>1</v>
      </c>
      <c r="E4903">
        <v>551</v>
      </c>
      <c r="I4903">
        <v>0</v>
      </c>
      <c r="J4903">
        <v>1551</v>
      </c>
      <c r="M4903" t="s">
        <v>5026</v>
      </c>
    </row>
    <row r="4904" spans="1:13" ht="15" customHeight="1">
      <c r="A4904" s="10">
        <v>46183</v>
      </c>
      <c r="B4904" t="s">
        <v>201</v>
      </c>
      <c r="C4904" t="s">
        <v>109</v>
      </c>
      <c r="D4904">
        <v>1</v>
      </c>
      <c r="E4904">
        <v>663</v>
      </c>
      <c r="I4904">
        <v>1</v>
      </c>
      <c r="J4904">
        <v>651</v>
      </c>
      <c r="M4904" t="s">
        <v>5027</v>
      </c>
    </row>
    <row r="4905" spans="1:13" ht="15" customHeight="1">
      <c r="A4905" s="10">
        <v>46183</v>
      </c>
      <c r="B4905" t="s">
        <v>201</v>
      </c>
      <c r="C4905" t="s">
        <v>112</v>
      </c>
      <c r="D4905">
        <v>2</v>
      </c>
      <c r="E4905">
        <v>7</v>
      </c>
      <c r="I4905">
        <v>2</v>
      </c>
      <c r="J4905">
        <v>5</v>
      </c>
      <c r="M4905" t="s">
        <v>5028</v>
      </c>
    </row>
    <row r="4906" spans="1:13" ht="15" customHeight="1">
      <c r="A4906" s="10">
        <v>46183</v>
      </c>
      <c r="B4906" t="s">
        <v>201</v>
      </c>
      <c r="C4906" t="s">
        <v>114</v>
      </c>
      <c r="D4906">
        <v>2</v>
      </c>
      <c r="E4906">
        <v>21</v>
      </c>
      <c r="F4906">
        <v>1</v>
      </c>
      <c r="I4906">
        <v>3</v>
      </c>
      <c r="J4906">
        <v>8</v>
      </c>
      <c r="M4906" t="s">
        <v>5029</v>
      </c>
    </row>
    <row r="4907" spans="1:13" ht="15" customHeight="1">
      <c r="A4907" s="10">
        <v>46183</v>
      </c>
      <c r="B4907" t="s">
        <v>201</v>
      </c>
      <c r="C4907" t="s">
        <v>115</v>
      </c>
      <c r="D4907">
        <v>1</v>
      </c>
      <c r="E4907">
        <v>30</v>
      </c>
      <c r="I4907">
        <v>1</v>
      </c>
      <c r="J4907">
        <v>25</v>
      </c>
      <c r="M4907" t="s">
        <v>5030</v>
      </c>
    </row>
    <row r="4908" spans="1:13" ht="15" customHeight="1">
      <c r="A4908" s="10">
        <v>46183</v>
      </c>
      <c r="B4908" t="s">
        <v>201</v>
      </c>
      <c r="C4908" t="s">
        <v>116</v>
      </c>
      <c r="D4908">
        <v>2</v>
      </c>
      <c r="E4908">
        <v>9</v>
      </c>
      <c r="F4908">
        <v>1</v>
      </c>
      <c r="I4908">
        <v>3</v>
      </c>
      <c r="J4908">
        <v>3</v>
      </c>
      <c r="M4908" t="s">
        <v>5031</v>
      </c>
    </row>
    <row r="4909" spans="1:13" ht="15" customHeight="1">
      <c r="A4909" s="10">
        <v>46183</v>
      </c>
      <c r="B4909" t="s">
        <v>201</v>
      </c>
      <c r="C4909" t="s">
        <v>119</v>
      </c>
      <c r="D4909">
        <v>2</v>
      </c>
      <c r="E4909">
        <v>0</v>
      </c>
      <c r="I4909">
        <v>2</v>
      </c>
      <c r="M4909" t="s">
        <v>5032</v>
      </c>
    </row>
    <row r="4910" spans="1:13" ht="15" customHeight="1">
      <c r="A4910" s="10">
        <v>46183</v>
      </c>
      <c r="B4910" t="s">
        <v>201</v>
      </c>
      <c r="C4910" t="s">
        <v>120</v>
      </c>
      <c r="D4910">
        <v>0</v>
      </c>
      <c r="E4910">
        <v>0</v>
      </c>
      <c r="F4910">
        <v>2</v>
      </c>
      <c r="I4910">
        <v>1</v>
      </c>
      <c r="M4910" t="s">
        <v>5033</v>
      </c>
    </row>
    <row r="4911" spans="1:13" ht="15" customHeight="1">
      <c r="A4911" s="10">
        <v>46183</v>
      </c>
      <c r="B4911" t="s">
        <v>201</v>
      </c>
      <c r="C4911" t="s">
        <v>121</v>
      </c>
      <c r="D4911">
        <v>1</v>
      </c>
      <c r="E4911">
        <v>0</v>
      </c>
      <c r="F4911">
        <v>1</v>
      </c>
      <c r="I4911">
        <v>2</v>
      </c>
      <c r="M4911" t="s">
        <v>5034</v>
      </c>
    </row>
    <row r="4912" spans="1:13" ht="15" customHeight="1">
      <c r="A4912" s="10">
        <v>46183</v>
      </c>
      <c r="B4912" t="s">
        <v>201</v>
      </c>
      <c r="C4912" t="s">
        <v>123</v>
      </c>
      <c r="D4912">
        <v>1</v>
      </c>
      <c r="E4912">
        <v>0</v>
      </c>
      <c r="F4912">
        <v>1</v>
      </c>
      <c r="I4912">
        <v>2</v>
      </c>
      <c r="M4912" t="s">
        <v>5035</v>
      </c>
    </row>
    <row r="4913" spans="1:13" ht="15" customHeight="1">
      <c r="A4913" s="10">
        <v>46183</v>
      </c>
      <c r="B4913" t="s">
        <v>201</v>
      </c>
      <c r="C4913" t="s">
        <v>124</v>
      </c>
      <c r="D4913">
        <v>2</v>
      </c>
      <c r="E4913">
        <v>0</v>
      </c>
      <c r="I4913">
        <v>2</v>
      </c>
      <c r="M4913" t="s">
        <v>5036</v>
      </c>
    </row>
    <row r="4914" spans="1:13" ht="15" customHeight="1">
      <c r="A4914" s="10">
        <v>46183</v>
      </c>
      <c r="B4914" t="s">
        <v>201</v>
      </c>
      <c r="C4914" t="s">
        <v>125</v>
      </c>
      <c r="D4914">
        <v>1</v>
      </c>
      <c r="E4914">
        <v>0</v>
      </c>
      <c r="F4914">
        <v>1</v>
      </c>
      <c r="I4914">
        <v>2</v>
      </c>
      <c r="M4914" t="s">
        <v>5037</v>
      </c>
    </row>
    <row r="4915" spans="1:13" ht="15" customHeight="1">
      <c r="A4915" s="10">
        <v>46183</v>
      </c>
      <c r="B4915" t="s">
        <v>201</v>
      </c>
      <c r="C4915" t="s">
        <v>126</v>
      </c>
      <c r="D4915">
        <v>2</v>
      </c>
      <c r="E4915">
        <v>0</v>
      </c>
      <c r="I4915">
        <v>2</v>
      </c>
      <c r="M4915" t="s">
        <v>5038</v>
      </c>
    </row>
    <row r="4916" spans="1:13" ht="15" customHeight="1">
      <c r="A4916" s="10">
        <v>46183</v>
      </c>
      <c r="B4916" t="s">
        <v>201</v>
      </c>
      <c r="C4916" t="s">
        <v>128</v>
      </c>
      <c r="D4916">
        <v>3</v>
      </c>
      <c r="E4916">
        <v>0</v>
      </c>
      <c r="I4916">
        <v>2</v>
      </c>
      <c r="M4916" t="s">
        <v>5039</v>
      </c>
    </row>
    <row r="4917" spans="1:13" ht="15" customHeight="1">
      <c r="A4917" s="10">
        <v>46183</v>
      </c>
      <c r="B4917" t="s">
        <v>201</v>
      </c>
      <c r="C4917" t="s">
        <v>130</v>
      </c>
      <c r="D4917">
        <v>4</v>
      </c>
      <c r="E4917">
        <v>0</v>
      </c>
      <c r="I4917">
        <v>3</v>
      </c>
      <c r="M4917" t="s">
        <v>5040</v>
      </c>
    </row>
    <row r="4918" spans="1:13" ht="15" customHeight="1">
      <c r="A4918" s="10">
        <v>46183</v>
      </c>
      <c r="B4918" t="s">
        <v>201</v>
      </c>
      <c r="C4918" t="s">
        <v>285</v>
      </c>
      <c r="D4918">
        <v>2</v>
      </c>
      <c r="E4918">
        <v>0</v>
      </c>
      <c r="I4918">
        <v>2</v>
      </c>
      <c r="M4918" t="s">
        <v>5041</v>
      </c>
    </row>
    <row r="4919" spans="1:13" ht="15" customHeight="1">
      <c r="A4919" s="10">
        <v>46183</v>
      </c>
      <c r="B4919" t="s">
        <v>201</v>
      </c>
      <c r="C4919" t="s">
        <v>287</v>
      </c>
      <c r="D4919">
        <v>2</v>
      </c>
      <c r="E4919">
        <v>0</v>
      </c>
      <c r="I4919">
        <v>2</v>
      </c>
      <c r="M4919" t="s">
        <v>5042</v>
      </c>
    </row>
    <row r="4920" spans="1:13" ht="15" customHeight="1">
      <c r="A4920" s="10">
        <v>46183</v>
      </c>
      <c r="B4920" t="s">
        <v>201</v>
      </c>
      <c r="C4920" t="s">
        <v>289</v>
      </c>
      <c r="D4920">
        <v>1</v>
      </c>
      <c r="E4920">
        <v>0</v>
      </c>
      <c r="F4920">
        <v>2</v>
      </c>
      <c r="I4920">
        <v>2</v>
      </c>
      <c r="M4920" t="s">
        <v>5043</v>
      </c>
    </row>
    <row r="4921" spans="1:13" ht="15" customHeight="1">
      <c r="A4921" s="10">
        <v>46183</v>
      </c>
      <c r="B4921" t="s">
        <v>201</v>
      </c>
      <c r="C4921" t="s">
        <v>291</v>
      </c>
      <c r="D4921">
        <v>2</v>
      </c>
      <c r="E4921">
        <v>0</v>
      </c>
      <c r="I4921">
        <v>2</v>
      </c>
      <c r="M4921" t="s">
        <v>5044</v>
      </c>
    </row>
    <row r="4922" spans="1:13" ht="15" customHeight="1">
      <c r="A4922" s="10">
        <v>46183</v>
      </c>
      <c r="B4922" t="s">
        <v>201</v>
      </c>
      <c r="C4922" t="s">
        <v>293</v>
      </c>
      <c r="D4922">
        <v>2</v>
      </c>
      <c r="E4922">
        <v>0</v>
      </c>
      <c r="F4922">
        <v>1</v>
      </c>
      <c r="I4922">
        <v>3</v>
      </c>
      <c r="M4922" t="s">
        <v>5045</v>
      </c>
    </row>
    <row r="4923" spans="1:13" ht="15" customHeight="1">
      <c r="A4923" s="10">
        <v>46183</v>
      </c>
      <c r="B4923" t="s">
        <v>201</v>
      </c>
      <c r="C4923" s="135" t="s">
        <v>138</v>
      </c>
      <c r="D4923">
        <v>0</v>
      </c>
      <c r="E4923">
        <v>17</v>
      </c>
      <c r="G4923">
        <v>25</v>
      </c>
      <c r="I4923">
        <v>0</v>
      </c>
      <c r="J4923">
        <v>37</v>
      </c>
      <c r="M4923" t="s">
        <v>5046</v>
      </c>
    </row>
    <row r="4924" spans="1:13" ht="15" customHeight="1">
      <c r="A4924" s="10">
        <v>46183</v>
      </c>
      <c r="B4924" t="s">
        <v>201</v>
      </c>
      <c r="C4924" s="135" t="s">
        <v>139</v>
      </c>
      <c r="D4924">
        <v>0</v>
      </c>
      <c r="E4924">
        <v>40</v>
      </c>
      <c r="I4924">
        <v>0</v>
      </c>
      <c r="J4924">
        <v>37</v>
      </c>
      <c r="M4924" t="s">
        <v>5047</v>
      </c>
    </row>
    <row r="4925" spans="1:13" ht="15" customHeight="1">
      <c r="A4925" s="10">
        <v>46183</v>
      </c>
      <c r="B4925" t="s">
        <v>201</v>
      </c>
      <c r="C4925" s="135" t="s">
        <v>140</v>
      </c>
      <c r="D4925">
        <v>0</v>
      </c>
      <c r="E4925">
        <v>33</v>
      </c>
      <c r="I4925">
        <v>0</v>
      </c>
      <c r="J4925">
        <v>33</v>
      </c>
      <c r="M4925" t="s">
        <v>5048</v>
      </c>
    </row>
    <row r="4926" spans="1:13" ht="15" customHeight="1">
      <c r="A4926" s="10">
        <v>46183</v>
      </c>
      <c r="B4926" t="s">
        <v>201</v>
      </c>
      <c r="C4926" s="135" t="s">
        <v>141</v>
      </c>
      <c r="D4926">
        <v>0</v>
      </c>
      <c r="E4926">
        <v>1</v>
      </c>
      <c r="I4926">
        <v>0</v>
      </c>
      <c r="J4926">
        <v>1</v>
      </c>
      <c r="M4926" t="s">
        <v>5049</v>
      </c>
    </row>
    <row r="4927" spans="1:13" ht="15" customHeight="1">
      <c r="A4927" s="10">
        <v>46183</v>
      </c>
      <c r="B4927" t="s">
        <v>201</v>
      </c>
      <c r="C4927" s="135" t="s">
        <v>143</v>
      </c>
      <c r="D4927">
        <v>0</v>
      </c>
      <c r="E4927">
        <v>27</v>
      </c>
      <c r="G4927">
        <v>30</v>
      </c>
      <c r="I4927">
        <v>0</v>
      </c>
      <c r="J4927">
        <v>53</v>
      </c>
      <c r="M4927" t="s">
        <v>5050</v>
      </c>
    </row>
    <row r="4928" spans="1:13" ht="15" customHeight="1">
      <c r="A4928" s="10">
        <v>46183</v>
      </c>
      <c r="B4928" t="s">
        <v>201</v>
      </c>
      <c r="C4928" s="135" t="s">
        <v>145</v>
      </c>
      <c r="D4928">
        <v>0</v>
      </c>
      <c r="E4928">
        <v>19</v>
      </c>
      <c r="I4928">
        <v>0</v>
      </c>
      <c r="J4928">
        <v>16</v>
      </c>
      <c r="M4928" t="s">
        <v>5051</v>
      </c>
    </row>
    <row r="4929" spans="1:13" ht="15" customHeight="1">
      <c r="A4929" s="10">
        <v>46183</v>
      </c>
      <c r="B4929" t="s">
        <v>201</v>
      </c>
      <c r="C4929" s="135" t="s">
        <v>147</v>
      </c>
      <c r="D4929">
        <v>0</v>
      </c>
      <c r="E4929">
        <v>34</v>
      </c>
      <c r="I4929">
        <v>0</v>
      </c>
      <c r="J4929">
        <v>34</v>
      </c>
      <c r="M4929" t="s">
        <v>5052</v>
      </c>
    </row>
    <row r="4930" spans="1:13" ht="15" customHeight="1">
      <c r="A4930" s="10">
        <v>46183</v>
      </c>
      <c r="B4930" t="s">
        <v>201</v>
      </c>
      <c r="C4930" t="s">
        <v>302</v>
      </c>
      <c r="D4930">
        <v>1</v>
      </c>
      <c r="E4930">
        <v>2</v>
      </c>
      <c r="I4930">
        <v>1</v>
      </c>
      <c r="M4930" t="s">
        <v>5053</v>
      </c>
    </row>
    <row r="4931" spans="1:13" ht="15" customHeight="1">
      <c r="A4931" s="10">
        <v>46183</v>
      </c>
      <c r="B4931" t="s">
        <v>201</v>
      </c>
      <c r="C4931" t="s">
        <v>150</v>
      </c>
      <c r="D4931">
        <v>1</v>
      </c>
      <c r="E4931">
        <v>0</v>
      </c>
      <c r="F4931">
        <v>1</v>
      </c>
      <c r="I4931">
        <v>2</v>
      </c>
      <c r="M4931" t="s">
        <v>5054</v>
      </c>
    </row>
    <row r="4932" spans="1:13" ht="15" customHeight="1">
      <c r="A4932" s="10">
        <v>46183</v>
      </c>
      <c r="B4932" t="s">
        <v>201</v>
      </c>
      <c r="C4932" t="s">
        <v>151</v>
      </c>
      <c r="D4932">
        <v>0</v>
      </c>
      <c r="E4932">
        <v>0</v>
      </c>
      <c r="F4932">
        <v>2</v>
      </c>
      <c r="I4932">
        <v>2</v>
      </c>
      <c r="M4932" t="s">
        <v>5055</v>
      </c>
    </row>
    <row r="4933" spans="1:13" ht="15" customHeight="1">
      <c r="A4933" s="10">
        <v>46183</v>
      </c>
      <c r="B4933" t="s">
        <v>201</v>
      </c>
      <c r="C4933" t="s">
        <v>152</v>
      </c>
      <c r="D4933">
        <v>2</v>
      </c>
      <c r="E4933">
        <v>0</v>
      </c>
      <c r="I4933">
        <v>2</v>
      </c>
      <c r="M4933" t="s">
        <v>5056</v>
      </c>
    </row>
    <row r="4934" spans="1:13" ht="15" customHeight="1">
      <c r="A4934" s="10">
        <v>46183</v>
      </c>
      <c r="B4934" t="s">
        <v>201</v>
      </c>
      <c r="C4934" t="s">
        <v>153</v>
      </c>
      <c r="D4934">
        <v>2</v>
      </c>
      <c r="E4934">
        <v>0</v>
      </c>
      <c r="I4934">
        <v>0</v>
      </c>
      <c r="M4934" t="s">
        <v>5057</v>
      </c>
    </row>
    <row r="4935" spans="1:13" ht="15" customHeight="1">
      <c r="A4935" s="10">
        <v>46183</v>
      </c>
      <c r="B4935" t="s">
        <v>201</v>
      </c>
      <c r="C4935" t="s">
        <v>308</v>
      </c>
      <c r="D4935">
        <v>0</v>
      </c>
      <c r="E4935">
        <v>3</v>
      </c>
      <c r="G4935">
        <v>2</v>
      </c>
      <c r="I4935">
        <v>0</v>
      </c>
      <c r="J4935">
        <v>4</v>
      </c>
      <c r="M4935" t="s">
        <v>5058</v>
      </c>
    </row>
    <row r="4936" spans="1:13" ht="15" customHeight="1">
      <c r="A4936" s="10">
        <v>46183</v>
      </c>
      <c r="B4936" t="s">
        <v>201</v>
      </c>
      <c r="C4936" t="s">
        <v>310</v>
      </c>
      <c r="D4936">
        <v>0</v>
      </c>
      <c r="E4936">
        <v>1</v>
      </c>
      <c r="G4936">
        <v>1</v>
      </c>
      <c r="I4936">
        <v>0</v>
      </c>
      <c r="J4936">
        <v>2</v>
      </c>
      <c r="M4936" t="s">
        <v>5059</v>
      </c>
    </row>
    <row r="4937" spans="1:13" ht="15" customHeight="1">
      <c r="A4937" s="10">
        <v>46183</v>
      </c>
      <c r="B4937" t="s">
        <v>201</v>
      </c>
      <c r="C4937" t="s">
        <v>312</v>
      </c>
      <c r="D4937">
        <v>0</v>
      </c>
      <c r="E4937">
        <v>4</v>
      </c>
      <c r="I4937">
        <v>0</v>
      </c>
      <c r="J4937">
        <v>4</v>
      </c>
      <c r="M4937" t="s">
        <v>5060</v>
      </c>
    </row>
    <row r="4938" spans="1:13" ht="15" customHeight="1">
      <c r="A4938" s="10">
        <v>46183</v>
      </c>
      <c r="B4938" t="s">
        <v>201</v>
      </c>
      <c r="C4938" t="s">
        <v>314</v>
      </c>
      <c r="D4938">
        <v>1</v>
      </c>
      <c r="E4938">
        <v>0</v>
      </c>
      <c r="I4938">
        <v>1</v>
      </c>
      <c r="M4938" t="s">
        <v>5061</v>
      </c>
    </row>
    <row r="4939" spans="1:13" ht="15" customHeight="1">
      <c r="A4939" s="10">
        <v>46183</v>
      </c>
      <c r="B4939" t="s">
        <v>201</v>
      </c>
      <c r="C4939" t="s">
        <v>316</v>
      </c>
      <c r="D4939">
        <v>0</v>
      </c>
      <c r="E4939">
        <v>0</v>
      </c>
      <c r="I4939">
        <v>0</v>
      </c>
      <c r="M4939" t="s">
        <v>5062</v>
      </c>
    </row>
    <row r="4940" spans="1:13" ht="15" customHeight="1">
      <c r="A4940" s="10">
        <v>46183</v>
      </c>
      <c r="B4940" t="s">
        <v>201</v>
      </c>
      <c r="C4940" t="s">
        <v>318</v>
      </c>
      <c r="D4940">
        <v>2</v>
      </c>
      <c r="E4940">
        <v>0</v>
      </c>
      <c r="F4940">
        <v>2</v>
      </c>
      <c r="I4940">
        <v>4</v>
      </c>
      <c r="M4940" t="s">
        <v>5063</v>
      </c>
    </row>
    <row r="4941" spans="1:13" ht="15" customHeight="1">
      <c r="A4941" s="10">
        <v>46183</v>
      </c>
      <c r="B4941" t="s">
        <v>201</v>
      </c>
      <c r="C4941" t="s">
        <v>320</v>
      </c>
      <c r="D4941">
        <v>1</v>
      </c>
      <c r="E4941">
        <v>0</v>
      </c>
      <c r="F4941">
        <v>1</v>
      </c>
      <c r="I4941">
        <v>2</v>
      </c>
      <c r="M4941" t="s">
        <v>5064</v>
      </c>
    </row>
    <row r="4942" spans="1:13" ht="15" customHeight="1">
      <c r="A4942" s="10">
        <v>46183</v>
      </c>
      <c r="B4942" t="s">
        <v>201</v>
      </c>
      <c r="C4942" t="s">
        <v>322</v>
      </c>
      <c r="D4942">
        <v>2</v>
      </c>
      <c r="E4942">
        <v>0</v>
      </c>
      <c r="I4942">
        <v>2</v>
      </c>
      <c r="M4942" t="s">
        <v>5065</v>
      </c>
    </row>
    <row r="4943" spans="1:13" ht="15" customHeight="1">
      <c r="A4943" s="10">
        <v>46183</v>
      </c>
      <c r="B4943" t="s">
        <v>201</v>
      </c>
      <c r="C4943" s="135" t="s">
        <v>168</v>
      </c>
      <c r="D4943">
        <v>1</v>
      </c>
      <c r="E4943">
        <v>0</v>
      </c>
      <c r="I4943">
        <v>1</v>
      </c>
      <c r="M4943" t="s">
        <v>5066</v>
      </c>
    </row>
    <row r="4944" spans="1:13" ht="15" customHeight="1">
      <c r="A4944" s="10">
        <v>46183</v>
      </c>
      <c r="B4944" t="s">
        <v>201</v>
      </c>
      <c r="C4944" s="135" t="s">
        <v>170</v>
      </c>
      <c r="D4944">
        <v>1</v>
      </c>
      <c r="E4944">
        <v>0</v>
      </c>
      <c r="I4944">
        <v>0</v>
      </c>
      <c r="M4944" t="s">
        <v>5067</v>
      </c>
    </row>
    <row r="4945" spans="1:13" ht="15" customHeight="1">
      <c r="A4945" s="10">
        <v>46183</v>
      </c>
      <c r="B4945" t="s">
        <v>201</v>
      </c>
      <c r="C4945" s="135" t="s">
        <v>171</v>
      </c>
      <c r="D4945">
        <v>3</v>
      </c>
      <c r="E4945">
        <v>0</v>
      </c>
      <c r="I4945">
        <v>3</v>
      </c>
      <c r="M4945" t="s">
        <v>5068</v>
      </c>
    </row>
    <row r="4946" spans="1:13" ht="15" customHeight="1">
      <c r="A4946" s="10">
        <v>46183</v>
      </c>
      <c r="B4946" t="s">
        <v>201</v>
      </c>
      <c r="C4946" s="135" t="s">
        <v>172</v>
      </c>
      <c r="D4946">
        <v>1</v>
      </c>
      <c r="E4946">
        <v>0</v>
      </c>
      <c r="I4946">
        <v>0</v>
      </c>
      <c r="M4946" t="s">
        <v>5069</v>
      </c>
    </row>
    <row r="4947" spans="1:13" ht="15" customHeight="1">
      <c r="A4947" s="10">
        <v>46183</v>
      </c>
      <c r="B4947" t="s">
        <v>201</v>
      </c>
      <c r="C4947" s="135" t="s">
        <v>173</v>
      </c>
      <c r="D4947">
        <v>1</v>
      </c>
      <c r="E4947">
        <v>0</v>
      </c>
      <c r="I4947">
        <v>0</v>
      </c>
      <c r="M4947" t="s">
        <v>5070</v>
      </c>
    </row>
    <row r="4948" spans="1:13" ht="15" customHeight="1">
      <c r="A4948" s="10">
        <v>46183</v>
      </c>
      <c r="B4948" t="s">
        <v>201</v>
      </c>
      <c r="C4948" t="s">
        <v>176</v>
      </c>
      <c r="D4948">
        <v>0</v>
      </c>
      <c r="E4948">
        <v>22</v>
      </c>
      <c r="I4948">
        <v>0</v>
      </c>
      <c r="J4948">
        <v>22</v>
      </c>
      <c r="M4948" t="s">
        <v>5071</v>
      </c>
    </row>
    <row r="4949" spans="1:13" ht="15" customHeight="1">
      <c r="A4949" s="10">
        <v>46183</v>
      </c>
      <c r="B4949" t="s">
        <v>201</v>
      </c>
      <c r="C4949" t="s">
        <v>178</v>
      </c>
      <c r="D4949">
        <v>0</v>
      </c>
      <c r="E4949">
        <v>16</v>
      </c>
      <c r="G4949">
        <v>10</v>
      </c>
      <c r="I4949">
        <v>0</v>
      </c>
      <c r="J4949">
        <v>26</v>
      </c>
      <c r="M4949" t="s">
        <v>5072</v>
      </c>
    </row>
    <row r="4950" spans="1:13" ht="15" customHeight="1">
      <c r="A4950" s="10">
        <v>46183</v>
      </c>
      <c r="B4950" t="s">
        <v>201</v>
      </c>
      <c r="C4950" t="s">
        <v>179</v>
      </c>
      <c r="D4950">
        <v>0</v>
      </c>
      <c r="E4950">
        <v>19</v>
      </c>
      <c r="H4950">
        <v>1</v>
      </c>
      <c r="I4950">
        <v>0</v>
      </c>
      <c r="J4950">
        <v>18</v>
      </c>
      <c r="M4950" t="s">
        <v>5073</v>
      </c>
    </row>
    <row r="4951" spans="1:13" ht="15" customHeight="1">
      <c r="A4951" s="10">
        <v>46183</v>
      </c>
      <c r="B4951" t="s">
        <v>201</v>
      </c>
      <c r="C4951" t="s">
        <v>180</v>
      </c>
      <c r="D4951">
        <v>0</v>
      </c>
      <c r="E4951">
        <v>16</v>
      </c>
      <c r="G4951">
        <v>10</v>
      </c>
      <c r="H4951">
        <v>1</v>
      </c>
      <c r="I4951">
        <v>0</v>
      </c>
      <c r="J4951">
        <v>25</v>
      </c>
      <c r="M4951" t="s">
        <v>5074</v>
      </c>
    </row>
    <row r="4952" spans="1:13" ht="15" customHeight="1">
      <c r="A4952" s="10">
        <v>46183</v>
      </c>
      <c r="B4952" t="s">
        <v>201</v>
      </c>
      <c r="C4952" s="135" t="s">
        <v>182</v>
      </c>
      <c r="D4952">
        <v>1</v>
      </c>
      <c r="E4952">
        <v>158</v>
      </c>
      <c r="I4952">
        <v>1</v>
      </c>
      <c r="J4952">
        <v>158</v>
      </c>
      <c r="M4952" t="s">
        <v>5075</v>
      </c>
    </row>
    <row r="4953" spans="1:13" ht="15" customHeight="1">
      <c r="A4953" s="10">
        <v>46183</v>
      </c>
      <c r="B4953" t="s">
        <v>201</v>
      </c>
      <c r="C4953" s="135" t="s">
        <v>184</v>
      </c>
      <c r="D4953">
        <v>1</v>
      </c>
      <c r="E4953">
        <v>54</v>
      </c>
      <c r="I4953">
        <v>1</v>
      </c>
      <c r="J4953">
        <v>51</v>
      </c>
      <c r="M4953" t="s">
        <v>5076</v>
      </c>
    </row>
    <row r="4954" spans="1:13" ht="15" customHeight="1">
      <c r="A4954" s="10">
        <v>46183</v>
      </c>
      <c r="B4954" t="s">
        <v>201</v>
      </c>
      <c r="C4954" s="135" t="s">
        <v>185</v>
      </c>
      <c r="D4954">
        <v>1</v>
      </c>
      <c r="E4954">
        <v>40</v>
      </c>
      <c r="I4954">
        <v>1</v>
      </c>
      <c r="J4954">
        <v>36</v>
      </c>
      <c r="M4954" t="s">
        <v>5077</v>
      </c>
    </row>
    <row r="4955" spans="1:13" ht="15" customHeight="1">
      <c r="A4955" s="10">
        <v>46183</v>
      </c>
      <c r="B4955" t="s">
        <v>201</v>
      </c>
      <c r="C4955" s="135" t="s">
        <v>186</v>
      </c>
      <c r="D4955">
        <v>1</v>
      </c>
      <c r="E4955">
        <v>650</v>
      </c>
      <c r="I4955">
        <v>1</v>
      </c>
      <c r="J4955">
        <v>600</v>
      </c>
      <c r="M4955" t="s">
        <v>5078</v>
      </c>
    </row>
    <row r="4956" spans="1:13" ht="15" customHeight="1">
      <c r="A4956" s="10">
        <v>46183</v>
      </c>
      <c r="B4956" t="s">
        <v>201</v>
      </c>
      <c r="C4956" t="s">
        <v>337</v>
      </c>
      <c r="D4956">
        <v>1</v>
      </c>
      <c r="E4956">
        <v>148</v>
      </c>
      <c r="F4956">
        <v>1</v>
      </c>
      <c r="I4956">
        <v>2</v>
      </c>
      <c r="J4956">
        <v>137</v>
      </c>
      <c r="M4956" t="s">
        <v>5079</v>
      </c>
    </row>
    <row r="4957" spans="1:13" ht="15" customHeight="1">
      <c r="A4957" s="10">
        <v>46183</v>
      </c>
      <c r="B4957" t="s">
        <v>201</v>
      </c>
      <c r="C4957" t="s">
        <v>339</v>
      </c>
      <c r="D4957">
        <v>0</v>
      </c>
      <c r="E4957">
        <v>0</v>
      </c>
      <c r="I4957">
        <v>0</v>
      </c>
      <c r="J4957">
        <v>0</v>
      </c>
      <c r="M4957" t="s">
        <v>5080</v>
      </c>
    </row>
    <row r="4958" spans="1:13" ht="15" customHeight="1">
      <c r="A4958" s="10">
        <v>46183</v>
      </c>
      <c r="B4958" t="s">
        <v>201</v>
      </c>
      <c r="C4958" s="135" t="s">
        <v>191</v>
      </c>
      <c r="D4958">
        <v>1</v>
      </c>
      <c r="E4958">
        <v>200</v>
      </c>
      <c r="I4958">
        <v>0</v>
      </c>
      <c r="J4958">
        <v>812</v>
      </c>
      <c r="M4958" t="s">
        <v>5081</v>
      </c>
    </row>
    <row r="4959" spans="1:13" ht="15" customHeight="1">
      <c r="A4959" s="10">
        <v>46183</v>
      </c>
      <c r="B4959" t="s">
        <v>201</v>
      </c>
      <c r="C4959" s="135" t="s">
        <v>193</v>
      </c>
      <c r="D4959">
        <v>0</v>
      </c>
      <c r="E4959">
        <v>562</v>
      </c>
      <c r="I4959">
        <v>0</v>
      </c>
      <c r="J4959">
        <v>544</v>
      </c>
      <c r="M4959" t="s">
        <v>5082</v>
      </c>
    </row>
    <row r="4960" spans="1:13" ht="15" customHeight="1">
      <c r="A4960" s="10">
        <v>46183</v>
      </c>
      <c r="B4960" t="s">
        <v>201</v>
      </c>
      <c r="C4960" s="135" t="s">
        <v>194</v>
      </c>
      <c r="D4960">
        <v>1</v>
      </c>
      <c r="E4960">
        <v>4</v>
      </c>
      <c r="I4960">
        <v>1</v>
      </c>
      <c r="J4960">
        <v>4</v>
      </c>
      <c r="M4960" t="s">
        <v>5083</v>
      </c>
    </row>
    <row r="4961" spans="1:13" ht="15" customHeight="1">
      <c r="A4961" s="10">
        <v>46183</v>
      </c>
      <c r="B4961" t="s">
        <v>201</v>
      </c>
      <c r="C4961" s="135" t="s">
        <v>196</v>
      </c>
      <c r="D4961">
        <v>0</v>
      </c>
      <c r="E4961">
        <v>660</v>
      </c>
      <c r="I4961">
        <v>0</v>
      </c>
      <c r="J4961">
        <v>660</v>
      </c>
      <c r="M4961" t="s">
        <v>5084</v>
      </c>
    </row>
    <row r="4962" spans="1:13" ht="15" customHeight="1">
      <c r="A4962" s="10">
        <v>46183</v>
      </c>
      <c r="B4962" t="s">
        <v>201</v>
      </c>
      <c r="C4962" s="135" t="s">
        <v>199</v>
      </c>
      <c r="D4962">
        <v>0</v>
      </c>
      <c r="E4962">
        <v>0</v>
      </c>
      <c r="G4962">
        <v>400</v>
      </c>
      <c r="I4962">
        <v>0</v>
      </c>
      <c r="J4962">
        <v>400</v>
      </c>
      <c r="M4962" t="s">
        <v>5085</v>
      </c>
    </row>
    <row r="4963" spans="1:13" ht="15" customHeight="1">
      <c r="A4963" s="10">
        <v>46183</v>
      </c>
      <c r="B4963" t="s">
        <v>201</v>
      </c>
      <c r="C4963" s="135" t="s">
        <v>200</v>
      </c>
      <c r="D4963">
        <v>0</v>
      </c>
      <c r="E4963">
        <v>498</v>
      </c>
      <c r="G4963">
        <v>575</v>
      </c>
      <c r="I4963">
        <v>0</v>
      </c>
      <c r="J4963">
        <v>1073</v>
      </c>
      <c r="M4963" t="s">
        <v>5086</v>
      </c>
    </row>
    <row r="4964" spans="1:13" ht="15" customHeight="1">
      <c r="A4964" s="10">
        <v>46183</v>
      </c>
      <c r="B4964" t="s">
        <v>201</v>
      </c>
      <c r="C4964" s="135" t="s">
        <v>202</v>
      </c>
      <c r="D4964">
        <v>0</v>
      </c>
      <c r="E4964">
        <v>357</v>
      </c>
      <c r="G4964">
        <v>480</v>
      </c>
      <c r="I4964">
        <v>0</v>
      </c>
      <c r="J4964">
        <v>837</v>
      </c>
      <c r="M4964" t="s">
        <v>5087</v>
      </c>
    </row>
    <row r="4965" spans="1:13" ht="15" customHeight="1">
      <c r="A4965" s="10">
        <v>46184</v>
      </c>
      <c r="B4965" t="s">
        <v>201</v>
      </c>
      <c r="C4965" t="s">
        <v>23</v>
      </c>
      <c r="D4965">
        <v>7</v>
      </c>
      <c r="E4965">
        <v>1026</v>
      </c>
      <c r="I4965">
        <v>7</v>
      </c>
      <c r="J4965">
        <v>166</v>
      </c>
      <c r="M4965" t="s">
        <v>5088</v>
      </c>
    </row>
    <row r="4966" spans="1:13" ht="15" customHeight="1">
      <c r="A4966" s="10">
        <v>46184</v>
      </c>
      <c r="B4966" t="s">
        <v>201</v>
      </c>
      <c r="C4966" t="s">
        <v>26</v>
      </c>
      <c r="D4966">
        <v>1</v>
      </c>
      <c r="E4966">
        <v>988</v>
      </c>
      <c r="I4966">
        <v>1</v>
      </c>
      <c r="J4966">
        <v>867</v>
      </c>
      <c r="M4966" t="s">
        <v>5089</v>
      </c>
    </row>
    <row r="4967" spans="1:13" ht="15" customHeight="1">
      <c r="A4967" s="10">
        <v>46184</v>
      </c>
      <c r="B4967" t="s">
        <v>201</v>
      </c>
      <c r="C4967" t="s">
        <v>27</v>
      </c>
      <c r="D4967">
        <v>0</v>
      </c>
      <c r="E4967">
        <v>714</v>
      </c>
      <c r="I4967">
        <v>0</v>
      </c>
      <c r="J4967">
        <v>695</v>
      </c>
      <c r="M4967" t="s">
        <v>5090</v>
      </c>
    </row>
    <row r="4968" spans="1:13" ht="15" customHeight="1">
      <c r="A4968" s="10">
        <v>46184</v>
      </c>
      <c r="B4968" t="s">
        <v>201</v>
      </c>
      <c r="C4968" t="s">
        <v>28</v>
      </c>
      <c r="D4968">
        <v>0</v>
      </c>
      <c r="E4968">
        <v>214</v>
      </c>
      <c r="I4968">
        <v>0</v>
      </c>
      <c r="J4968">
        <v>207</v>
      </c>
      <c r="M4968" t="s">
        <v>5091</v>
      </c>
    </row>
    <row r="4969" spans="1:13" ht="15" customHeight="1">
      <c r="A4969" s="10">
        <v>46184</v>
      </c>
      <c r="B4969" t="s">
        <v>201</v>
      </c>
      <c r="C4969" t="s">
        <v>29</v>
      </c>
      <c r="D4969">
        <v>1</v>
      </c>
      <c r="E4969">
        <v>472</v>
      </c>
      <c r="I4969">
        <v>1</v>
      </c>
      <c r="J4969">
        <v>459</v>
      </c>
      <c r="M4969" t="s">
        <v>5092</v>
      </c>
    </row>
    <row r="4970" spans="1:13" ht="15" customHeight="1">
      <c r="A4970" s="10">
        <v>46184</v>
      </c>
      <c r="B4970" t="s">
        <v>201</v>
      </c>
      <c r="C4970" t="s">
        <v>30</v>
      </c>
      <c r="D4970">
        <v>1</v>
      </c>
      <c r="E4970">
        <v>887</v>
      </c>
      <c r="I4970">
        <v>1</v>
      </c>
      <c r="J4970">
        <v>864</v>
      </c>
      <c r="M4970" t="s">
        <v>5093</v>
      </c>
    </row>
    <row r="4971" spans="1:13" ht="15" customHeight="1">
      <c r="A4971" s="10">
        <v>46184</v>
      </c>
      <c r="B4971" t="s">
        <v>201</v>
      </c>
      <c r="C4971" t="s">
        <v>31</v>
      </c>
      <c r="D4971">
        <v>1</v>
      </c>
      <c r="E4971">
        <v>695</v>
      </c>
      <c r="I4971">
        <v>1</v>
      </c>
      <c r="J4971">
        <v>284</v>
      </c>
      <c r="M4971" t="s">
        <v>5094</v>
      </c>
    </row>
    <row r="4972" spans="1:13" ht="15" customHeight="1">
      <c r="A4972" s="10">
        <v>46184</v>
      </c>
      <c r="B4972" t="s">
        <v>201</v>
      </c>
      <c r="C4972" t="s">
        <v>32</v>
      </c>
      <c r="D4972">
        <v>1</v>
      </c>
      <c r="E4972">
        <v>565</v>
      </c>
      <c r="I4972">
        <v>1</v>
      </c>
      <c r="J4972">
        <v>564</v>
      </c>
      <c r="M4972" t="s">
        <v>5095</v>
      </c>
    </row>
    <row r="4973" spans="1:13" ht="15" customHeight="1">
      <c r="A4973" s="10">
        <v>46184</v>
      </c>
      <c r="B4973" t="s">
        <v>201</v>
      </c>
      <c r="C4973" t="s">
        <v>223</v>
      </c>
      <c r="D4973">
        <v>7</v>
      </c>
      <c r="E4973">
        <v>925</v>
      </c>
      <c r="I4973">
        <v>7</v>
      </c>
      <c r="J4973">
        <v>553</v>
      </c>
      <c r="M4973" t="s">
        <v>5096</v>
      </c>
    </row>
    <row r="4974" spans="1:13" ht="15" customHeight="1">
      <c r="A4974" s="10">
        <v>46184</v>
      </c>
      <c r="B4974" t="s">
        <v>201</v>
      </c>
      <c r="C4974" t="s">
        <v>35</v>
      </c>
      <c r="D4974">
        <v>12</v>
      </c>
      <c r="E4974">
        <v>0</v>
      </c>
      <c r="H4974">
        <v>1</v>
      </c>
      <c r="I4974">
        <v>11</v>
      </c>
      <c r="M4974" t="s">
        <v>5097</v>
      </c>
    </row>
    <row r="4975" spans="1:13" ht="15" customHeight="1">
      <c r="A4975" s="10">
        <v>46184</v>
      </c>
      <c r="B4975" t="s">
        <v>201</v>
      </c>
      <c r="C4975" t="s">
        <v>37</v>
      </c>
      <c r="D4975">
        <v>3</v>
      </c>
      <c r="E4975">
        <v>0</v>
      </c>
      <c r="I4975">
        <v>3</v>
      </c>
      <c r="M4975" t="s">
        <v>5098</v>
      </c>
    </row>
    <row r="4976" spans="1:13" ht="15" customHeight="1">
      <c r="A4976" s="10">
        <v>46184</v>
      </c>
      <c r="B4976" t="s">
        <v>201</v>
      </c>
      <c r="C4976" t="s">
        <v>39</v>
      </c>
      <c r="D4976">
        <v>10</v>
      </c>
      <c r="E4976">
        <v>0</v>
      </c>
      <c r="H4976">
        <v>1</v>
      </c>
      <c r="I4976">
        <v>9</v>
      </c>
      <c r="M4976" t="s">
        <v>5099</v>
      </c>
    </row>
    <row r="4977" spans="1:13" ht="15" customHeight="1">
      <c r="A4977" s="10">
        <v>46184</v>
      </c>
      <c r="B4977" t="s">
        <v>201</v>
      </c>
      <c r="C4977" t="s">
        <v>41</v>
      </c>
      <c r="D4977">
        <v>23</v>
      </c>
      <c r="E4977">
        <v>0</v>
      </c>
      <c r="I4977">
        <v>23</v>
      </c>
      <c r="M4977" t="s">
        <v>5100</v>
      </c>
    </row>
    <row r="4978" spans="1:13" ht="15" customHeight="1">
      <c r="A4978" s="10">
        <v>46184</v>
      </c>
      <c r="B4978" t="s">
        <v>201</v>
      </c>
      <c r="C4978" s="135" t="s">
        <v>44</v>
      </c>
      <c r="D4978">
        <v>8</v>
      </c>
      <c r="E4978">
        <v>8115</v>
      </c>
      <c r="I4978">
        <v>8</v>
      </c>
      <c r="J4978">
        <v>6935</v>
      </c>
      <c r="M4978" t="s">
        <v>5101</v>
      </c>
    </row>
    <row r="4979" spans="1:13" ht="15" customHeight="1">
      <c r="A4979" s="10">
        <v>46184</v>
      </c>
      <c r="B4979" t="s">
        <v>201</v>
      </c>
      <c r="C4979" t="s">
        <v>230</v>
      </c>
      <c r="D4979">
        <v>1</v>
      </c>
      <c r="E4979">
        <v>256</v>
      </c>
      <c r="I4979">
        <v>1</v>
      </c>
      <c r="J4979">
        <v>244</v>
      </c>
      <c r="M4979" t="s">
        <v>5102</v>
      </c>
    </row>
    <row r="4980" spans="1:13" ht="15" customHeight="1">
      <c r="A4980" s="10">
        <v>46184</v>
      </c>
      <c r="B4980" t="s">
        <v>201</v>
      </c>
      <c r="C4980" t="s">
        <v>232</v>
      </c>
      <c r="D4980">
        <v>12</v>
      </c>
      <c r="E4980">
        <v>0</v>
      </c>
      <c r="I4980">
        <v>12</v>
      </c>
      <c r="M4980" t="s">
        <v>5103</v>
      </c>
    </row>
    <row r="4981" spans="1:13" ht="15" customHeight="1">
      <c r="A4981" s="10">
        <v>46184</v>
      </c>
      <c r="B4981" t="s">
        <v>201</v>
      </c>
      <c r="C4981" t="s">
        <v>234</v>
      </c>
      <c r="D4981">
        <v>99</v>
      </c>
      <c r="E4981">
        <v>0</v>
      </c>
      <c r="H4981">
        <v>6</v>
      </c>
      <c r="I4981">
        <v>93</v>
      </c>
      <c r="M4981" t="s">
        <v>5104</v>
      </c>
    </row>
    <row r="4982" spans="1:13" ht="15" customHeight="1">
      <c r="A4982" s="10">
        <v>46184</v>
      </c>
      <c r="B4982" t="s">
        <v>201</v>
      </c>
      <c r="C4982" t="s">
        <v>54</v>
      </c>
      <c r="D4982">
        <v>0</v>
      </c>
      <c r="E4982">
        <v>0</v>
      </c>
      <c r="H4982">
        <v>0</v>
      </c>
      <c r="I4982">
        <v>0</v>
      </c>
      <c r="M4982" t="s">
        <v>5105</v>
      </c>
    </row>
    <row r="4983" spans="1:13" ht="15" customHeight="1">
      <c r="A4983" s="10">
        <v>46184</v>
      </c>
      <c r="B4983" t="s">
        <v>201</v>
      </c>
      <c r="C4983" t="s">
        <v>237</v>
      </c>
      <c r="D4983">
        <v>10</v>
      </c>
      <c r="E4983">
        <v>0</v>
      </c>
      <c r="H4983">
        <v>0</v>
      </c>
      <c r="I4983">
        <v>10</v>
      </c>
      <c r="M4983" t="s">
        <v>5106</v>
      </c>
    </row>
    <row r="4984" spans="1:13" ht="15" customHeight="1">
      <c r="A4984" s="10">
        <v>46184</v>
      </c>
      <c r="B4984" t="s">
        <v>201</v>
      </c>
      <c r="C4984" s="135" t="s">
        <v>58</v>
      </c>
      <c r="D4984">
        <v>13</v>
      </c>
      <c r="E4984">
        <v>0</v>
      </c>
      <c r="H4984">
        <v>3</v>
      </c>
      <c r="I4984">
        <v>10</v>
      </c>
      <c r="M4984" t="s">
        <v>5107</v>
      </c>
    </row>
    <row r="4985" spans="1:13" ht="15" customHeight="1">
      <c r="A4985" s="10">
        <v>46184</v>
      </c>
      <c r="B4985" t="s">
        <v>201</v>
      </c>
      <c r="C4985" s="135" t="s">
        <v>60</v>
      </c>
      <c r="D4985">
        <v>15</v>
      </c>
      <c r="E4985">
        <v>0</v>
      </c>
      <c r="H4985">
        <v>0</v>
      </c>
      <c r="I4985">
        <v>15</v>
      </c>
      <c r="M4985" t="s">
        <v>5108</v>
      </c>
    </row>
    <row r="4986" spans="1:13" ht="15" customHeight="1">
      <c r="A4986" s="10">
        <v>46184</v>
      </c>
      <c r="B4986" t="s">
        <v>201</v>
      </c>
      <c r="C4986" s="135" t="s">
        <v>61</v>
      </c>
      <c r="D4986">
        <v>11</v>
      </c>
      <c r="E4986">
        <v>0</v>
      </c>
      <c r="H4986">
        <v>1</v>
      </c>
      <c r="I4986">
        <v>10</v>
      </c>
      <c r="M4986" t="s">
        <v>5109</v>
      </c>
    </row>
    <row r="4987" spans="1:13" ht="15" customHeight="1">
      <c r="A4987" s="10">
        <v>46184</v>
      </c>
      <c r="B4987" t="s">
        <v>201</v>
      </c>
      <c r="C4987" s="135" t="s">
        <v>62</v>
      </c>
      <c r="D4987">
        <v>15</v>
      </c>
      <c r="E4987">
        <v>0</v>
      </c>
      <c r="H4987">
        <v>2</v>
      </c>
      <c r="I4987">
        <v>13</v>
      </c>
      <c r="M4987" t="s">
        <v>5110</v>
      </c>
    </row>
    <row r="4988" spans="1:13" ht="15" customHeight="1">
      <c r="A4988" s="10">
        <v>46184</v>
      </c>
      <c r="B4988" t="s">
        <v>201</v>
      </c>
      <c r="C4988" s="135" t="s">
        <v>63</v>
      </c>
      <c r="D4988">
        <v>14</v>
      </c>
      <c r="E4988">
        <v>0</v>
      </c>
      <c r="H4988">
        <v>0</v>
      </c>
      <c r="I4988">
        <v>14</v>
      </c>
      <c r="M4988" t="s">
        <v>5111</v>
      </c>
    </row>
    <row r="4989" spans="1:13" ht="15" customHeight="1">
      <c r="A4989" s="10">
        <v>46184</v>
      </c>
      <c r="B4989" t="s">
        <v>201</v>
      </c>
      <c r="C4989" s="135" t="s">
        <v>64</v>
      </c>
      <c r="D4989">
        <v>10</v>
      </c>
      <c r="E4989">
        <v>0</v>
      </c>
      <c r="H4989">
        <v>0</v>
      </c>
      <c r="I4989">
        <v>10</v>
      </c>
      <c r="M4989" t="s">
        <v>5112</v>
      </c>
    </row>
    <row r="4990" spans="1:13" ht="15" customHeight="1">
      <c r="A4990" s="10">
        <v>46184</v>
      </c>
      <c r="B4990" t="s">
        <v>201</v>
      </c>
      <c r="C4990" t="s">
        <v>66</v>
      </c>
      <c r="D4990">
        <v>4</v>
      </c>
      <c r="E4990">
        <v>0</v>
      </c>
      <c r="I4990">
        <v>4</v>
      </c>
      <c r="M4990" t="s">
        <v>5113</v>
      </c>
    </row>
    <row r="4991" spans="1:13" ht="15" customHeight="1">
      <c r="A4991" s="10">
        <v>46184</v>
      </c>
      <c r="B4991" t="s">
        <v>201</v>
      </c>
      <c r="C4991" t="s">
        <v>67</v>
      </c>
      <c r="D4991">
        <v>6</v>
      </c>
      <c r="E4991">
        <v>0</v>
      </c>
      <c r="I4991">
        <v>6</v>
      </c>
      <c r="M4991" t="s">
        <v>5114</v>
      </c>
    </row>
    <row r="4992" spans="1:13" ht="15" customHeight="1">
      <c r="A4992" s="10">
        <v>46184</v>
      </c>
      <c r="B4992" t="s">
        <v>201</v>
      </c>
      <c r="C4992" t="s">
        <v>68</v>
      </c>
      <c r="D4992">
        <v>0</v>
      </c>
      <c r="E4992">
        <v>0</v>
      </c>
      <c r="I4992">
        <v>0</v>
      </c>
      <c r="M4992" t="s">
        <v>5115</v>
      </c>
    </row>
    <row r="4993" spans="1:13" ht="15" customHeight="1">
      <c r="A4993" s="10">
        <v>46184</v>
      </c>
      <c r="B4993" t="s">
        <v>201</v>
      </c>
      <c r="C4993" t="s">
        <v>71</v>
      </c>
      <c r="D4993">
        <v>2</v>
      </c>
      <c r="E4993">
        <v>257</v>
      </c>
      <c r="I4993">
        <v>2</v>
      </c>
      <c r="J4993">
        <v>233</v>
      </c>
      <c r="M4993" t="s">
        <v>5116</v>
      </c>
    </row>
    <row r="4994" spans="1:13" ht="15" customHeight="1">
      <c r="A4994" s="10">
        <v>46184</v>
      </c>
      <c r="B4994" t="s">
        <v>201</v>
      </c>
      <c r="C4994" t="s">
        <v>73</v>
      </c>
      <c r="D4994">
        <v>2</v>
      </c>
      <c r="E4994">
        <v>371</v>
      </c>
      <c r="I4994">
        <v>2</v>
      </c>
      <c r="J4994">
        <v>342</v>
      </c>
      <c r="M4994" t="s">
        <v>5117</v>
      </c>
    </row>
    <row r="4995" spans="1:13" ht="15" customHeight="1">
      <c r="A4995" s="10">
        <v>46184</v>
      </c>
      <c r="B4995" t="s">
        <v>201</v>
      </c>
      <c r="C4995" t="s">
        <v>75</v>
      </c>
      <c r="D4995">
        <v>0</v>
      </c>
      <c r="E4995">
        <v>199</v>
      </c>
      <c r="I4995">
        <v>0</v>
      </c>
      <c r="J4995">
        <v>200</v>
      </c>
      <c r="M4995" t="s">
        <v>5118</v>
      </c>
    </row>
    <row r="4996" spans="1:13" ht="15" customHeight="1">
      <c r="A4996" s="10">
        <v>46184</v>
      </c>
      <c r="B4996" t="s">
        <v>201</v>
      </c>
      <c r="C4996" t="s">
        <v>77</v>
      </c>
      <c r="D4996">
        <v>0</v>
      </c>
      <c r="E4996">
        <v>498</v>
      </c>
      <c r="I4996">
        <v>0</v>
      </c>
      <c r="J4996">
        <v>492</v>
      </c>
      <c r="M4996" t="s">
        <v>5119</v>
      </c>
    </row>
    <row r="4997" spans="1:13" ht="15" customHeight="1">
      <c r="A4997" s="10">
        <v>46184</v>
      </c>
      <c r="B4997" t="s">
        <v>201</v>
      </c>
      <c r="C4997" t="s">
        <v>79</v>
      </c>
      <c r="D4997">
        <v>1</v>
      </c>
      <c r="E4997">
        <v>1410</v>
      </c>
      <c r="I4997">
        <v>1</v>
      </c>
      <c r="J4997">
        <v>1395</v>
      </c>
      <c r="M4997" t="s">
        <v>5120</v>
      </c>
    </row>
    <row r="4998" spans="1:13" ht="15" customHeight="1">
      <c r="A4998" s="10">
        <v>46184</v>
      </c>
      <c r="B4998" t="s">
        <v>201</v>
      </c>
      <c r="C4998" t="s">
        <v>81</v>
      </c>
      <c r="D4998">
        <v>1</v>
      </c>
      <c r="E4998">
        <v>454</v>
      </c>
      <c r="I4998">
        <v>1</v>
      </c>
      <c r="J4998">
        <v>446</v>
      </c>
      <c r="M4998" t="s">
        <v>5121</v>
      </c>
    </row>
    <row r="4999" spans="1:13" ht="15" customHeight="1">
      <c r="A4999" s="10">
        <v>46184</v>
      </c>
      <c r="B4999" t="s">
        <v>201</v>
      </c>
      <c r="C4999" t="s">
        <v>83</v>
      </c>
      <c r="D4999">
        <v>1</v>
      </c>
      <c r="E4999">
        <v>84</v>
      </c>
      <c r="I4999">
        <v>1</v>
      </c>
      <c r="J4999">
        <v>74</v>
      </c>
      <c r="M4999" t="s">
        <v>5122</v>
      </c>
    </row>
    <row r="5000" spans="1:13" ht="15" customHeight="1">
      <c r="A5000" s="10">
        <v>46184</v>
      </c>
      <c r="B5000" t="s">
        <v>201</v>
      </c>
      <c r="C5000" t="s">
        <v>84</v>
      </c>
      <c r="D5000">
        <v>1</v>
      </c>
      <c r="E5000">
        <v>363</v>
      </c>
      <c r="I5000">
        <v>1</v>
      </c>
      <c r="J5000">
        <v>358</v>
      </c>
      <c r="M5000" t="s">
        <v>5123</v>
      </c>
    </row>
    <row r="5001" spans="1:13" ht="15" customHeight="1">
      <c r="A5001" s="10">
        <v>46184</v>
      </c>
      <c r="B5001" t="s">
        <v>201</v>
      </c>
      <c r="C5001" t="s">
        <v>85</v>
      </c>
      <c r="D5001">
        <v>0</v>
      </c>
      <c r="E5001">
        <v>214</v>
      </c>
      <c r="I5001">
        <v>0</v>
      </c>
      <c r="J5001">
        <v>214</v>
      </c>
      <c r="M5001" t="s">
        <v>5124</v>
      </c>
    </row>
    <row r="5002" spans="1:13" ht="15" customHeight="1">
      <c r="A5002" s="10">
        <v>46184</v>
      </c>
      <c r="B5002" t="s">
        <v>201</v>
      </c>
      <c r="C5002" t="s">
        <v>87</v>
      </c>
      <c r="D5002">
        <v>1</v>
      </c>
      <c r="E5002">
        <v>329</v>
      </c>
      <c r="I5002">
        <v>1</v>
      </c>
      <c r="J5002">
        <v>314</v>
      </c>
      <c r="M5002" t="s">
        <v>5125</v>
      </c>
    </row>
    <row r="5003" spans="1:13" ht="15" customHeight="1">
      <c r="A5003" s="10">
        <v>46184</v>
      </c>
      <c r="B5003" t="s">
        <v>201</v>
      </c>
      <c r="C5003" t="s">
        <v>88</v>
      </c>
      <c r="D5003">
        <v>1</v>
      </c>
      <c r="E5003">
        <v>315</v>
      </c>
      <c r="I5003">
        <v>1</v>
      </c>
      <c r="J5003">
        <v>313</v>
      </c>
      <c r="M5003" t="s">
        <v>5126</v>
      </c>
    </row>
    <row r="5004" spans="1:13" ht="15" customHeight="1">
      <c r="A5004" s="10">
        <v>46184</v>
      </c>
      <c r="B5004" t="s">
        <v>201</v>
      </c>
      <c r="C5004" t="s">
        <v>89</v>
      </c>
      <c r="D5004">
        <v>1</v>
      </c>
      <c r="E5004">
        <v>311</v>
      </c>
      <c r="I5004">
        <v>1</v>
      </c>
      <c r="J5004">
        <v>310</v>
      </c>
      <c r="M5004" t="s">
        <v>5127</v>
      </c>
    </row>
    <row r="5005" spans="1:13" ht="15" customHeight="1">
      <c r="A5005" s="10">
        <v>46184</v>
      </c>
      <c r="B5005" t="s">
        <v>201</v>
      </c>
      <c r="C5005" t="s">
        <v>90</v>
      </c>
      <c r="D5005">
        <v>0</v>
      </c>
      <c r="E5005">
        <v>1138</v>
      </c>
      <c r="I5005">
        <v>1</v>
      </c>
      <c r="J5005">
        <v>342</v>
      </c>
      <c r="M5005" t="s">
        <v>5128</v>
      </c>
    </row>
    <row r="5006" spans="1:13" ht="15" customHeight="1">
      <c r="A5006" s="10">
        <v>46184</v>
      </c>
      <c r="B5006" t="s">
        <v>201</v>
      </c>
      <c r="C5006" t="s">
        <v>92</v>
      </c>
      <c r="D5006">
        <v>0</v>
      </c>
      <c r="E5006">
        <v>1247</v>
      </c>
      <c r="I5006">
        <v>1</v>
      </c>
      <c r="J5006">
        <v>190</v>
      </c>
      <c r="M5006" t="s">
        <v>5129</v>
      </c>
    </row>
    <row r="5007" spans="1:13" ht="15" customHeight="1">
      <c r="A5007" s="10">
        <v>46184</v>
      </c>
      <c r="B5007" t="s">
        <v>201</v>
      </c>
      <c r="C5007" t="s">
        <v>94</v>
      </c>
      <c r="D5007">
        <v>2</v>
      </c>
      <c r="E5007">
        <v>694</v>
      </c>
      <c r="I5007">
        <v>2</v>
      </c>
      <c r="J5007">
        <v>556</v>
      </c>
      <c r="M5007" t="s">
        <v>5130</v>
      </c>
    </row>
    <row r="5008" spans="1:13" ht="15" customHeight="1">
      <c r="A5008" s="10">
        <v>46184</v>
      </c>
      <c r="B5008" t="s">
        <v>201</v>
      </c>
      <c r="C5008" t="s">
        <v>96</v>
      </c>
      <c r="D5008">
        <v>0</v>
      </c>
      <c r="E5008">
        <v>0</v>
      </c>
      <c r="I5008">
        <v>0</v>
      </c>
      <c r="J5008">
        <v>0</v>
      </c>
      <c r="M5008" t="s">
        <v>5131</v>
      </c>
    </row>
    <row r="5009" spans="1:13" ht="15" customHeight="1">
      <c r="A5009" s="10">
        <v>46184</v>
      </c>
      <c r="B5009" t="s">
        <v>201</v>
      </c>
      <c r="C5009" t="s">
        <v>98</v>
      </c>
      <c r="D5009">
        <v>2</v>
      </c>
      <c r="E5009">
        <v>383</v>
      </c>
      <c r="I5009">
        <v>2</v>
      </c>
      <c r="J5009">
        <v>265</v>
      </c>
      <c r="M5009" t="s">
        <v>5132</v>
      </c>
    </row>
    <row r="5010" spans="1:13" ht="15" customHeight="1">
      <c r="A5010" s="10">
        <v>46184</v>
      </c>
      <c r="B5010" t="s">
        <v>201</v>
      </c>
      <c r="C5010" t="s">
        <v>203</v>
      </c>
      <c r="D5010">
        <v>2</v>
      </c>
      <c r="E5010">
        <v>0</v>
      </c>
      <c r="I5010">
        <v>2</v>
      </c>
      <c r="J5010">
        <v>0</v>
      </c>
      <c r="M5010" t="s">
        <v>5133</v>
      </c>
    </row>
    <row r="5011" spans="1:13" ht="15" customHeight="1">
      <c r="A5011" s="10">
        <v>46184</v>
      </c>
      <c r="B5011" t="s">
        <v>201</v>
      </c>
      <c r="C5011" t="s">
        <v>100</v>
      </c>
      <c r="D5011">
        <v>0</v>
      </c>
      <c r="E5011">
        <v>0</v>
      </c>
      <c r="I5011">
        <v>0</v>
      </c>
      <c r="J5011">
        <v>0</v>
      </c>
      <c r="M5011" t="s">
        <v>5134</v>
      </c>
    </row>
    <row r="5012" spans="1:13" ht="15" customHeight="1">
      <c r="A5012" s="10">
        <v>46184</v>
      </c>
      <c r="B5012" t="s">
        <v>201</v>
      </c>
      <c r="C5012" t="s">
        <v>101</v>
      </c>
      <c r="D5012">
        <v>1</v>
      </c>
      <c r="E5012">
        <v>358</v>
      </c>
      <c r="I5012">
        <v>1</v>
      </c>
      <c r="J5012">
        <v>343</v>
      </c>
      <c r="M5012" t="s">
        <v>5135</v>
      </c>
    </row>
    <row r="5013" spans="1:13" ht="15" customHeight="1">
      <c r="A5013" s="10">
        <v>46184</v>
      </c>
      <c r="B5013" t="s">
        <v>201</v>
      </c>
      <c r="C5013" t="s">
        <v>103</v>
      </c>
      <c r="D5013">
        <v>0</v>
      </c>
      <c r="E5013">
        <v>1</v>
      </c>
      <c r="G5013">
        <v>8</v>
      </c>
      <c r="I5013">
        <v>0</v>
      </c>
      <c r="J5013">
        <v>8</v>
      </c>
      <c r="M5013" t="s">
        <v>5136</v>
      </c>
    </row>
    <row r="5014" spans="1:13" ht="15" customHeight="1">
      <c r="A5014" s="10">
        <v>46184</v>
      </c>
      <c r="B5014" t="s">
        <v>201</v>
      </c>
      <c r="C5014" t="s">
        <v>106</v>
      </c>
      <c r="D5014">
        <v>1</v>
      </c>
      <c r="E5014">
        <v>173</v>
      </c>
      <c r="I5014">
        <v>0</v>
      </c>
      <c r="J5014">
        <v>1001</v>
      </c>
      <c r="M5014" t="s">
        <v>5137</v>
      </c>
    </row>
    <row r="5015" spans="1:13" ht="15" customHeight="1">
      <c r="A5015" s="10">
        <v>46184</v>
      </c>
      <c r="B5015" t="s">
        <v>201</v>
      </c>
      <c r="C5015" t="s">
        <v>108</v>
      </c>
      <c r="D5015">
        <v>0</v>
      </c>
      <c r="E5015">
        <v>1551</v>
      </c>
      <c r="I5015">
        <v>0</v>
      </c>
      <c r="J5015">
        <v>1538</v>
      </c>
      <c r="M5015" t="s">
        <v>5138</v>
      </c>
    </row>
    <row r="5016" spans="1:13" ht="15" customHeight="1">
      <c r="A5016" s="10">
        <v>46184</v>
      </c>
      <c r="B5016" t="s">
        <v>201</v>
      </c>
      <c r="C5016" t="s">
        <v>109</v>
      </c>
      <c r="D5016">
        <v>1</v>
      </c>
      <c r="E5016">
        <v>651</v>
      </c>
      <c r="I5016">
        <v>1</v>
      </c>
      <c r="J5016">
        <v>623</v>
      </c>
      <c r="M5016" t="s">
        <v>5139</v>
      </c>
    </row>
    <row r="5017" spans="1:13" ht="15" customHeight="1">
      <c r="A5017" s="10">
        <v>46184</v>
      </c>
      <c r="B5017" t="s">
        <v>201</v>
      </c>
      <c r="C5017" t="s">
        <v>112</v>
      </c>
      <c r="D5017">
        <v>2</v>
      </c>
      <c r="E5017">
        <v>5</v>
      </c>
      <c r="I5017">
        <v>2</v>
      </c>
      <c r="J5017">
        <v>4</v>
      </c>
      <c r="M5017" t="s">
        <v>5140</v>
      </c>
    </row>
    <row r="5018" spans="1:13" ht="15" customHeight="1">
      <c r="A5018" s="10">
        <v>46184</v>
      </c>
      <c r="B5018" t="s">
        <v>201</v>
      </c>
      <c r="C5018" t="s">
        <v>114</v>
      </c>
      <c r="D5018">
        <v>3</v>
      </c>
      <c r="E5018">
        <v>8</v>
      </c>
      <c r="I5018">
        <v>2</v>
      </c>
      <c r="J5018">
        <v>51</v>
      </c>
      <c r="M5018" t="s">
        <v>5141</v>
      </c>
    </row>
    <row r="5019" spans="1:13" ht="15" customHeight="1">
      <c r="A5019" s="10">
        <v>46184</v>
      </c>
      <c r="B5019" t="s">
        <v>201</v>
      </c>
      <c r="C5019" t="s">
        <v>115</v>
      </c>
      <c r="D5019">
        <v>1</v>
      </c>
      <c r="E5019">
        <v>25</v>
      </c>
      <c r="I5019">
        <v>1</v>
      </c>
      <c r="J5019">
        <v>21</v>
      </c>
      <c r="M5019" t="s">
        <v>5142</v>
      </c>
    </row>
    <row r="5020" spans="1:13" ht="15" customHeight="1">
      <c r="A5020" s="10">
        <v>46184</v>
      </c>
      <c r="B5020" t="s">
        <v>201</v>
      </c>
      <c r="C5020" t="s">
        <v>116</v>
      </c>
      <c r="D5020">
        <v>3</v>
      </c>
      <c r="E5020">
        <v>3</v>
      </c>
      <c r="I5020">
        <v>2</v>
      </c>
      <c r="J5020">
        <v>47</v>
      </c>
      <c r="M5020" t="s">
        <v>5143</v>
      </c>
    </row>
    <row r="5021" spans="1:13" ht="15" customHeight="1">
      <c r="A5021" s="10">
        <v>46184</v>
      </c>
      <c r="B5021" t="s">
        <v>201</v>
      </c>
      <c r="C5021" t="s">
        <v>119</v>
      </c>
      <c r="D5021">
        <v>2</v>
      </c>
      <c r="E5021">
        <v>0</v>
      </c>
      <c r="I5021">
        <v>2</v>
      </c>
      <c r="M5021" t="s">
        <v>5144</v>
      </c>
    </row>
    <row r="5022" spans="1:13" ht="15" customHeight="1">
      <c r="A5022" s="10">
        <v>46184</v>
      </c>
      <c r="B5022" t="s">
        <v>201</v>
      </c>
      <c r="C5022" t="s">
        <v>120</v>
      </c>
      <c r="D5022">
        <v>1</v>
      </c>
      <c r="E5022">
        <v>0</v>
      </c>
      <c r="I5022">
        <v>1</v>
      </c>
      <c r="M5022" t="s">
        <v>5145</v>
      </c>
    </row>
    <row r="5023" spans="1:13" ht="15" customHeight="1">
      <c r="A5023" s="10">
        <v>46184</v>
      </c>
      <c r="B5023" t="s">
        <v>201</v>
      </c>
      <c r="C5023" t="s">
        <v>121</v>
      </c>
      <c r="D5023">
        <v>2</v>
      </c>
      <c r="E5023">
        <v>0</v>
      </c>
      <c r="I5023">
        <v>2</v>
      </c>
      <c r="M5023" t="s">
        <v>5146</v>
      </c>
    </row>
    <row r="5024" spans="1:13" ht="15" customHeight="1">
      <c r="A5024" s="10">
        <v>46184</v>
      </c>
      <c r="B5024" t="s">
        <v>201</v>
      </c>
      <c r="C5024" t="s">
        <v>123</v>
      </c>
      <c r="D5024">
        <v>2</v>
      </c>
      <c r="E5024">
        <v>0</v>
      </c>
      <c r="I5024">
        <v>2</v>
      </c>
      <c r="M5024" t="s">
        <v>5147</v>
      </c>
    </row>
    <row r="5025" spans="1:13" ht="15" customHeight="1">
      <c r="A5025" s="10">
        <v>46184</v>
      </c>
      <c r="B5025" t="s">
        <v>201</v>
      </c>
      <c r="C5025" t="s">
        <v>124</v>
      </c>
      <c r="D5025">
        <v>2</v>
      </c>
      <c r="E5025">
        <v>0</v>
      </c>
      <c r="I5025">
        <v>2</v>
      </c>
      <c r="M5025" t="s">
        <v>5148</v>
      </c>
    </row>
    <row r="5026" spans="1:13" ht="15" customHeight="1">
      <c r="A5026" s="10">
        <v>46184</v>
      </c>
      <c r="B5026" t="s">
        <v>201</v>
      </c>
      <c r="C5026" t="s">
        <v>125</v>
      </c>
      <c r="D5026">
        <v>2</v>
      </c>
      <c r="E5026">
        <v>0</v>
      </c>
      <c r="I5026">
        <v>2</v>
      </c>
      <c r="M5026" t="s">
        <v>5149</v>
      </c>
    </row>
    <row r="5027" spans="1:13" ht="15" customHeight="1">
      <c r="A5027" s="10">
        <v>46184</v>
      </c>
      <c r="B5027" t="s">
        <v>201</v>
      </c>
      <c r="C5027" t="s">
        <v>126</v>
      </c>
      <c r="D5027">
        <v>2</v>
      </c>
      <c r="E5027">
        <v>0</v>
      </c>
      <c r="I5027">
        <v>2</v>
      </c>
      <c r="M5027" t="s">
        <v>5150</v>
      </c>
    </row>
    <row r="5028" spans="1:13" ht="15" customHeight="1">
      <c r="A5028" s="10">
        <v>46184</v>
      </c>
      <c r="B5028" t="s">
        <v>201</v>
      </c>
      <c r="C5028" t="s">
        <v>128</v>
      </c>
      <c r="D5028">
        <v>2</v>
      </c>
      <c r="E5028">
        <v>0</v>
      </c>
      <c r="I5028">
        <v>2</v>
      </c>
      <c r="M5028" t="s">
        <v>5151</v>
      </c>
    </row>
    <row r="5029" spans="1:13" ht="15" customHeight="1">
      <c r="A5029" s="10">
        <v>46184</v>
      </c>
      <c r="B5029" t="s">
        <v>201</v>
      </c>
      <c r="C5029" t="s">
        <v>130</v>
      </c>
      <c r="D5029">
        <v>3</v>
      </c>
      <c r="E5029">
        <v>0</v>
      </c>
      <c r="I5029">
        <v>3</v>
      </c>
      <c r="M5029" t="s">
        <v>5152</v>
      </c>
    </row>
    <row r="5030" spans="1:13" ht="15" customHeight="1">
      <c r="A5030" s="10">
        <v>46184</v>
      </c>
      <c r="B5030" t="s">
        <v>201</v>
      </c>
      <c r="C5030" t="s">
        <v>285</v>
      </c>
      <c r="D5030">
        <v>2</v>
      </c>
      <c r="E5030">
        <v>0</v>
      </c>
      <c r="I5030">
        <v>2</v>
      </c>
      <c r="M5030" t="s">
        <v>5153</v>
      </c>
    </row>
    <row r="5031" spans="1:13" ht="15" customHeight="1">
      <c r="A5031" s="10">
        <v>46184</v>
      </c>
      <c r="B5031" t="s">
        <v>201</v>
      </c>
      <c r="C5031" t="s">
        <v>287</v>
      </c>
      <c r="D5031">
        <v>2</v>
      </c>
      <c r="E5031">
        <v>0</v>
      </c>
      <c r="I5031">
        <v>2</v>
      </c>
      <c r="M5031" t="s">
        <v>5154</v>
      </c>
    </row>
    <row r="5032" spans="1:13" ht="15" customHeight="1">
      <c r="A5032" s="10">
        <v>46184</v>
      </c>
      <c r="B5032" t="s">
        <v>201</v>
      </c>
      <c r="C5032" t="s">
        <v>289</v>
      </c>
      <c r="D5032">
        <v>2</v>
      </c>
      <c r="E5032">
        <v>0</v>
      </c>
      <c r="I5032">
        <v>2</v>
      </c>
      <c r="M5032" t="s">
        <v>5155</v>
      </c>
    </row>
    <row r="5033" spans="1:13" ht="15" customHeight="1">
      <c r="A5033" s="10">
        <v>46184</v>
      </c>
      <c r="B5033" t="s">
        <v>201</v>
      </c>
      <c r="C5033" t="s">
        <v>291</v>
      </c>
      <c r="D5033">
        <v>2</v>
      </c>
      <c r="E5033">
        <v>0</v>
      </c>
      <c r="I5033">
        <v>2</v>
      </c>
      <c r="M5033" t="s">
        <v>5156</v>
      </c>
    </row>
    <row r="5034" spans="1:13" ht="15" customHeight="1">
      <c r="A5034" s="10">
        <v>46184</v>
      </c>
      <c r="B5034" t="s">
        <v>201</v>
      </c>
      <c r="C5034" t="s">
        <v>293</v>
      </c>
      <c r="D5034">
        <v>3</v>
      </c>
      <c r="E5034">
        <v>0</v>
      </c>
      <c r="I5034">
        <v>3</v>
      </c>
      <c r="M5034" t="s">
        <v>5157</v>
      </c>
    </row>
    <row r="5035" spans="1:13" ht="15" customHeight="1">
      <c r="A5035" s="10">
        <v>46184</v>
      </c>
      <c r="B5035" t="s">
        <v>201</v>
      </c>
      <c r="C5035" s="135" t="s">
        <v>138</v>
      </c>
      <c r="D5035">
        <v>0</v>
      </c>
      <c r="E5035">
        <v>37</v>
      </c>
      <c r="I5035">
        <v>0</v>
      </c>
      <c r="J5035">
        <v>37</v>
      </c>
      <c r="M5035" t="s">
        <v>5158</v>
      </c>
    </row>
    <row r="5036" spans="1:13" ht="15" customHeight="1">
      <c r="A5036" s="10">
        <v>46184</v>
      </c>
      <c r="B5036" t="s">
        <v>201</v>
      </c>
      <c r="C5036" s="135" t="s">
        <v>139</v>
      </c>
      <c r="D5036">
        <v>0</v>
      </c>
      <c r="E5036">
        <v>37</v>
      </c>
      <c r="I5036">
        <v>0</v>
      </c>
      <c r="J5036">
        <v>34</v>
      </c>
      <c r="M5036" t="s">
        <v>5159</v>
      </c>
    </row>
    <row r="5037" spans="1:13" ht="15" customHeight="1">
      <c r="A5037" s="10">
        <v>46184</v>
      </c>
      <c r="B5037" t="s">
        <v>201</v>
      </c>
      <c r="C5037" s="135" t="s">
        <v>140</v>
      </c>
      <c r="D5037">
        <v>0</v>
      </c>
      <c r="E5037">
        <v>33</v>
      </c>
      <c r="I5037">
        <v>0</v>
      </c>
      <c r="J5037">
        <v>33</v>
      </c>
      <c r="M5037" t="s">
        <v>5160</v>
      </c>
    </row>
    <row r="5038" spans="1:13" ht="15" customHeight="1">
      <c r="A5038" s="10">
        <v>46184</v>
      </c>
      <c r="B5038" t="s">
        <v>201</v>
      </c>
      <c r="C5038" s="135" t="s">
        <v>141</v>
      </c>
      <c r="D5038">
        <v>0</v>
      </c>
      <c r="E5038">
        <v>1</v>
      </c>
      <c r="I5038">
        <v>0</v>
      </c>
      <c r="J5038">
        <v>1</v>
      </c>
      <c r="M5038" t="s">
        <v>5161</v>
      </c>
    </row>
    <row r="5039" spans="1:13" ht="15" customHeight="1">
      <c r="A5039" s="10">
        <v>46184</v>
      </c>
      <c r="B5039" t="s">
        <v>201</v>
      </c>
      <c r="C5039" s="135" t="s">
        <v>143</v>
      </c>
      <c r="D5039">
        <v>0</v>
      </c>
      <c r="E5039">
        <v>53</v>
      </c>
      <c r="I5039">
        <v>0</v>
      </c>
      <c r="J5039">
        <v>52</v>
      </c>
      <c r="M5039" t="s">
        <v>5162</v>
      </c>
    </row>
    <row r="5040" spans="1:13" ht="15" customHeight="1">
      <c r="A5040" s="10">
        <v>46184</v>
      </c>
      <c r="B5040" t="s">
        <v>201</v>
      </c>
      <c r="C5040" s="135" t="s">
        <v>145</v>
      </c>
      <c r="D5040">
        <v>0</v>
      </c>
      <c r="E5040">
        <v>16</v>
      </c>
      <c r="I5040">
        <v>0</v>
      </c>
      <c r="J5040">
        <v>16</v>
      </c>
      <c r="M5040" t="s">
        <v>5163</v>
      </c>
    </row>
    <row r="5041" spans="1:13" ht="15" customHeight="1">
      <c r="A5041" s="10">
        <v>46184</v>
      </c>
      <c r="B5041" t="s">
        <v>201</v>
      </c>
      <c r="C5041" s="135" t="s">
        <v>147</v>
      </c>
      <c r="D5041">
        <v>0</v>
      </c>
      <c r="E5041">
        <v>34</v>
      </c>
      <c r="I5041">
        <v>0</v>
      </c>
      <c r="J5041">
        <v>34</v>
      </c>
      <c r="M5041" t="s">
        <v>5164</v>
      </c>
    </row>
    <row r="5042" spans="1:13" ht="15" customHeight="1">
      <c r="A5042" s="10">
        <v>46184</v>
      </c>
      <c r="B5042" t="s">
        <v>201</v>
      </c>
      <c r="C5042" t="s">
        <v>302</v>
      </c>
      <c r="D5042">
        <v>1</v>
      </c>
      <c r="E5042">
        <v>2</v>
      </c>
      <c r="I5042">
        <v>1</v>
      </c>
      <c r="M5042" t="s">
        <v>5165</v>
      </c>
    </row>
    <row r="5043" spans="1:13" ht="15" customHeight="1">
      <c r="A5043" s="10">
        <v>46184</v>
      </c>
      <c r="B5043" t="s">
        <v>201</v>
      </c>
      <c r="C5043" t="s">
        <v>150</v>
      </c>
      <c r="D5043">
        <v>2</v>
      </c>
      <c r="E5043">
        <v>0</v>
      </c>
      <c r="I5043">
        <v>2</v>
      </c>
      <c r="M5043" t="s">
        <v>5166</v>
      </c>
    </row>
    <row r="5044" spans="1:13" ht="15" customHeight="1">
      <c r="A5044" s="10">
        <v>46184</v>
      </c>
      <c r="B5044" t="s">
        <v>201</v>
      </c>
      <c r="C5044" t="s">
        <v>151</v>
      </c>
      <c r="D5044">
        <v>2</v>
      </c>
      <c r="E5044">
        <v>0</v>
      </c>
      <c r="I5044">
        <v>2</v>
      </c>
      <c r="M5044" t="s">
        <v>5167</v>
      </c>
    </row>
    <row r="5045" spans="1:13" ht="15" customHeight="1">
      <c r="A5045" s="10">
        <v>46184</v>
      </c>
      <c r="B5045" t="s">
        <v>201</v>
      </c>
      <c r="C5045" t="s">
        <v>152</v>
      </c>
      <c r="D5045">
        <v>2</v>
      </c>
      <c r="E5045">
        <v>0</v>
      </c>
      <c r="I5045">
        <v>2</v>
      </c>
      <c r="M5045" t="s">
        <v>5168</v>
      </c>
    </row>
    <row r="5046" spans="1:13" ht="15" customHeight="1">
      <c r="A5046" s="10">
        <v>46184</v>
      </c>
      <c r="B5046" t="s">
        <v>201</v>
      </c>
      <c r="C5046" t="s">
        <v>153</v>
      </c>
      <c r="D5046">
        <v>0</v>
      </c>
      <c r="E5046">
        <v>0</v>
      </c>
      <c r="I5046">
        <v>0</v>
      </c>
      <c r="M5046" t="s">
        <v>5169</v>
      </c>
    </row>
    <row r="5047" spans="1:13" ht="15" customHeight="1">
      <c r="A5047" s="10">
        <v>46184</v>
      </c>
      <c r="B5047" t="s">
        <v>201</v>
      </c>
      <c r="C5047" t="s">
        <v>308</v>
      </c>
      <c r="D5047">
        <v>0</v>
      </c>
      <c r="E5047">
        <v>4</v>
      </c>
      <c r="I5047">
        <v>0</v>
      </c>
      <c r="J5047">
        <v>3</v>
      </c>
      <c r="M5047" t="s">
        <v>5170</v>
      </c>
    </row>
    <row r="5048" spans="1:13" ht="15" customHeight="1">
      <c r="A5048" s="10">
        <v>46184</v>
      </c>
      <c r="B5048" t="s">
        <v>201</v>
      </c>
      <c r="C5048" t="s">
        <v>310</v>
      </c>
      <c r="D5048">
        <v>0</v>
      </c>
      <c r="E5048">
        <v>2</v>
      </c>
      <c r="I5048">
        <v>0</v>
      </c>
      <c r="J5048">
        <v>2</v>
      </c>
      <c r="M5048" t="s">
        <v>5171</v>
      </c>
    </row>
    <row r="5049" spans="1:13" ht="15" customHeight="1">
      <c r="A5049" s="10">
        <v>46184</v>
      </c>
      <c r="B5049" t="s">
        <v>201</v>
      </c>
      <c r="C5049" t="s">
        <v>312</v>
      </c>
      <c r="D5049">
        <v>0</v>
      </c>
      <c r="E5049">
        <v>4</v>
      </c>
      <c r="I5049">
        <v>0</v>
      </c>
      <c r="J5049">
        <v>4</v>
      </c>
      <c r="M5049" t="s">
        <v>5172</v>
      </c>
    </row>
    <row r="5050" spans="1:13" ht="15" customHeight="1">
      <c r="A5050" s="10">
        <v>46184</v>
      </c>
      <c r="B5050" t="s">
        <v>201</v>
      </c>
      <c r="C5050" t="s">
        <v>314</v>
      </c>
      <c r="D5050">
        <v>1</v>
      </c>
      <c r="E5050">
        <v>0</v>
      </c>
      <c r="I5050">
        <v>1</v>
      </c>
      <c r="M5050" t="s">
        <v>5173</v>
      </c>
    </row>
    <row r="5051" spans="1:13" ht="15" customHeight="1">
      <c r="A5051" s="10">
        <v>46184</v>
      </c>
      <c r="B5051" t="s">
        <v>201</v>
      </c>
      <c r="C5051" t="s">
        <v>316</v>
      </c>
      <c r="D5051">
        <v>0</v>
      </c>
      <c r="E5051">
        <v>0</v>
      </c>
      <c r="I5051">
        <v>0</v>
      </c>
      <c r="M5051" t="s">
        <v>5174</v>
      </c>
    </row>
    <row r="5052" spans="1:13" ht="15" customHeight="1">
      <c r="A5052" s="10">
        <v>46184</v>
      </c>
      <c r="B5052" t="s">
        <v>201</v>
      </c>
      <c r="C5052" t="s">
        <v>318</v>
      </c>
      <c r="D5052">
        <v>4</v>
      </c>
      <c r="E5052">
        <v>0</v>
      </c>
      <c r="I5052">
        <v>3</v>
      </c>
      <c r="M5052" t="s">
        <v>5175</v>
      </c>
    </row>
    <row r="5053" spans="1:13" ht="15" customHeight="1">
      <c r="A5053" s="10">
        <v>46184</v>
      </c>
      <c r="B5053" t="s">
        <v>201</v>
      </c>
      <c r="C5053" t="s">
        <v>320</v>
      </c>
      <c r="D5053">
        <v>2</v>
      </c>
      <c r="E5053">
        <v>0</v>
      </c>
      <c r="I5053">
        <v>2</v>
      </c>
      <c r="M5053" t="s">
        <v>5176</v>
      </c>
    </row>
    <row r="5054" spans="1:13" ht="15" customHeight="1">
      <c r="A5054" s="10">
        <v>46184</v>
      </c>
      <c r="B5054" t="s">
        <v>201</v>
      </c>
      <c r="C5054" t="s">
        <v>322</v>
      </c>
      <c r="D5054">
        <v>2</v>
      </c>
      <c r="E5054">
        <v>0</v>
      </c>
      <c r="I5054">
        <v>2</v>
      </c>
      <c r="M5054" t="s">
        <v>5177</v>
      </c>
    </row>
    <row r="5055" spans="1:13" ht="15" customHeight="1">
      <c r="A5055" s="10">
        <v>46184</v>
      </c>
      <c r="B5055" t="s">
        <v>201</v>
      </c>
      <c r="C5055" s="135" t="s">
        <v>168</v>
      </c>
      <c r="D5055">
        <v>1</v>
      </c>
      <c r="E5055">
        <v>0</v>
      </c>
      <c r="I5055">
        <v>1</v>
      </c>
      <c r="M5055" t="s">
        <v>5178</v>
      </c>
    </row>
    <row r="5056" spans="1:13" ht="15" customHeight="1">
      <c r="A5056" s="10">
        <v>46184</v>
      </c>
      <c r="B5056" t="s">
        <v>201</v>
      </c>
      <c r="C5056" s="135" t="s">
        <v>170</v>
      </c>
      <c r="D5056">
        <v>0</v>
      </c>
      <c r="E5056">
        <v>0</v>
      </c>
      <c r="I5056">
        <v>0</v>
      </c>
      <c r="M5056" t="s">
        <v>5179</v>
      </c>
    </row>
    <row r="5057" spans="1:13" ht="15" customHeight="1">
      <c r="A5057" s="10">
        <v>46184</v>
      </c>
      <c r="B5057" t="s">
        <v>201</v>
      </c>
      <c r="C5057" s="135" t="s">
        <v>171</v>
      </c>
      <c r="D5057">
        <v>3</v>
      </c>
      <c r="E5057">
        <v>0</v>
      </c>
      <c r="I5057">
        <v>3</v>
      </c>
      <c r="M5057" t="s">
        <v>5180</v>
      </c>
    </row>
    <row r="5058" spans="1:13" ht="15" customHeight="1">
      <c r="A5058" s="10">
        <v>46184</v>
      </c>
      <c r="B5058" t="s">
        <v>201</v>
      </c>
      <c r="C5058" s="135" t="s">
        <v>172</v>
      </c>
      <c r="D5058">
        <v>0</v>
      </c>
      <c r="E5058">
        <v>0</v>
      </c>
      <c r="I5058">
        <v>0</v>
      </c>
      <c r="M5058" t="s">
        <v>5181</v>
      </c>
    </row>
    <row r="5059" spans="1:13" ht="15" customHeight="1">
      <c r="A5059" s="10">
        <v>46184</v>
      </c>
      <c r="B5059" t="s">
        <v>201</v>
      </c>
      <c r="C5059" s="135" t="s">
        <v>173</v>
      </c>
      <c r="D5059">
        <v>0</v>
      </c>
      <c r="E5059">
        <v>0</v>
      </c>
      <c r="I5059">
        <v>0</v>
      </c>
      <c r="M5059" t="s">
        <v>5182</v>
      </c>
    </row>
    <row r="5060" spans="1:13" ht="15" customHeight="1">
      <c r="A5060" s="10">
        <v>46184</v>
      </c>
      <c r="B5060" t="s">
        <v>201</v>
      </c>
      <c r="C5060" t="s">
        <v>176</v>
      </c>
      <c r="D5060">
        <v>0</v>
      </c>
      <c r="E5060">
        <v>22</v>
      </c>
      <c r="I5060">
        <v>0</v>
      </c>
      <c r="J5060">
        <v>22</v>
      </c>
      <c r="M5060" t="s">
        <v>5183</v>
      </c>
    </row>
    <row r="5061" spans="1:13" ht="15" customHeight="1">
      <c r="A5061" s="10">
        <v>46184</v>
      </c>
      <c r="B5061" t="s">
        <v>201</v>
      </c>
      <c r="C5061" t="s">
        <v>178</v>
      </c>
      <c r="D5061">
        <v>0</v>
      </c>
      <c r="E5061">
        <v>26</v>
      </c>
      <c r="I5061">
        <v>0</v>
      </c>
      <c r="J5061">
        <v>26</v>
      </c>
      <c r="M5061" t="s">
        <v>5184</v>
      </c>
    </row>
    <row r="5062" spans="1:13" ht="15" customHeight="1">
      <c r="A5062" s="10">
        <v>46184</v>
      </c>
      <c r="B5062" t="s">
        <v>201</v>
      </c>
      <c r="C5062" t="s">
        <v>179</v>
      </c>
      <c r="D5062">
        <v>0</v>
      </c>
      <c r="E5062">
        <v>18</v>
      </c>
      <c r="I5062">
        <v>0</v>
      </c>
      <c r="J5062">
        <v>18</v>
      </c>
      <c r="M5062" t="s">
        <v>5185</v>
      </c>
    </row>
    <row r="5063" spans="1:13" ht="15" customHeight="1">
      <c r="A5063" s="10">
        <v>46184</v>
      </c>
      <c r="B5063" t="s">
        <v>201</v>
      </c>
      <c r="C5063" t="s">
        <v>180</v>
      </c>
      <c r="D5063">
        <v>0</v>
      </c>
      <c r="E5063">
        <v>25</v>
      </c>
      <c r="I5063">
        <v>0</v>
      </c>
      <c r="J5063">
        <v>25</v>
      </c>
      <c r="M5063" t="s">
        <v>5186</v>
      </c>
    </row>
    <row r="5064" spans="1:13" ht="15" customHeight="1">
      <c r="A5064" s="10">
        <v>46184</v>
      </c>
      <c r="B5064" t="s">
        <v>201</v>
      </c>
      <c r="C5064" s="135" t="s">
        <v>182</v>
      </c>
      <c r="D5064">
        <v>1</v>
      </c>
      <c r="E5064">
        <v>158</v>
      </c>
      <c r="I5064">
        <v>1</v>
      </c>
      <c r="J5064">
        <v>158</v>
      </c>
      <c r="M5064" t="s">
        <v>5187</v>
      </c>
    </row>
    <row r="5065" spans="1:13" ht="15" customHeight="1">
      <c r="A5065" s="10">
        <v>46184</v>
      </c>
      <c r="B5065" t="s">
        <v>201</v>
      </c>
      <c r="C5065" s="135" t="s">
        <v>184</v>
      </c>
      <c r="D5065">
        <v>1</v>
      </c>
      <c r="E5065">
        <v>51</v>
      </c>
      <c r="I5065">
        <v>1</v>
      </c>
      <c r="J5065">
        <v>51</v>
      </c>
      <c r="M5065" t="s">
        <v>5188</v>
      </c>
    </row>
    <row r="5066" spans="1:13" ht="15" customHeight="1">
      <c r="A5066" s="10">
        <v>46184</v>
      </c>
      <c r="B5066" t="s">
        <v>201</v>
      </c>
      <c r="C5066" s="135" t="s">
        <v>185</v>
      </c>
      <c r="D5066">
        <v>1</v>
      </c>
      <c r="E5066">
        <v>36</v>
      </c>
      <c r="I5066">
        <v>1</v>
      </c>
      <c r="J5066">
        <v>36</v>
      </c>
      <c r="M5066" t="s">
        <v>5189</v>
      </c>
    </row>
    <row r="5067" spans="1:13" ht="15" customHeight="1">
      <c r="A5067" s="10">
        <v>46184</v>
      </c>
      <c r="B5067" t="s">
        <v>201</v>
      </c>
      <c r="C5067" s="135" t="s">
        <v>186</v>
      </c>
      <c r="D5067">
        <v>1</v>
      </c>
      <c r="E5067">
        <v>600</v>
      </c>
      <c r="I5067">
        <v>1</v>
      </c>
      <c r="J5067">
        <v>600</v>
      </c>
      <c r="M5067" t="s">
        <v>5190</v>
      </c>
    </row>
    <row r="5068" spans="1:13" ht="15" customHeight="1">
      <c r="A5068" s="10">
        <v>46184</v>
      </c>
      <c r="B5068" t="s">
        <v>201</v>
      </c>
      <c r="C5068" t="s">
        <v>337</v>
      </c>
      <c r="D5068">
        <v>2</v>
      </c>
      <c r="E5068">
        <v>137</v>
      </c>
      <c r="I5068">
        <v>2</v>
      </c>
      <c r="J5068">
        <v>106</v>
      </c>
      <c r="M5068" t="s">
        <v>5191</v>
      </c>
    </row>
    <row r="5069" spans="1:13" ht="15" customHeight="1">
      <c r="A5069" s="10">
        <v>46184</v>
      </c>
      <c r="B5069" t="s">
        <v>201</v>
      </c>
      <c r="C5069" t="s">
        <v>339</v>
      </c>
      <c r="D5069">
        <v>0</v>
      </c>
      <c r="E5069">
        <v>0</v>
      </c>
      <c r="I5069">
        <v>0</v>
      </c>
      <c r="J5069">
        <v>0</v>
      </c>
      <c r="M5069" t="s">
        <v>5192</v>
      </c>
    </row>
    <row r="5070" spans="1:13" ht="15" customHeight="1">
      <c r="A5070" s="10">
        <v>46184</v>
      </c>
      <c r="B5070" t="s">
        <v>201</v>
      </c>
      <c r="C5070" s="135" t="s">
        <v>191</v>
      </c>
      <c r="D5070">
        <v>0</v>
      </c>
      <c r="E5070">
        <v>812</v>
      </c>
      <c r="I5070">
        <v>0</v>
      </c>
      <c r="J5070">
        <v>777</v>
      </c>
      <c r="M5070" t="s">
        <v>5193</v>
      </c>
    </row>
    <row r="5071" spans="1:13" ht="15" customHeight="1">
      <c r="A5071" s="10">
        <v>46184</v>
      </c>
      <c r="B5071" t="s">
        <v>201</v>
      </c>
      <c r="C5071" s="135" t="s">
        <v>193</v>
      </c>
      <c r="D5071">
        <v>0</v>
      </c>
      <c r="E5071">
        <v>544</v>
      </c>
      <c r="I5071">
        <v>0</v>
      </c>
      <c r="J5071">
        <v>507</v>
      </c>
      <c r="M5071" t="s">
        <v>5194</v>
      </c>
    </row>
    <row r="5072" spans="1:13" ht="15" customHeight="1">
      <c r="A5072" s="10">
        <v>46184</v>
      </c>
      <c r="B5072" t="s">
        <v>201</v>
      </c>
      <c r="C5072" s="135" t="s">
        <v>194</v>
      </c>
      <c r="D5072">
        <v>1</v>
      </c>
      <c r="E5072">
        <v>4</v>
      </c>
      <c r="I5072">
        <v>1</v>
      </c>
      <c r="J5072">
        <v>2</v>
      </c>
      <c r="M5072" t="s">
        <v>5195</v>
      </c>
    </row>
    <row r="5073" spans="1:13" ht="15" customHeight="1">
      <c r="A5073" s="10">
        <v>46184</v>
      </c>
      <c r="B5073" t="s">
        <v>201</v>
      </c>
      <c r="C5073" s="135" t="s">
        <v>196</v>
      </c>
      <c r="D5073">
        <v>0</v>
      </c>
      <c r="E5073">
        <v>660</v>
      </c>
      <c r="I5073">
        <v>0</v>
      </c>
      <c r="J5073">
        <v>660</v>
      </c>
      <c r="M5073" t="s">
        <v>5196</v>
      </c>
    </row>
    <row r="5074" spans="1:13" ht="15" customHeight="1">
      <c r="A5074" s="10">
        <v>46184</v>
      </c>
      <c r="B5074" t="s">
        <v>201</v>
      </c>
      <c r="C5074" s="135" t="s">
        <v>199</v>
      </c>
      <c r="D5074">
        <v>0</v>
      </c>
      <c r="E5074">
        <v>400</v>
      </c>
      <c r="I5074">
        <v>0</v>
      </c>
      <c r="J5074">
        <v>400</v>
      </c>
      <c r="M5074" t="s">
        <v>5197</v>
      </c>
    </row>
    <row r="5075" spans="1:13" ht="15" customHeight="1">
      <c r="A5075" s="10">
        <v>46184</v>
      </c>
      <c r="B5075" t="s">
        <v>201</v>
      </c>
      <c r="C5075" s="135" t="s">
        <v>200</v>
      </c>
      <c r="D5075">
        <v>0</v>
      </c>
      <c r="E5075">
        <v>1073</v>
      </c>
      <c r="I5075">
        <v>0</v>
      </c>
      <c r="J5075">
        <v>1073</v>
      </c>
      <c r="M5075" t="s">
        <v>5198</v>
      </c>
    </row>
    <row r="5076" spans="1:13" ht="15" customHeight="1">
      <c r="A5076" s="10">
        <v>46184</v>
      </c>
      <c r="B5076" t="s">
        <v>201</v>
      </c>
      <c r="C5076" s="135" t="s">
        <v>202</v>
      </c>
      <c r="D5076">
        <v>0</v>
      </c>
      <c r="E5076">
        <v>837</v>
      </c>
      <c r="I5076">
        <v>0</v>
      </c>
      <c r="J5076">
        <v>873</v>
      </c>
      <c r="M5076" t="s">
        <v>5199</v>
      </c>
    </row>
    <row r="5077" spans="1:13" ht="15" customHeight="1">
      <c r="A5077" s="10">
        <v>46185</v>
      </c>
      <c r="B5077" t="s">
        <v>201</v>
      </c>
      <c r="C5077" t="s">
        <v>23</v>
      </c>
      <c r="D5077">
        <v>7</v>
      </c>
      <c r="E5077">
        <v>166</v>
      </c>
      <c r="I5077">
        <v>6</v>
      </c>
      <c r="J5077">
        <v>911</v>
      </c>
      <c r="M5077" t="s">
        <v>5200</v>
      </c>
    </row>
    <row r="5078" spans="1:13" ht="15" customHeight="1">
      <c r="A5078" s="10">
        <v>46185</v>
      </c>
      <c r="B5078" t="s">
        <v>201</v>
      </c>
      <c r="C5078" t="s">
        <v>26</v>
      </c>
      <c r="D5078">
        <v>1</v>
      </c>
      <c r="E5078">
        <v>867</v>
      </c>
      <c r="I5078">
        <v>1</v>
      </c>
      <c r="J5078">
        <v>844</v>
      </c>
      <c r="M5078" t="s">
        <v>5201</v>
      </c>
    </row>
    <row r="5079" spans="1:13" ht="15" customHeight="1">
      <c r="A5079" s="10">
        <v>46185</v>
      </c>
      <c r="B5079" t="s">
        <v>201</v>
      </c>
      <c r="C5079" t="s">
        <v>27</v>
      </c>
      <c r="D5079">
        <v>0</v>
      </c>
      <c r="E5079">
        <v>695</v>
      </c>
      <c r="I5079">
        <v>0</v>
      </c>
      <c r="J5079">
        <v>576</v>
      </c>
      <c r="M5079" t="s">
        <v>5202</v>
      </c>
    </row>
    <row r="5080" spans="1:13" ht="15" customHeight="1">
      <c r="A5080" s="10">
        <v>46185</v>
      </c>
      <c r="B5080" t="s">
        <v>201</v>
      </c>
      <c r="C5080" t="s">
        <v>28</v>
      </c>
      <c r="D5080">
        <v>0</v>
      </c>
      <c r="E5080">
        <v>207</v>
      </c>
      <c r="I5080">
        <v>0</v>
      </c>
      <c r="J5080">
        <v>0</v>
      </c>
      <c r="K5080">
        <v>204</v>
      </c>
      <c r="L5080" s="135" t="s">
        <v>1978</v>
      </c>
      <c r="M5080" t="s">
        <v>5203</v>
      </c>
    </row>
    <row r="5081" spans="1:13" ht="15" customHeight="1">
      <c r="A5081" s="10">
        <v>46185</v>
      </c>
      <c r="B5081" t="s">
        <v>201</v>
      </c>
      <c r="C5081" t="s">
        <v>29</v>
      </c>
      <c r="D5081">
        <v>1</v>
      </c>
      <c r="E5081">
        <v>459</v>
      </c>
      <c r="I5081">
        <v>1</v>
      </c>
      <c r="J5081">
        <v>182</v>
      </c>
      <c r="M5081" t="s">
        <v>5204</v>
      </c>
    </row>
    <row r="5082" spans="1:13" ht="15" customHeight="1">
      <c r="A5082" s="10">
        <v>46185</v>
      </c>
      <c r="B5082" t="s">
        <v>201</v>
      </c>
      <c r="C5082" t="s">
        <v>30</v>
      </c>
      <c r="D5082">
        <v>1</v>
      </c>
      <c r="E5082">
        <v>864</v>
      </c>
      <c r="I5082">
        <v>1</v>
      </c>
      <c r="J5082">
        <v>760</v>
      </c>
      <c r="M5082" t="s">
        <v>5205</v>
      </c>
    </row>
    <row r="5083" spans="1:13" ht="15" customHeight="1">
      <c r="A5083" s="10">
        <v>46185</v>
      </c>
      <c r="B5083" t="s">
        <v>201</v>
      </c>
      <c r="C5083" t="s">
        <v>31</v>
      </c>
      <c r="D5083">
        <v>1</v>
      </c>
      <c r="E5083">
        <v>284</v>
      </c>
      <c r="I5083">
        <v>0</v>
      </c>
      <c r="J5083">
        <v>769</v>
      </c>
      <c r="M5083" t="s">
        <v>5206</v>
      </c>
    </row>
    <row r="5084" spans="1:13" ht="15" customHeight="1">
      <c r="A5084" s="10">
        <v>46185</v>
      </c>
      <c r="B5084" t="s">
        <v>201</v>
      </c>
      <c r="C5084" t="s">
        <v>32</v>
      </c>
      <c r="D5084">
        <v>1</v>
      </c>
      <c r="E5084">
        <v>564</v>
      </c>
      <c r="I5084">
        <v>1</v>
      </c>
      <c r="J5084">
        <v>564</v>
      </c>
      <c r="M5084" t="s">
        <v>5207</v>
      </c>
    </row>
    <row r="5085" spans="1:13" ht="15" customHeight="1">
      <c r="A5085" s="10">
        <v>46185</v>
      </c>
      <c r="B5085" t="s">
        <v>201</v>
      </c>
      <c r="C5085" t="s">
        <v>223</v>
      </c>
      <c r="D5085">
        <v>7</v>
      </c>
      <c r="E5085">
        <v>553</v>
      </c>
      <c r="I5085">
        <v>6</v>
      </c>
      <c r="J5085">
        <v>582</v>
      </c>
      <c r="M5085" t="s">
        <v>5208</v>
      </c>
    </row>
    <row r="5086" spans="1:13" ht="15" customHeight="1">
      <c r="A5086" s="10">
        <v>46185</v>
      </c>
      <c r="B5086" t="s">
        <v>201</v>
      </c>
      <c r="C5086" t="s">
        <v>35</v>
      </c>
      <c r="D5086">
        <v>11</v>
      </c>
      <c r="E5086">
        <v>0</v>
      </c>
      <c r="I5086">
        <v>11</v>
      </c>
      <c r="M5086" t="s">
        <v>5209</v>
      </c>
    </row>
    <row r="5087" spans="1:13" ht="15" customHeight="1">
      <c r="A5087" s="10">
        <v>46185</v>
      </c>
      <c r="B5087" t="s">
        <v>201</v>
      </c>
      <c r="C5087" t="s">
        <v>37</v>
      </c>
      <c r="D5087">
        <v>3</v>
      </c>
      <c r="E5087">
        <v>0</v>
      </c>
      <c r="I5087">
        <v>2</v>
      </c>
      <c r="M5087" t="s">
        <v>5210</v>
      </c>
    </row>
    <row r="5088" spans="1:13" ht="15" customHeight="1">
      <c r="A5088" s="10">
        <v>46185</v>
      </c>
      <c r="B5088" t="s">
        <v>201</v>
      </c>
      <c r="C5088" t="s">
        <v>39</v>
      </c>
      <c r="D5088">
        <v>9</v>
      </c>
      <c r="E5088">
        <v>0</v>
      </c>
      <c r="H5088">
        <v>1</v>
      </c>
      <c r="I5088">
        <v>8</v>
      </c>
      <c r="M5088" t="s">
        <v>5211</v>
      </c>
    </row>
    <row r="5089" spans="1:13" ht="15" customHeight="1">
      <c r="A5089" s="10">
        <v>46185</v>
      </c>
      <c r="B5089" t="s">
        <v>201</v>
      </c>
      <c r="C5089" t="s">
        <v>41</v>
      </c>
      <c r="D5089">
        <v>23</v>
      </c>
      <c r="E5089">
        <v>0</v>
      </c>
      <c r="I5089">
        <v>23</v>
      </c>
      <c r="M5089" t="s">
        <v>5212</v>
      </c>
    </row>
    <row r="5090" spans="1:13" ht="15" customHeight="1">
      <c r="A5090" s="10">
        <v>46185</v>
      </c>
      <c r="B5090" t="s">
        <v>201</v>
      </c>
      <c r="C5090" s="135" t="s">
        <v>44</v>
      </c>
      <c r="D5090">
        <v>8</v>
      </c>
      <c r="E5090">
        <v>6935</v>
      </c>
      <c r="I5090">
        <v>7</v>
      </c>
      <c r="J5090">
        <v>8997</v>
      </c>
      <c r="M5090" t="s">
        <v>5213</v>
      </c>
    </row>
    <row r="5091" spans="1:13" ht="15" customHeight="1">
      <c r="A5091" s="10">
        <v>46185</v>
      </c>
      <c r="B5091" t="s">
        <v>201</v>
      </c>
      <c r="C5091" t="s">
        <v>230</v>
      </c>
      <c r="D5091">
        <v>1</v>
      </c>
      <c r="E5091">
        <v>244</v>
      </c>
      <c r="I5091">
        <v>1</v>
      </c>
      <c r="J5091">
        <v>220</v>
      </c>
      <c r="M5091" t="s">
        <v>5214</v>
      </c>
    </row>
    <row r="5092" spans="1:13" ht="15" customHeight="1">
      <c r="A5092" s="10">
        <v>46185</v>
      </c>
      <c r="B5092" t="s">
        <v>201</v>
      </c>
      <c r="C5092" t="s">
        <v>232</v>
      </c>
      <c r="D5092">
        <v>12</v>
      </c>
      <c r="E5092">
        <v>0</v>
      </c>
      <c r="I5092">
        <v>12</v>
      </c>
      <c r="M5092" t="s">
        <v>5215</v>
      </c>
    </row>
    <row r="5093" spans="1:13" ht="15" customHeight="1">
      <c r="A5093" s="10">
        <v>46185</v>
      </c>
      <c r="B5093" t="s">
        <v>201</v>
      </c>
      <c r="C5093" t="s">
        <v>234</v>
      </c>
      <c r="D5093">
        <v>93</v>
      </c>
      <c r="E5093">
        <v>0</v>
      </c>
      <c r="H5093">
        <v>10</v>
      </c>
      <c r="I5093">
        <v>83</v>
      </c>
      <c r="M5093" t="s">
        <v>5216</v>
      </c>
    </row>
    <row r="5094" spans="1:13" ht="15" customHeight="1">
      <c r="A5094" s="10">
        <v>46185</v>
      </c>
      <c r="B5094" t="s">
        <v>201</v>
      </c>
      <c r="C5094" t="s">
        <v>54</v>
      </c>
      <c r="D5094">
        <v>0</v>
      </c>
      <c r="E5094">
        <v>0</v>
      </c>
      <c r="I5094">
        <v>0</v>
      </c>
      <c r="M5094" t="s">
        <v>5217</v>
      </c>
    </row>
    <row r="5095" spans="1:13" ht="15" customHeight="1">
      <c r="A5095" s="10">
        <v>46185</v>
      </c>
      <c r="B5095" t="s">
        <v>201</v>
      </c>
      <c r="C5095" t="s">
        <v>237</v>
      </c>
      <c r="D5095">
        <v>10</v>
      </c>
      <c r="E5095">
        <v>0</v>
      </c>
      <c r="H5095">
        <v>2</v>
      </c>
      <c r="I5095">
        <v>8</v>
      </c>
      <c r="M5095" t="s">
        <v>5218</v>
      </c>
    </row>
    <row r="5096" spans="1:13" ht="15" customHeight="1">
      <c r="A5096" s="10">
        <v>46185</v>
      </c>
      <c r="B5096" t="s">
        <v>201</v>
      </c>
      <c r="C5096" s="135" t="s">
        <v>58</v>
      </c>
      <c r="D5096">
        <v>10</v>
      </c>
      <c r="E5096">
        <v>0</v>
      </c>
      <c r="H5096">
        <v>2</v>
      </c>
      <c r="I5096">
        <v>8</v>
      </c>
      <c r="M5096" t="s">
        <v>5219</v>
      </c>
    </row>
    <row r="5097" spans="1:13" ht="15" customHeight="1">
      <c r="A5097" s="10">
        <v>46185</v>
      </c>
      <c r="B5097" t="s">
        <v>201</v>
      </c>
      <c r="C5097" s="135" t="s">
        <v>60</v>
      </c>
      <c r="D5097">
        <v>15</v>
      </c>
      <c r="E5097">
        <v>0</v>
      </c>
      <c r="H5097">
        <v>3</v>
      </c>
      <c r="I5097">
        <v>12</v>
      </c>
      <c r="M5097" t="s">
        <v>5220</v>
      </c>
    </row>
    <row r="5098" spans="1:13" ht="15" customHeight="1">
      <c r="A5098" s="10">
        <v>46185</v>
      </c>
      <c r="B5098" t="s">
        <v>201</v>
      </c>
      <c r="C5098" s="135" t="s">
        <v>61</v>
      </c>
      <c r="D5098">
        <v>10</v>
      </c>
      <c r="E5098">
        <v>0</v>
      </c>
      <c r="H5098">
        <v>5</v>
      </c>
      <c r="I5098">
        <v>5</v>
      </c>
      <c r="M5098" t="s">
        <v>5221</v>
      </c>
    </row>
    <row r="5099" spans="1:13" ht="15" customHeight="1">
      <c r="A5099" s="10">
        <v>46185</v>
      </c>
      <c r="B5099" t="s">
        <v>201</v>
      </c>
      <c r="C5099" s="135" t="s">
        <v>62</v>
      </c>
      <c r="D5099">
        <v>13</v>
      </c>
      <c r="E5099">
        <v>0</v>
      </c>
      <c r="H5099">
        <v>1</v>
      </c>
      <c r="I5099">
        <v>12</v>
      </c>
      <c r="M5099" t="s">
        <v>5222</v>
      </c>
    </row>
    <row r="5100" spans="1:13" ht="15" customHeight="1">
      <c r="A5100" s="10">
        <v>46185</v>
      </c>
      <c r="B5100" t="s">
        <v>201</v>
      </c>
      <c r="C5100" s="135" t="s">
        <v>63</v>
      </c>
      <c r="D5100">
        <v>14</v>
      </c>
      <c r="E5100">
        <v>0</v>
      </c>
      <c r="H5100">
        <v>0</v>
      </c>
      <c r="I5100">
        <v>14</v>
      </c>
      <c r="M5100" t="s">
        <v>5223</v>
      </c>
    </row>
    <row r="5101" spans="1:13" ht="15" customHeight="1">
      <c r="A5101" s="10">
        <v>46185</v>
      </c>
      <c r="B5101" t="s">
        <v>201</v>
      </c>
      <c r="C5101" s="135" t="s">
        <v>64</v>
      </c>
      <c r="D5101">
        <v>10</v>
      </c>
      <c r="E5101">
        <v>0</v>
      </c>
      <c r="H5101">
        <v>1</v>
      </c>
      <c r="I5101">
        <v>9</v>
      </c>
      <c r="M5101" t="s">
        <v>5224</v>
      </c>
    </row>
    <row r="5102" spans="1:13" ht="15" customHeight="1">
      <c r="A5102" s="10">
        <v>46185</v>
      </c>
      <c r="B5102" t="s">
        <v>201</v>
      </c>
      <c r="C5102" t="s">
        <v>66</v>
      </c>
      <c r="D5102">
        <v>4</v>
      </c>
      <c r="E5102">
        <v>0</v>
      </c>
      <c r="I5102">
        <v>4</v>
      </c>
      <c r="M5102" t="s">
        <v>5225</v>
      </c>
    </row>
    <row r="5103" spans="1:13" ht="15" customHeight="1">
      <c r="A5103" s="10">
        <v>46185</v>
      </c>
      <c r="B5103" t="s">
        <v>201</v>
      </c>
      <c r="C5103" t="s">
        <v>67</v>
      </c>
      <c r="D5103">
        <v>6</v>
      </c>
      <c r="E5103">
        <v>0</v>
      </c>
      <c r="I5103">
        <v>6</v>
      </c>
      <c r="M5103" t="s">
        <v>5226</v>
      </c>
    </row>
    <row r="5104" spans="1:13" ht="15" customHeight="1">
      <c r="A5104" s="10">
        <v>46185</v>
      </c>
      <c r="B5104" t="s">
        <v>201</v>
      </c>
      <c r="C5104" t="s">
        <v>68</v>
      </c>
      <c r="D5104">
        <v>0</v>
      </c>
      <c r="E5104">
        <v>0</v>
      </c>
      <c r="I5104">
        <v>0</v>
      </c>
      <c r="M5104" t="s">
        <v>5227</v>
      </c>
    </row>
    <row r="5105" spans="1:13" ht="15" customHeight="1">
      <c r="A5105" s="10">
        <v>46185</v>
      </c>
      <c r="B5105" t="s">
        <v>201</v>
      </c>
      <c r="C5105" t="s">
        <v>71</v>
      </c>
      <c r="D5105">
        <v>2</v>
      </c>
      <c r="E5105">
        <v>233</v>
      </c>
      <c r="I5105">
        <v>2</v>
      </c>
      <c r="J5105">
        <v>200</v>
      </c>
      <c r="M5105" t="s">
        <v>5228</v>
      </c>
    </row>
    <row r="5106" spans="1:13" ht="15" customHeight="1">
      <c r="A5106" s="10">
        <v>46185</v>
      </c>
      <c r="B5106" t="s">
        <v>201</v>
      </c>
      <c r="C5106" t="s">
        <v>73</v>
      </c>
      <c r="D5106">
        <v>2</v>
      </c>
      <c r="E5106">
        <v>342</v>
      </c>
      <c r="I5106">
        <v>2</v>
      </c>
      <c r="J5106">
        <v>310</v>
      </c>
      <c r="M5106" t="s">
        <v>5229</v>
      </c>
    </row>
    <row r="5107" spans="1:13" ht="15" customHeight="1">
      <c r="A5107" s="10">
        <v>46185</v>
      </c>
      <c r="B5107" t="s">
        <v>201</v>
      </c>
      <c r="C5107" t="s">
        <v>75</v>
      </c>
      <c r="D5107">
        <v>0</v>
      </c>
      <c r="E5107">
        <v>200</v>
      </c>
      <c r="I5107">
        <v>0</v>
      </c>
      <c r="J5107">
        <v>193</v>
      </c>
      <c r="M5107" t="s">
        <v>5230</v>
      </c>
    </row>
    <row r="5108" spans="1:13" ht="15" customHeight="1">
      <c r="A5108" s="10">
        <v>46185</v>
      </c>
      <c r="B5108" t="s">
        <v>201</v>
      </c>
      <c r="C5108" t="s">
        <v>77</v>
      </c>
      <c r="D5108">
        <v>0</v>
      </c>
      <c r="E5108">
        <v>492</v>
      </c>
      <c r="I5108">
        <v>0</v>
      </c>
      <c r="J5108">
        <v>492</v>
      </c>
      <c r="M5108" t="s">
        <v>5231</v>
      </c>
    </row>
    <row r="5109" spans="1:13" ht="15" customHeight="1">
      <c r="A5109" s="10">
        <v>46185</v>
      </c>
      <c r="B5109" t="s">
        <v>201</v>
      </c>
      <c r="C5109" t="s">
        <v>79</v>
      </c>
      <c r="D5109">
        <v>1</v>
      </c>
      <c r="E5109">
        <v>1395</v>
      </c>
      <c r="I5109">
        <v>2</v>
      </c>
      <c r="J5109">
        <v>1356</v>
      </c>
      <c r="M5109" t="s">
        <v>5232</v>
      </c>
    </row>
    <row r="5110" spans="1:13" ht="15" customHeight="1">
      <c r="A5110" s="10">
        <v>46185</v>
      </c>
      <c r="B5110" t="s">
        <v>201</v>
      </c>
      <c r="C5110" t="s">
        <v>81</v>
      </c>
      <c r="D5110">
        <v>1</v>
      </c>
      <c r="E5110">
        <v>446</v>
      </c>
      <c r="I5110">
        <v>1</v>
      </c>
      <c r="J5110">
        <v>446</v>
      </c>
      <c r="M5110" t="s">
        <v>5233</v>
      </c>
    </row>
    <row r="5111" spans="1:13" ht="15" customHeight="1">
      <c r="A5111" s="10">
        <v>46185</v>
      </c>
      <c r="B5111" t="s">
        <v>201</v>
      </c>
      <c r="C5111" t="s">
        <v>83</v>
      </c>
      <c r="D5111">
        <v>1</v>
      </c>
      <c r="E5111">
        <v>74</v>
      </c>
      <c r="I5111">
        <v>1</v>
      </c>
      <c r="J5111">
        <v>74</v>
      </c>
      <c r="M5111" t="s">
        <v>5234</v>
      </c>
    </row>
    <row r="5112" spans="1:13" ht="15" customHeight="1">
      <c r="A5112" s="10">
        <v>46185</v>
      </c>
      <c r="B5112" t="s">
        <v>201</v>
      </c>
      <c r="C5112" t="s">
        <v>84</v>
      </c>
      <c r="D5112">
        <v>1</v>
      </c>
      <c r="E5112">
        <v>358</v>
      </c>
      <c r="I5112">
        <v>1</v>
      </c>
      <c r="J5112">
        <v>358</v>
      </c>
      <c r="M5112" t="s">
        <v>5235</v>
      </c>
    </row>
    <row r="5113" spans="1:13" ht="15" customHeight="1">
      <c r="A5113" s="10">
        <v>46185</v>
      </c>
      <c r="B5113" t="s">
        <v>201</v>
      </c>
      <c r="C5113" t="s">
        <v>85</v>
      </c>
      <c r="D5113">
        <v>0</v>
      </c>
      <c r="E5113">
        <v>214</v>
      </c>
      <c r="I5113">
        <v>0</v>
      </c>
      <c r="J5113">
        <v>214</v>
      </c>
      <c r="M5113" t="s">
        <v>5236</v>
      </c>
    </row>
    <row r="5114" spans="1:13" ht="15" customHeight="1">
      <c r="A5114" s="10">
        <v>46185</v>
      </c>
      <c r="B5114" t="s">
        <v>201</v>
      </c>
      <c r="C5114" t="s">
        <v>87</v>
      </c>
      <c r="D5114">
        <v>1</v>
      </c>
      <c r="E5114">
        <v>314</v>
      </c>
      <c r="I5114">
        <v>1</v>
      </c>
      <c r="J5114">
        <v>313</v>
      </c>
      <c r="M5114" t="s">
        <v>5237</v>
      </c>
    </row>
    <row r="5115" spans="1:13" ht="15" customHeight="1">
      <c r="A5115" s="10">
        <v>46185</v>
      </c>
      <c r="B5115" t="s">
        <v>201</v>
      </c>
      <c r="C5115" t="s">
        <v>88</v>
      </c>
      <c r="D5115">
        <v>1</v>
      </c>
      <c r="E5115">
        <v>313</v>
      </c>
      <c r="I5115">
        <v>1</v>
      </c>
      <c r="J5115">
        <v>312</v>
      </c>
      <c r="M5115" t="s">
        <v>5238</v>
      </c>
    </row>
    <row r="5116" spans="1:13" ht="15" customHeight="1">
      <c r="A5116" s="10">
        <v>46185</v>
      </c>
      <c r="B5116" t="s">
        <v>201</v>
      </c>
      <c r="C5116" t="s">
        <v>89</v>
      </c>
      <c r="D5116">
        <v>1</v>
      </c>
      <c r="E5116">
        <v>310</v>
      </c>
      <c r="I5116">
        <v>1</v>
      </c>
      <c r="J5116">
        <v>308</v>
      </c>
      <c r="M5116" t="s">
        <v>5239</v>
      </c>
    </row>
    <row r="5117" spans="1:13" ht="15" customHeight="1">
      <c r="A5117" s="10">
        <v>46185</v>
      </c>
      <c r="B5117" t="s">
        <v>201</v>
      </c>
      <c r="C5117" t="s">
        <v>90</v>
      </c>
      <c r="D5117">
        <v>1</v>
      </c>
      <c r="E5117">
        <v>342</v>
      </c>
      <c r="I5117">
        <v>0</v>
      </c>
      <c r="J5117">
        <v>1099</v>
      </c>
      <c r="M5117" t="s">
        <v>5240</v>
      </c>
    </row>
    <row r="5118" spans="1:13" ht="15" customHeight="1">
      <c r="A5118" s="10">
        <v>46185</v>
      </c>
      <c r="B5118" t="s">
        <v>201</v>
      </c>
      <c r="C5118" t="s">
        <v>92</v>
      </c>
      <c r="D5118">
        <v>1</v>
      </c>
      <c r="E5118">
        <v>190</v>
      </c>
      <c r="I5118">
        <v>0</v>
      </c>
      <c r="J5118">
        <v>1099</v>
      </c>
      <c r="M5118" t="s">
        <v>5241</v>
      </c>
    </row>
    <row r="5119" spans="1:13" ht="15" customHeight="1">
      <c r="A5119" s="10">
        <v>46185</v>
      </c>
      <c r="B5119" t="s">
        <v>201</v>
      </c>
      <c r="C5119" t="s">
        <v>94</v>
      </c>
      <c r="D5119">
        <v>2</v>
      </c>
      <c r="E5119">
        <v>556</v>
      </c>
      <c r="I5119">
        <v>0</v>
      </c>
      <c r="J5119">
        <v>768</v>
      </c>
      <c r="M5119" t="s">
        <v>5242</v>
      </c>
    </row>
    <row r="5120" spans="1:13" ht="15" customHeight="1">
      <c r="A5120" s="10">
        <v>46185</v>
      </c>
      <c r="B5120" t="s">
        <v>201</v>
      </c>
      <c r="C5120" t="s">
        <v>96</v>
      </c>
      <c r="D5120">
        <v>0</v>
      </c>
      <c r="E5120">
        <v>0</v>
      </c>
      <c r="I5120">
        <v>0</v>
      </c>
      <c r="J5120">
        <v>0</v>
      </c>
      <c r="M5120" t="s">
        <v>5243</v>
      </c>
    </row>
    <row r="5121" spans="1:13" ht="15" customHeight="1">
      <c r="A5121" s="10">
        <v>46185</v>
      </c>
      <c r="B5121" t="s">
        <v>201</v>
      </c>
      <c r="C5121" t="s">
        <v>98</v>
      </c>
      <c r="D5121">
        <v>2</v>
      </c>
      <c r="E5121">
        <v>265</v>
      </c>
      <c r="I5121">
        <v>2</v>
      </c>
      <c r="J5121">
        <v>86</v>
      </c>
      <c r="M5121" t="s">
        <v>5244</v>
      </c>
    </row>
    <row r="5122" spans="1:13" ht="15" customHeight="1">
      <c r="A5122" s="10">
        <v>46185</v>
      </c>
      <c r="B5122" t="s">
        <v>201</v>
      </c>
      <c r="C5122" t="s">
        <v>203</v>
      </c>
      <c r="D5122">
        <v>2</v>
      </c>
      <c r="E5122">
        <v>0</v>
      </c>
      <c r="I5122">
        <v>2</v>
      </c>
      <c r="J5122">
        <v>0</v>
      </c>
      <c r="M5122" t="s">
        <v>5245</v>
      </c>
    </row>
    <row r="5123" spans="1:13" ht="15" customHeight="1">
      <c r="A5123" s="10">
        <v>46185</v>
      </c>
      <c r="B5123" t="s">
        <v>201</v>
      </c>
      <c r="C5123" t="s">
        <v>100</v>
      </c>
      <c r="D5123">
        <v>0</v>
      </c>
      <c r="E5123">
        <v>0</v>
      </c>
      <c r="I5123">
        <v>0</v>
      </c>
      <c r="J5123">
        <v>0</v>
      </c>
      <c r="M5123" t="s">
        <v>5246</v>
      </c>
    </row>
    <row r="5124" spans="1:13" ht="15" customHeight="1">
      <c r="A5124" s="10">
        <v>46185</v>
      </c>
      <c r="B5124" t="s">
        <v>201</v>
      </c>
      <c r="C5124" t="s">
        <v>101</v>
      </c>
      <c r="D5124">
        <v>1</v>
      </c>
      <c r="E5124">
        <v>343</v>
      </c>
      <c r="I5124">
        <v>1</v>
      </c>
      <c r="J5124">
        <v>333</v>
      </c>
      <c r="M5124" t="s">
        <v>5247</v>
      </c>
    </row>
    <row r="5125" spans="1:13" ht="15" customHeight="1">
      <c r="A5125" s="10">
        <v>46185</v>
      </c>
      <c r="B5125" t="s">
        <v>201</v>
      </c>
      <c r="C5125" t="s">
        <v>103</v>
      </c>
      <c r="D5125">
        <v>0</v>
      </c>
      <c r="E5125">
        <v>8</v>
      </c>
      <c r="I5125">
        <v>0</v>
      </c>
      <c r="J5125">
        <v>6</v>
      </c>
      <c r="M5125" t="s">
        <v>5248</v>
      </c>
    </row>
    <row r="5126" spans="1:13" ht="15" customHeight="1">
      <c r="A5126" s="10">
        <v>46185</v>
      </c>
      <c r="B5126" t="s">
        <v>201</v>
      </c>
      <c r="C5126" t="s">
        <v>106</v>
      </c>
      <c r="D5126">
        <v>0</v>
      </c>
      <c r="E5126">
        <v>1001</v>
      </c>
      <c r="I5126">
        <v>0</v>
      </c>
      <c r="J5126">
        <v>853</v>
      </c>
      <c r="M5126" t="s">
        <v>5249</v>
      </c>
    </row>
    <row r="5127" spans="1:13" ht="15" customHeight="1">
      <c r="A5127" s="10">
        <v>46185</v>
      </c>
      <c r="B5127" t="s">
        <v>201</v>
      </c>
      <c r="C5127" t="s">
        <v>108</v>
      </c>
      <c r="D5127">
        <v>0</v>
      </c>
      <c r="E5127">
        <v>1538</v>
      </c>
      <c r="I5127">
        <v>0</v>
      </c>
      <c r="J5127">
        <v>1504</v>
      </c>
      <c r="M5127" t="s">
        <v>5250</v>
      </c>
    </row>
    <row r="5128" spans="1:13" ht="15" customHeight="1">
      <c r="A5128" s="10">
        <v>46185</v>
      </c>
      <c r="B5128" t="s">
        <v>201</v>
      </c>
      <c r="C5128" t="s">
        <v>109</v>
      </c>
      <c r="D5128">
        <v>1</v>
      </c>
      <c r="E5128">
        <v>623</v>
      </c>
      <c r="I5128">
        <v>1</v>
      </c>
      <c r="J5128">
        <v>583</v>
      </c>
      <c r="M5128" t="s">
        <v>5251</v>
      </c>
    </row>
    <row r="5129" spans="1:13" ht="15" customHeight="1">
      <c r="A5129" s="10">
        <v>46185</v>
      </c>
      <c r="B5129" t="s">
        <v>201</v>
      </c>
      <c r="C5129" t="s">
        <v>112</v>
      </c>
      <c r="D5129">
        <v>2</v>
      </c>
      <c r="E5129">
        <v>4</v>
      </c>
      <c r="I5129">
        <v>0</v>
      </c>
      <c r="J5129">
        <v>53</v>
      </c>
      <c r="M5129" t="s">
        <v>5252</v>
      </c>
    </row>
    <row r="5130" spans="1:13" ht="15" customHeight="1">
      <c r="A5130" s="10">
        <v>46185</v>
      </c>
      <c r="B5130" t="s">
        <v>201</v>
      </c>
      <c r="C5130" t="s">
        <v>114</v>
      </c>
      <c r="D5130">
        <v>2</v>
      </c>
      <c r="E5130">
        <v>51</v>
      </c>
      <c r="I5130">
        <v>2</v>
      </c>
      <c r="J5130">
        <v>39</v>
      </c>
      <c r="M5130" t="s">
        <v>5253</v>
      </c>
    </row>
    <row r="5131" spans="1:13" ht="15" customHeight="1">
      <c r="A5131" s="10">
        <v>46185</v>
      </c>
      <c r="B5131" t="s">
        <v>201</v>
      </c>
      <c r="C5131" t="s">
        <v>115</v>
      </c>
      <c r="D5131">
        <v>1</v>
      </c>
      <c r="E5131">
        <v>21</v>
      </c>
      <c r="I5131">
        <v>1</v>
      </c>
      <c r="J5131">
        <v>16</v>
      </c>
      <c r="M5131" t="s">
        <v>5254</v>
      </c>
    </row>
    <row r="5132" spans="1:13" ht="15" customHeight="1">
      <c r="A5132" s="10">
        <v>46185</v>
      </c>
      <c r="B5132" t="s">
        <v>201</v>
      </c>
      <c r="C5132" t="s">
        <v>116</v>
      </c>
      <c r="D5132">
        <v>2</v>
      </c>
      <c r="E5132">
        <v>47</v>
      </c>
      <c r="I5132">
        <v>2</v>
      </c>
      <c r="J5132">
        <v>35</v>
      </c>
      <c r="M5132" t="s">
        <v>5255</v>
      </c>
    </row>
    <row r="5133" spans="1:13" ht="15" customHeight="1">
      <c r="A5133" s="10">
        <v>46185</v>
      </c>
      <c r="B5133" t="s">
        <v>201</v>
      </c>
      <c r="C5133" t="s">
        <v>119</v>
      </c>
      <c r="D5133">
        <v>2</v>
      </c>
      <c r="E5133">
        <v>0</v>
      </c>
      <c r="I5133">
        <v>2</v>
      </c>
      <c r="M5133" t="s">
        <v>5256</v>
      </c>
    </row>
    <row r="5134" spans="1:13" ht="15" customHeight="1">
      <c r="A5134" s="10">
        <v>46185</v>
      </c>
      <c r="B5134" t="s">
        <v>201</v>
      </c>
      <c r="C5134" t="s">
        <v>120</v>
      </c>
      <c r="D5134">
        <v>1</v>
      </c>
      <c r="E5134">
        <v>0</v>
      </c>
      <c r="I5134">
        <v>1</v>
      </c>
      <c r="M5134" t="s">
        <v>5257</v>
      </c>
    </row>
    <row r="5135" spans="1:13" ht="15" customHeight="1">
      <c r="A5135" s="10">
        <v>46185</v>
      </c>
      <c r="B5135" t="s">
        <v>201</v>
      </c>
      <c r="C5135" t="s">
        <v>121</v>
      </c>
      <c r="D5135">
        <v>2</v>
      </c>
      <c r="E5135">
        <v>0</v>
      </c>
      <c r="I5135">
        <v>2</v>
      </c>
      <c r="M5135" t="s">
        <v>5258</v>
      </c>
    </row>
    <row r="5136" spans="1:13" ht="15" customHeight="1">
      <c r="A5136" s="10">
        <v>46185</v>
      </c>
      <c r="B5136" t="s">
        <v>201</v>
      </c>
      <c r="C5136" t="s">
        <v>123</v>
      </c>
      <c r="D5136">
        <v>2</v>
      </c>
      <c r="E5136">
        <v>0</v>
      </c>
      <c r="I5136">
        <v>2</v>
      </c>
      <c r="M5136" t="s">
        <v>5259</v>
      </c>
    </row>
    <row r="5137" spans="1:13" ht="15" customHeight="1">
      <c r="A5137" s="10">
        <v>46185</v>
      </c>
      <c r="B5137" t="s">
        <v>201</v>
      </c>
      <c r="C5137" t="s">
        <v>124</v>
      </c>
      <c r="D5137">
        <v>2</v>
      </c>
      <c r="E5137">
        <v>0</v>
      </c>
      <c r="I5137">
        <v>1</v>
      </c>
      <c r="M5137" t="s">
        <v>5260</v>
      </c>
    </row>
    <row r="5138" spans="1:13" ht="15" customHeight="1">
      <c r="A5138" s="10">
        <v>46185</v>
      </c>
      <c r="B5138" t="s">
        <v>201</v>
      </c>
      <c r="C5138" t="s">
        <v>125</v>
      </c>
      <c r="D5138">
        <v>2</v>
      </c>
      <c r="E5138">
        <v>0</v>
      </c>
      <c r="I5138">
        <v>1</v>
      </c>
      <c r="M5138" t="s">
        <v>5261</v>
      </c>
    </row>
    <row r="5139" spans="1:13" ht="15" customHeight="1">
      <c r="A5139" s="10">
        <v>46185</v>
      </c>
      <c r="B5139" t="s">
        <v>201</v>
      </c>
      <c r="C5139" t="s">
        <v>126</v>
      </c>
      <c r="D5139">
        <v>2</v>
      </c>
      <c r="E5139">
        <v>0</v>
      </c>
      <c r="I5139">
        <v>1</v>
      </c>
      <c r="M5139" t="s">
        <v>5262</v>
      </c>
    </row>
    <row r="5140" spans="1:13" ht="15" customHeight="1">
      <c r="A5140" s="10">
        <v>46185</v>
      </c>
      <c r="B5140" t="s">
        <v>201</v>
      </c>
      <c r="C5140" t="s">
        <v>128</v>
      </c>
      <c r="D5140">
        <v>2</v>
      </c>
      <c r="E5140">
        <v>0</v>
      </c>
      <c r="I5140">
        <v>2</v>
      </c>
      <c r="M5140" t="s">
        <v>5263</v>
      </c>
    </row>
    <row r="5141" spans="1:13" ht="15" customHeight="1">
      <c r="A5141" s="10">
        <v>46185</v>
      </c>
      <c r="B5141" t="s">
        <v>201</v>
      </c>
      <c r="C5141" t="s">
        <v>130</v>
      </c>
      <c r="D5141">
        <v>3</v>
      </c>
      <c r="E5141">
        <v>0</v>
      </c>
      <c r="I5141">
        <v>3</v>
      </c>
      <c r="M5141" t="s">
        <v>5264</v>
      </c>
    </row>
    <row r="5142" spans="1:13" ht="15" customHeight="1">
      <c r="A5142" s="10">
        <v>46185</v>
      </c>
      <c r="B5142" t="s">
        <v>201</v>
      </c>
      <c r="C5142" t="s">
        <v>285</v>
      </c>
      <c r="D5142">
        <v>2</v>
      </c>
      <c r="E5142">
        <v>0</v>
      </c>
      <c r="I5142">
        <v>2</v>
      </c>
      <c r="M5142" t="s">
        <v>5265</v>
      </c>
    </row>
    <row r="5143" spans="1:13" ht="15" customHeight="1">
      <c r="A5143" s="10">
        <v>46185</v>
      </c>
      <c r="B5143" t="s">
        <v>201</v>
      </c>
      <c r="C5143" t="s">
        <v>287</v>
      </c>
      <c r="D5143">
        <v>2</v>
      </c>
      <c r="E5143">
        <v>0</v>
      </c>
      <c r="I5143">
        <v>2</v>
      </c>
      <c r="M5143" t="s">
        <v>5266</v>
      </c>
    </row>
    <row r="5144" spans="1:13" ht="15" customHeight="1">
      <c r="A5144" s="10">
        <v>46185</v>
      </c>
      <c r="B5144" t="s">
        <v>201</v>
      </c>
      <c r="C5144" t="s">
        <v>289</v>
      </c>
      <c r="D5144">
        <v>2</v>
      </c>
      <c r="E5144">
        <v>0</v>
      </c>
      <c r="I5144">
        <v>2</v>
      </c>
      <c r="M5144" t="s">
        <v>5267</v>
      </c>
    </row>
    <row r="5145" spans="1:13" ht="15" customHeight="1">
      <c r="A5145" s="10">
        <v>46185</v>
      </c>
      <c r="B5145" t="s">
        <v>201</v>
      </c>
      <c r="C5145" t="s">
        <v>291</v>
      </c>
      <c r="D5145">
        <v>2</v>
      </c>
      <c r="E5145">
        <v>0</v>
      </c>
      <c r="I5145">
        <v>2</v>
      </c>
      <c r="M5145" t="s">
        <v>5268</v>
      </c>
    </row>
    <row r="5146" spans="1:13" ht="15" customHeight="1">
      <c r="A5146" s="10">
        <v>46185</v>
      </c>
      <c r="B5146" t="s">
        <v>201</v>
      </c>
      <c r="C5146" t="s">
        <v>293</v>
      </c>
      <c r="D5146">
        <v>3</v>
      </c>
      <c r="E5146">
        <v>0</v>
      </c>
      <c r="I5146">
        <v>3</v>
      </c>
      <c r="M5146" t="s">
        <v>5269</v>
      </c>
    </row>
    <row r="5147" spans="1:13" ht="15" customHeight="1">
      <c r="A5147" s="10">
        <v>46185</v>
      </c>
      <c r="B5147" t="s">
        <v>201</v>
      </c>
      <c r="C5147" s="135" t="s">
        <v>138</v>
      </c>
      <c r="D5147">
        <v>0</v>
      </c>
      <c r="E5147">
        <v>37</v>
      </c>
      <c r="I5147">
        <v>0</v>
      </c>
      <c r="J5147">
        <v>37</v>
      </c>
      <c r="M5147" t="s">
        <v>5270</v>
      </c>
    </row>
    <row r="5148" spans="1:13" ht="15" customHeight="1">
      <c r="A5148" s="10">
        <v>46185</v>
      </c>
      <c r="B5148" t="s">
        <v>201</v>
      </c>
      <c r="C5148" s="135" t="s">
        <v>139</v>
      </c>
      <c r="D5148">
        <v>0</v>
      </c>
      <c r="E5148">
        <v>34</v>
      </c>
      <c r="I5148">
        <v>0</v>
      </c>
      <c r="J5148">
        <v>33</v>
      </c>
      <c r="M5148" t="s">
        <v>5271</v>
      </c>
    </row>
    <row r="5149" spans="1:13" ht="15" customHeight="1">
      <c r="A5149" s="10">
        <v>46185</v>
      </c>
      <c r="B5149" t="s">
        <v>201</v>
      </c>
      <c r="C5149" s="135" t="s">
        <v>140</v>
      </c>
      <c r="D5149">
        <v>0</v>
      </c>
      <c r="E5149">
        <v>33</v>
      </c>
      <c r="I5149">
        <v>0</v>
      </c>
      <c r="J5149">
        <v>33</v>
      </c>
      <c r="M5149" t="s">
        <v>5272</v>
      </c>
    </row>
    <row r="5150" spans="1:13" ht="15" customHeight="1">
      <c r="A5150" s="10">
        <v>46185</v>
      </c>
      <c r="B5150" t="s">
        <v>201</v>
      </c>
      <c r="C5150" s="135" t="s">
        <v>141</v>
      </c>
      <c r="D5150">
        <v>0</v>
      </c>
      <c r="E5150">
        <v>1</v>
      </c>
      <c r="I5150">
        <v>0</v>
      </c>
      <c r="J5150">
        <v>1</v>
      </c>
      <c r="M5150" t="s">
        <v>5273</v>
      </c>
    </row>
    <row r="5151" spans="1:13" ht="15" customHeight="1">
      <c r="A5151" s="10">
        <v>46185</v>
      </c>
      <c r="B5151" t="s">
        <v>201</v>
      </c>
      <c r="C5151" s="135" t="s">
        <v>143</v>
      </c>
      <c r="D5151">
        <v>0</v>
      </c>
      <c r="E5151">
        <v>52</v>
      </c>
      <c r="I5151">
        <v>0</v>
      </c>
      <c r="J5151">
        <v>49</v>
      </c>
      <c r="M5151" t="s">
        <v>5274</v>
      </c>
    </row>
    <row r="5152" spans="1:13" ht="15" customHeight="1">
      <c r="A5152" s="10">
        <v>46185</v>
      </c>
      <c r="B5152" t="s">
        <v>201</v>
      </c>
      <c r="C5152" s="135" t="s">
        <v>145</v>
      </c>
      <c r="D5152">
        <v>0</v>
      </c>
      <c r="E5152">
        <v>16</v>
      </c>
      <c r="I5152">
        <v>0</v>
      </c>
      <c r="J5152">
        <v>16</v>
      </c>
      <c r="M5152" t="s">
        <v>5275</v>
      </c>
    </row>
    <row r="5153" spans="1:13" ht="15" customHeight="1">
      <c r="A5153" s="10">
        <v>46185</v>
      </c>
      <c r="B5153" t="s">
        <v>201</v>
      </c>
      <c r="C5153" s="135" t="s">
        <v>147</v>
      </c>
      <c r="D5153">
        <v>0</v>
      </c>
      <c r="E5153">
        <v>34</v>
      </c>
      <c r="I5153">
        <v>0</v>
      </c>
      <c r="J5153">
        <v>33</v>
      </c>
      <c r="M5153" t="s">
        <v>5276</v>
      </c>
    </row>
    <row r="5154" spans="1:13" ht="15" customHeight="1">
      <c r="A5154" s="10">
        <v>46185</v>
      </c>
      <c r="B5154" t="s">
        <v>201</v>
      </c>
      <c r="C5154" t="s">
        <v>302</v>
      </c>
      <c r="D5154">
        <v>1</v>
      </c>
      <c r="E5154">
        <v>2</v>
      </c>
      <c r="I5154">
        <v>1</v>
      </c>
      <c r="M5154" t="s">
        <v>5277</v>
      </c>
    </row>
    <row r="5155" spans="1:13" ht="15" customHeight="1">
      <c r="A5155" s="10">
        <v>46185</v>
      </c>
      <c r="B5155" t="s">
        <v>201</v>
      </c>
      <c r="C5155" t="s">
        <v>150</v>
      </c>
      <c r="D5155">
        <v>2</v>
      </c>
      <c r="E5155">
        <v>0</v>
      </c>
      <c r="I5155">
        <v>2</v>
      </c>
      <c r="M5155" t="s">
        <v>5278</v>
      </c>
    </row>
    <row r="5156" spans="1:13" ht="15" customHeight="1">
      <c r="A5156" s="10">
        <v>46185</v>
      </c>
      <c r="B5156" t="s">
        <v>201</v>
      </c>
      <c r="C5156" t="s">
        <v>151</v>
      </c>
      <c r="D5156">
        <v>2</v>
      </c>
      <c r="E5156">
        <v>0</v>
      </c>
      <c r="I5156">
        <v>2</v>
      </c>
      <c r="M5156" t="s">
        <v>5279</v>
      </c>
    </row>
    <row r="5157" spans="1:13" ht="15" customHeight="1">
      <c r="A5157" s="10">
        <v>46185</v>
      </c>
      <c r="B5157" t="s">
        <v>201</v>
      </c>
      <c r="C5157" t="s">
        <v>152</v>
      </c>
      <c r="D5157">
        <v>2</v>
      </c>
      <c r="E5157">
        <v>0</v>
      </c>
      <c r="I5157">
        <v>2</v>
      </c>
      <c r="M5157" t="s">
        <v>5280</v>
      </c>
    </row>
    <row r="5158" spans="1:13" ht="15" customHeight="1">
      <c r="A5158" s="10">
        <v>46185</v>
      </c>
      <c r="B5158" t="s">
        <v>201</v>
      </c>
      <c r="C5158" t="s">
        <v>153</v>
      </c>
      <c r="D5158">
        <v>0</v>
      </c>
      <c r="E5158">
        <v>0</v>
      </c>
      <c r="I5158">
        <v>2</v>
      </c>
      <c r="M5158" t="s">
        <v>5281</v>
      </c>
    </row>
    <row r="5159" spans="1:13" ht="15" customHeight="1">
      <c r="A5159" s="10">
        <v>46185</v>
      </c>
      <c r="B5159" t="s">
        <v>201</v>
      </c>
      <c r="C5159" t="s">
        <v>308</v>
      </c>
      <c r="D5159">
        <v>0</v>
      </c>
      <c r="E5159">
        <v>3</v>
      </c>
      <c r="I5159">
        <v>0</v>
      </c>
      <c r="J5159">
        <v>3</v>
      </c>
      <c r="M5159" t="s">
        <v>5282</v>
      </c>
    </row>
    <row r="5160" spans="1:13" ht="15" customHeight="1">
      <c r="A5160" s="10">
        <v>46185</v>
      </c>
      <c r="B5160" t="s">
        <v>201</v>
      </c>
      <c r="C5160" t="s">
        <v>310</v>
      </c>
      <c r="D5160">
        <v>0</v>
      </c>
      <c r="E5160">
        <v>2</v>
      </c>
      <c r="I5160">
        <v>0</v>
      </c>
      <c r="J5160">
        <v>2</v>
      </c>
      <c r="M5160" t="s">
        <v>5283</v>
      </c>
    </row>
    <row r="5161" spans="1:13" ht="15" customHeight="1">
      <c r="A5161" s="10">
        <v>46185</v>
      </c>
      <c r="B5161" t="s">
        <v>201</v>
      </c>
      <c r="C5161" t="s">
        <v>312</v>
      </c>
      <c r="D5161">
        <v>0</v>
      </c>
      <c r="E5161">
        <v>4</v>
      </c>
      <c r="I5161">
        <v>0</v>
      </c>
      <c r="J5161">
        <v>4</v>
      </c>
      <c r="M5161" t="s">
        <v>5284</v>
      </c>
    </row>
    <row r="5162" spans="1:13" ht="15" customHeight="1">
      <c r="A5162" s="10">
        <v>46185</v>
      </c>
      <c r="B5162" t="s">
        <v>201</v>
      </c>
      <c r="C5162" t="s">
        <v>314</v>
      </c>
      <c r="D5162">
        <v>1</v>
      </c>
      <c r="E5162">
        <v>0</v>
      </c>
      <c r="I5162">
        <v>1</v>
      </c>
      <c r="M5162" t="s">
        <v>5285</v>
      </c>
    </row>
    <row r="5163" spans="1:13" ht="15" customHeight="1">
      <c r="A5163" s="10">
        <v>46185</v>
      </c>
      <c r="B5163" t="s">
        <v>201</v>
      </c>
      <c r="C5163" t="s">
        <v>316</v>
      </c>
      <c r="D5163">
        <v>0</v>
      </c>
      <c r="E5163">
        <v>0</v>
      </c>
      <c r="I5163">
        <v>0</v>
      </c>
      <c r="M5163" t="s">
        <v>5286</v>
      </c>
    </row>
    <row r="5164" spans="1:13" ht="15" customHeight="1">
      <c r="A5164" s="10">
        <v>46185</v>
      </c>
      <c r="B5164" t="s">
        <v>201</v>
      </c>
      <c r="C5164" t="s">
        <v>318</v>
      </c>
      <c r="D5164">
        <v>3</v>
      </c>
      <c r="E5164">
        <v>0</v>
      </c>
      <c r="I5164">
        <v>3</v>
      </c>
      <c r="M5164" t="s">
        <v>5287</v>
      </c>
    </row>
    <row r="5165" spans="1:13" ht="15" customHeight="1">
      <c r="A5165" s="10">
        <v>46185</v>
      </c>
      <c r="B5165" t="s">
        <v>201</v>
      </c>
      <c r="C5165" t="s">
        <v>320</v>
      </c>
      <c r="D5165">
        <v>2</v>
      </c>
      <c r="E5165">
        <v>0</v>
      </c>
      <c r="I5165">
        <v>2</v>
      </c>
      <c r="M5165" t="s">
        <v>5288</v>
      </c>
    </row>
    <row r="5166" spans="1:13" ht="15" customHeight="1">
      <c r="A5166" s="10">
        <v>46185</v>
      </c>
      <c r="B5166" t="s">
        <v>201</v>
      </c>
      <c r="C5166" t="s">
        <v>322</v>
      </c>
      <c r="D5166">
        <v>2</v>
      </c>
      <c r="E5166">
        <v>0</v>
      </c>
      <c r="I5166">
        <v>2</v>
      </c>
      <c r="M5166" t="s">
        <v>5289</v>
      </c>
    </row>
    <row r="5167" spans="1:13" ht="15" customHeight="1">
      <c r="A5167" s="10">
        <v>46185</v>
      </c>
      <c r="B5167" t="s">
        <v>201</v>
      </c>
      <c r="C5167" s="135" t="s">
        <v>168</v>
      </c>
      <c r="D5167">
        <v>1</v>
      </c>
      <c r="E5167">
        <v>0</v>
      </c>
      <c r="I5167">
        <v>1</v>
      </c>
      <c r="M5167" t="s">
        <v>5290</v>
      </c>
    </row>
    <row r="5168" spans="1:13" ht="15" customHeight="1">
      <c r="A5168" s="10">
        <v>46185</v>
      </c>
      <c r="B5168" t="s">
        <v>201</v>
      </c>
      <c r="C5168" s="135" t="s">
        <v>170</v>
      </c>
      <c r="D5168">
        <v>0</v>
      </c>
      <c r="E5168">
        <v>0</v>
      </c>
      <c r="I5168">
        <v>0</v>
      </c>
      <c r="M5168" t="s">
        <v>5291</v>
      </c>
    </row>
    <row r="5169" spans="1:13" ht="15" customHeight="1">
      <c r="A5169" s="10">
        <v>46185</v>
      </c>
      <c r="B5169" t="s">
        <v>201</v>
      </c>
      <c r="C5169" s="135" t="s">
        <v>171</v>
      </c>
      <c r="D5169">
        <v>3</v>
      </c>
      <c r="E5169">
        <v>0</v>
      </c>
      <c r="I5169">
        <v>3</v>
      </c>
      <c r="M5169" t="s">
        <v>5292</v>
      </c>
    </row>
    <row r="5170" spans="1:13" ht="15" customHeight="1">
      <c r="A5170" s="10">
        <v>46185</v>
      </c>
      <c r="B5170" t="s">
        <v>201</v>
      </c>
      <c r="C5170" s="135" t="s">
        <v>172</v>
      </c>
      <c r="D5170">
        <v>0</v>
      </c>
      <c r="E5170">
        <v>0</v>
      </c>
      <c r="I5170">
        <v>0</v>
      </c>
      <c r="M5170" t="s">
        <v>5293</v>
      </c>
    </row>
    <row r="5171" spans="1:13" ht="15" customHeight="1">
      <c r="A5171" s="10">
        <v>46185</v>
      </c>
      <c r="B5171" t="s">
        <v>201</v>
      </c>
      <c r="C5171" s="135" t="s">
        <v>173</v>
      </c>
      <c r="D5171">
        <v>0</v>
      </c>
      <c r="E5171">
        <v>0</v>
      </c>
      <c r="I5171">
        <v>0</v>
      </c>
      <c r="M5171" t="s">
        <v>5294</v>
      </c>
    </row>
    <row r="5172" spans="1:13" ht="15" customHeight="1">
      <c r="A5172" s="10">
        <v>46185</v>
      </c>
      <c r="B5172" t="s">
        <v>201</v>
      </c>
      <c r="C5172" t="s">
        <v>176</v>
      </c>
      <c r="D5172">
        <v>0</v>
      </c>
      <c r="E5172">
        <v>22</v>
      </c>
      <c r="I5172">
        <v>0</v>
      </c>
      <c r="J5172">
        <v>22</v>
      </c>
      <c r="M5172" t="s">
        <v>5295</v>
      </c>
    </row>
    <row r="5173" spans="1:13" ht="15" customHeight="1">
      <c r="A5173" s="10">
        <v>46185</v>
      </c>
      <c r="B5173" t="s">
        <v>201</v>
      </c>
      <c r="C5173" t="s">
        <v>178</v>
      </c>
      <c r="D5173">
        <v>0</v>
      </c>
      <c r="E5173">
        <v>26</v>
      </c>
      <c r="I5173">
        <v>0</v>
      </c>
      <c r="J5173">
        <v>26</v>
      </c>
      <c r="M5173" t="s">
        <v>5296</v>
      </c>
    </row>
    <row r="5174" spans="1:13" ht="15" customHeight="1">
      <c r="A5174" s="10">
        <v>46185</v>
      </c>
      <c r="B5174" t="s">
        <v>201</v>
      </c>
      <c r="C5174" t="s">
        <v>179</v>
      </c>
      <c r="D5174">
        <v>0</v>
      </c>
      <c r="E5174">
        <v>18</v>
      </c>
      <c r="I5174">
        <v>0</v>
      </c>
      <c r="J5174">
        <v>18</v>
      </c>
      <c r="M5174" t="s">
        <v>5297</v>
      </c>
    </row>
    <row r="5175" spans="1:13" ht="15" customHeight="1">
      <c r="A5175" s="10">
        <v>46185</v>
      </c>
      <c r="B5175" t="s">
        <v>201</v>
      </c>
      <c r="C5175" t="s">
        <v>180</v>
      </c>
      <c r="D5175">
        <v>0</v>
      </c>
      <c r="E5175">
        <v>25</v>
      </c>
      <c r="H5175">
        <v>2</v>
      </c>
      <c r="I5175">
        <v>0</v>
      </c>
      <c r="J5175">
        <v>23</v>
      </c>
      <c r="M5175" t="s">
        <v>5298</v>
      </c>
    </row>
    <row r="5176" spans="1:13" ht="15" customHeight="1">
      <c r="A5176" s="10">
        <v>46185</v>
      </c>
      <c r="B5176" t="s">
        <v>201</v>
      </c>
      <c r="C5176" s="135" t="s">
        <v>182</v>
      </c>
      <c r="D5176">
        <v>1</v>
      </c>
      <c r="E5176">
        <v>158</v>
      </c>
      <c r="I5176">
        <v>1</v>
      </c>
      <c r="J5176">
        <v>158</v>
      </c>
      <c r="M5176" t="s">
        <v>5299</v>
      </c>
    </row>
    <row r="5177" spans="1:13" ht="15" customHeight="1">
      <c r="A5177" s="10">
        <v>46185</v>
      </c>
      <c r="B5177" t="s">
        <v>201</v>
      </c>
      <c r="C5177" s="135" t="s">
        <v>184</v>
      </c>
      <c r="D5177">
        <v>1</v>
      </c>
      <c r="E5177">
        <v>51</v>
      </c>
      <c r="I5177">
        <v>1</v>
      </c>
      <c r="J5177">
        <v>45</v>
      </c>
      <c r="M5177" t="s">
        <v>5300</v>
      </c>
    </row>
    <row r="5178" spans="1:13" ht="15" customHeight="1">
      <c r="A5178" s="10">
        <v>46185</v>
      </c>
      <c r="B5178" t="s">
        <v>201</v>
      </c>
      <c r="C5178" s="135" t="s">
        <v>185</v>
      </c>
      <c r="D5178">
        <v>1</v>
      </c>
      <c r="E5178">
        <v>36</v>
      </c>
      <c r="I5178">
        <v>1</v>
      </c>
      <c r="J5178">
        <v>36</v>
      </c>
      <c r="M5178" t="s">
        <v>5301</v>
      </c>
    </row>
    <row r="5179" spans="1:13" ht="15" customHeight="1">
      <c r="A5179" s="10">
        <v>46185</v>
      </c>
      <c r="B5179" t="s">
        <v>201</v>
      </c>
      <c r="C5179" s="135" t="s">
        <v>186</v>
      </c>
      <c r="D5179">
        <v>1</v>
      </c>
      <c r="E5179">
        <v>600</v>
      </c>
      <c r="I5179">
        <v>1</v>
      </c>
      <c r="J5179">
        <v>600</v>
      </c>
      <c r="M5179" t="s">
        <v>5302</v>
      </c>
    </row>
    <row r="5180" spans="1:13" ht="15" customHeight="1">
      <c r="A5180" s="10">
        <v>46185</v>
      </c>
      <c r="B5180" t="s">
        <v>201</v>
      </c>
      <c r="C5180" t="s">
        <v>337</v>
      </c>
      <c r="D5180">
        <v>2</v>
      </c>
      <c r="E5180">
        <v>106</v>
      </c>
      <c r="I5180">
        <v>2</v>
      </c>
      <c r="J5180">
        <v>35</v>
      </c>
      <c r="M5180" t="s">
        <v>5303</v>
      </c>
    </row>
    <row r="5181" spans="1:13" ht="15" customHeight="1">
      <c r="A5181" s="10">
        <v>46185</v>
      </c>
      <c r="B5181" t="s">
        <v>201</v>
      </c>
      <c r="C5181" t="s">
        <v>339</v>
      </c>
      <c r="D5181">
        <v>0</v>
      </c>
      <c r="E5181">
        <v>0</v>
      </c>
      <c r="I5181">
        <v>0</v>
      </c>
      <c r="J5181">
        <v>0</v>
      </c>
      <c r="M5181" t="s">
        <v>5304</v>
      </c>
    </row>
    <row r="5182" spans="1:13" ht="15" customHeight="1">
      <c r="A5182" s="10">
        <v>46185</v>
      </c>
      <c r="B5182" t="s">
        <v>201</v>
      </c>
      <c r="C5182" s="135" t="s">
        <v>191</v>
      </c>
      <c r="D5182">
        <v>0</v>
      </c>
      <c r="E5182">
        <v>777</v>
      </c>
      <c r="I5182">
        <v>0</v>
      </c>
      <c r="J5182">
        <v>749</v>
      </c>
      <c r="M5182" t="s">
        <v>5305</v>
      </c>
    </row>
    <row r="5183" spans="1:13" ht="15" customHeight="1">
      <c r="A5183" s="10">
        <v>46185</v>
      </c>
      <c r="B5183" t="s">
        <v>201</v>
      </c>
      <c r="C5183" s="135" t="s">
        <v>193</v>
      </c>
      <c r="D5183">
        <v>0</v>
      </c>
      <c r="E5183">
        <v>507</v>
      </c>
      <c r="I5183">
        <v>0</v>
      </c>
      <c r="J5183">
        <v>461</v>
      </c>
      <c r="M5183" t="s">
        <v>5306</v>
      </c>
    </row>
    <row r="5184" spans="1:13" ht="15" customHeight="1">
      <c r="A5184" s="10">
        <v>46185</v>
      </c>
      <c r="B5184" t="s">
        <v>201</v>
      </c>
      <c r="C5184" s="135" t="s">
        <v>194</v>
      </c>
      <c r="D5184">
        <v>1</v>
      </c>
      <c r="E5184">
        <v>2</v>
      </c>
      <c r="I5184">
        <v>0</v>
      </c>
      <c r="J5184">
        <v>39</v>
      </c>
      <c r="M5184" t="s">
        <v>5307</v>
      </c>
    </row>
    <row r="5185" spans="1:13" ht="15" customHeight="1">
      <c r="A5185" s="10">
        <v>46185</v>
      </c>
      <c r="B5185" t="s">
        <v>201</v>
      </c>
      <c r="C5185" s="135" t="s">
        <v>196</v>
      </c>
      <c r="D5185">
        <v>0</v>
      </c>
      <c r="E5185">
        <v>660</v>
      </c>
      <c r="I5185">
        <v>0</v>
      </c>
      <c r="J5185">
        <v>630</v>
      </c>
      <c r="M5185" t="s">
        <v>5308</v>
      </c>
    </row>
    <row r="5186" spans="1:13" ht="15" customHeight="1">
      <c r="A5186" s="10">
        <v>46185</v>
      </c>
      <c r="B5186" t="s">
        <v>201</v>
      </c>
      <c r="C5186" s="135" t="s">
        <v>199</v>
      </c>
      <c r="D5186">
        <v>0</v>
      </c>
      <c r="E5186">
        <v>400</v>
      </c>
      <c r="I5186">
        <v>0</v>
      </c>
      <c r="J5186">
        <v>400</v>
      </c>
      <c r="M5186" t="s">
        <v>5309</v>
      </c>
    </row>
    <row r="5187" spans="1:13" ht="15" customHeight="1">
      <c r="A5187" s="10">
        <v>46185</v>
      </c>
      <c r="B5187" t="s">
        <v>201</v>
      </c>
      <c r="C5187" s="135" t="s">
        <v>200</v>
      </c>
      <c r="D5187">
        <v>0</v>
      </c>
      <c r="E5187">
        <v>1073</v>
      </c>
      <c r="I5187">
        <v>0</v>
      </c>
      <c r="J5187">
        <v>1073</v>
      </c>
      <c r="M5187" t="s">
        <v>5310</v>
      </c>
    </row>
    <row r="5188" spans="1:13" ht="15" customHeight="1">
      <c r="A5188" s="10">
        <v>46185</v>
      </c>
      <c r="B5188" t="s">
        <v>201</v>
      </c>
      <c r="C5188" s="135" t="s">
        <v>202</v>
      </c>
      <c r="D5188">
        <v>0</v>
      </c>
      <c r="E5188">
        <v>873</v>
      </c>
      <c r="I5188">
        <v>0</v>
      </c>
      <c r="J5188">
        <v>837</v>
      </c>
      <c r="M5188" t="s">
        <v>5311</v>
      </c>
    </row>
    <row r="5189" spans="1:13" ht="15" customHeight="1">
      <c r="A5189" s="10">
        <v>46186</v>
      </c>
      <c r="B5189" t="s">
        <v>201</v>
      </c>
      <c r="C5189" t="s">
        <v>23</v>
      </c>
      <c r="D5189">
        <v>6</v>
      </c>
      <c r="E5189">
        <v>911</v>
      </c>
      <c r="F5189">
        <v>2</v>
      </c>
      <c r="I5189">
        <v>7</v>
      </c>
      <c r="J5189">
        <v>1476</v>
      </c>
      <c r="M5189" t="s">
        <v>5312</v>
      </c>
    </row>
    <row r="5190" spans="1:13" ht="15" customHeight="1">
      <c r="A5190" s="10">
        <v>46186</v>
      </c>
      <c r="B5190" t="s">
        <v>201</v>
      </c>
      <c r="C5190" t="s">
        <v>26</v>
      </c>
      <c r="D5190">
        <v>1</v>
      </c>
      <c r="E5190">
        <v>844</v>
      </c>
      <c r="I5190">
        <v>1</v>
      </c>
      <c r="J5190">
        <v>574</v>
      </c>
      <c r="M5190" t="s">
        <v>5313</v>
      </c>
    </row>
    <row r="5191" spans="1:13" ht="15" customHeight="1">
      <c r="A5191" s="10">
        <v>46186</v>
      </c>
      <c r="B5191" t="s">
        <v>201</v>
      </c>
      <c r="C5191" t="s">
        <v>27</v>
      </c>
      <c r="D5191">
        <v>0</v>
      </c>
      <c r="E5191">
        <v>576</v>
      </c>
      <c r="I5191">
        <v>0</v>
      </c>
      <c r="J5191">
        <v>379</v>
      </c>
      <c r="M5191" t="s">
        <v>5314</v>
      </c>
    </row>
    <row r="5192" spans="1:13" ht="15" customHeight="1">
      <c r="A5192" s="10">
        <v>46186</v>
      </c>
      <c r="B5192" t="s">
        <v>201</v>
      </c>
      <c r="C5192" t="s">
        <v>28</v>
      </c>
      <c r="D5192">
        <v>0</v>
      </c>
      <c r="E5192">
        <v>0</v>
      </c>
      <c r="I5192">
        <v>0</v>
      </c>
      <c r="J5192">
        <v>0</v>
      </c>
      <c r="M5192" t="s">
        <v>5315</v>
      </c>
    </row>
    <row r="5193" spans="1:13" ht="15" customHeight="1">
      <c r="A5193" s="10">
        <v>46186</v>
      </c>
      <c r="B5193" t="s">
        <v>201</v>
      </c>
      <c r="C5193" t="s">
        <v>29</v>
      </c>
      <c r="D5193">
        <v>1</v>
      </c>
      <c r="E5193">
        <v>182</v>
      </c>
      <c r="I5193">
        <v>0</v>
      </c>
      <c r="J5193">
        <v>928</v>
      </c>
      <c r="M5193" t="s">
        <v>5316</v>
      </c>
    </row>
    <row r="5194" spans="1:13" ht="15" customHeight="1">
      <c r="A5194" s="10">
        <v>46186</v>
      </c>
      <c r="B5194" t="s">
        <v>201</v>
      </c>
      <c r="C5194" t="s">
        <v>30</v>
      </c>
      <c r="D5194">
        <v>1</v>
      </c>
      <c r="E5194">
        <v>760</v>
      </c>
      <c r="F5194">
        <v>1</v>
      </c>
      <c r="I5194">
        <v>2</v>
      </c>
      <c r="J5194">
        <v>588</v>
      </c>
      <c r="M5194" t="s">
        <v>5317</v>
      </c>
    </row>
    <row r="5195" spans="1:13" ht="15" customHeight="1">
      <c r="A5195" s="10">
        <v>46186</v>
      </c>
      <c r="B5195" t="s">
        <v>201</v>
      </c>
      <c r="C5195" t="s">
        <v>31</v>
      </c>
      <c r="D5195">
        <v>0</v>
      </c>
      <c r="E5195">
        <v>769</v>
      </c>
      <c r="F5195">
        <v>1</v>
      </c>
      <c r="I5195">
        <v>1</v>
      </c>
      <c r="J5195">
        <v>83</v>
      </c>
      <c r="M5195" t="s">
        <v>5318</v>
      </c>
    </row>
    <row r="5196" spans="1:13" ht="15" customHeight="1">
      <c r="A5196" s="10">
        <v>46186</v>
      </c>
      <c r="B5196" t="s">
        <v>201</v>
      </c>
      <c r="C5196" t="s">
        <v>32</v>
      </c>
      <c r="D5196">
        <v>1</v>
      </c>
      <c r="E5196">
        <v>564</v>
      </c>
      <c r="F5196">
        <v>1</v>
      </c>
      <c r="I5196">
        <v>2</v>
      </c>
      <c r="J5196">
        <v>0</v>
      </c>
      <c r="M5196" t="s">
        <v>5319</v>
      </c>
    </row>
    <row r="5197" spans="1:13" ht="15" customHeight="1">
      <c r="A5197" s="10">
        <v>46186</v>
      </c>
      <c r="B5197" t="s">
        <v>201</v>
      </c>
      <c r="C5197" t="s">
        <v>223</v>
      </c>
      <c r="D5197">
        <v>6</v>
      </c>
      <c r="E5197">
        <v>582</v>
      </c>
      <c r="F5197">
        <v>2</v>
      </c>
      <c r="I5197">
        <v>7</v>
      </c>
      <c r="J5197">
        <v>858</v>
      </c>
      <c r="M5197" t="s">
        <v>5320</v>
      </c>
    </row>
    <row r="5198" spans="1:13" ht="15" customHeight="1">
      <c r="A5198" s="10">
        <v>46186</v>
      </c>
      <c r="B5198" t="s">
        <v>201</v>
      </c>
      <c r="C5198" t="s">
        <v>35</v>
      </c>
      <c r="D5198">
        <v>11</v>
      </c>
      <c r="E5198">
        <v>0</v>
      </c>
      <c r="F5198">
        <v>3</v>
      </c>
      <c r="H5198">
        <v>2</v>
      </c>
      <c r="I5198">
        <v>12</v>
      </c>
      <c r="M5198" t="s">
        <v>5321</v>
      </c>
    </row>
    <row r="5199" spans="1:13" ht="15" customHeight="1">
      <c r="A5199" s="10">
        <v>46186</v>
      </c>
      <c r="B5199" t="s">
        <v>201</v>
      </c>
      <c r="C5199" t="s">
        <v>37</v>
      </c>
      <c r="D5199">
        <v>2</v>
      </c>
      <c r="E5199">
        <v>0</v>
      </c>
      <c r="I5199">
        <v>3</v>
      </c>
      <c r="M5199" t="s">
        <v>5322</v>
      </c>
    </row>
    <row r="5200" spans="1:13" ht="15" customHeight="1">
      <c r="A5200" s="10">
        <v>46186</v>
      </c>
      <c r="B5200" t="s">
        <v>201</v>
      </c>
      <c r="C5200" t="s">
        <v>39</v>
      </c>
      <c r="D5200">
        <v>8</v>
      </c>
      <c r="E5200">
        <v>0</v>
      </c>
      <c r="H5200">
        <v>2</v>
      </c>
      <c r="I5200">
        <v>6</v>
      </c>
      <c r="M5200" t="s">
        <v>5323</v>
      </c>
    </row>
    <row r="5201" spans="1:13" ht="15" customHeight="1">
      <c r="A5201" s="10">
        <v>46186</v>
      </c>
      <c r="B5201" t="s">
        <v>201</v>
      </c>
      <c r="C5201" t="s">
        <v>41</v>
      </c>
      <c r="D5201">
        <v>23</v>
      </c>
      <c r="E5201">
        <v>0</v>
      </c>
      <c r="I5201">
        <v>23</v>
      </c>
      <c r="M5201" t="s">
        <v>5324</v>
      </c>
    </row>
    <row r="5202" spans="1:13" ht="15" customHeight="1">
      <c r="A5202" s="10">
        <v>46186</v>
      </c>
      <c r="B5202" t="s">
        <v>201</v>
      </c>
      <c r="C5202" s="135" t="s">
        <v>44</v>
      </c>
      <c r="D5202">
        <v>7</v>
      </c>
      <c r="E5202">
        <v>8997</v>
      </c>
      <c r="I5202">
        <v>6</v>
      </c>
      <c r="J5202">
        <v>8226</v>
      </c>
      <c r="M5202" t="s">
        <v>5325</v>
      </c>
    </row>
    <row r="5203" spans="1:13" ht="15" customHeight="1">
      <c r="A5203" s="10">
        <v>46186</v>
      </c>
      <c r="B5203" t="s">
        <v>201</v>
      </c>
      <c r="C5203" t="s">
        <v>230</v>
      </c>
      <c r="D5203">
        <v>1</v>
      </c>
      <c r="E5203">
        <v>220</v>
      </c>
      <c r="I5203">
        <v>1</v>
      </c>
      <c r="J5203">
        <v>176</v>
      </c>
      <c r="M5203" t="s">
        <v>5326</v>
      </c>
    </row>
    <row r="5204" spans="1:13" ht="15" customHeight="1">
      <c r="A5204" s="10">
        <v>46186</v>
      </c>
      <c r="B5204" t="s">
        <v>201</v>
      </c>
      <c r="C5204" t="s">
        <v>232</v>
      </c>
      <c r="D5204">
        <v>12</v>
      </c>
      <c r="E5204">
        <v>0</v>
      </c>
      <c r="I5204">
        <v>12</v>
      </c>
      <c r="M5204" t="s">
        <v>5327</v>
      </c>
    </row>
    <row r="5205" spans="1:13" ht="15" customHeight="1">
      <c r="A5205" s="10">
        <v>46186</v>
      </c>
      <c r="B5205" t="s">
        <v>201</v>
      </c>
      <c r="C5205" t="s">
        <v>234</v>
      </c>
      <c r="D5205">
        <v>83</v>
      </c>
      <c r="E5205">
        <v>0</v>
      </c>
      <c r="H5205">
        <v>9</v>
      </c>
      <c r="I5205">
        <v>74</v>
      </c>
      <c r="M5205" t="s">
        <v>5328</v>
      </c>
    </row>
    <row r="5206" spans="1:13" ht="15" customHeight="1">
      <c r="A5206" s="10">
        <v>46186</v>
      </c>
      <c r="B5206" t="s">
        <v>201</v>
      </c>
      <c r="C5206" t="s">
        <v>54</v>
      </c>
      <c r="D5206">
        <v>0</v>
      </c>
      <c r="E5206">
        <v>0</v>
      </c>
      <c r="I5206">
        <v>0</v>
      </c>
      <c r="M5206" t="s">
        <v>5329</v>
      </c>
    </row>
    <row r="5207" spans="1:13" ht="15" customHeight="1">
      <c r="A5207" s="10">
        <v>46186</v>
      </c>
      <c r="B5207" t="s">
        <v>201</v>
      </c>
      <c r="C5207" t="s">
        <v>237</v>
      </c>
      <c r="D5207">
        <v>8</v>
      </c>
      <c r="E5207">
        <v>0</v>
      </c>
      <c r="I5207">
        <v>8</v>
      </c>
      <c r="M5207" t="s">
        <v>5330</v>
      </c>
    </row>
    <row r="5208" spans="1:13" ht="15" customHeight="1">
      <c r="A5208" s="10">
        <v>46186</v>
      </c>
      <c r="B5208" t="s">
        <v>201</v>
      </c>
      <c r="C5208" s="135" t="s">
        <v>58</v>
      </c>
      <c r="D5208">
        <v>8</v>
      </c>
      <c r="E5208">
        <v>0</v>
      </c>
      <c r="F5208">
        <v>5</v>
      </c>
      <c r="H5208">
        <v>2</v>
      </c>
      <c r="I5208">
        <v>11</v>
      </c>
      <c r="M5208" t="s">
        <v>5331</v>
      </c>
    </row>
    <row r="5209" spans="1:13" ht="15" customHeight="1">
      <c r="A5209" s="10">
        <v>46186</v>
      </c>
      <c r="B5209" t="s">
        <v>201</v>
      </c>
      <c r="C5209" s="135" t="s">
        <v>60</v>
      </c>
      <c r="D5209">
        <v>12</v>
      </c>
      <c r="E5209">
        <v>0</v>
      </c>
      <c r="F5209">
        <v>5</v>
      </c>
      <c r="H5209">
        <v>3</v>
      </c>
      <c r="I5209">
        <v>14</v>
      </c>
      <c r="M5209" t="s">
        <v>5332</v>
      </c>
    </row>
    <row r="5210" spans="1:13" ht="15" customHeight="1">
      <c r="A5210" s="10">
        <v>46186</v>
      </c>
      <c r="B5210" t="s">
        <v>201</v>
      </c>
      <c r="C5210" s="135" t="s">
        <v>61</v>
      </c>
      <c r="D5210">
        <v>5</v>
      </c>
      <c r="E5210">
        <v>0</v>
      </c>
      <c r="F5210">
        <v>5</v>
      </c>
      <c r="H5210">
        <v>4</v>
      </c>
      <c r="I5210">
        <v>6</v>
      </c>
      <c r="M5210" t="s">
        <v>5333</v>
      </c>
    </row>
    <row r="5211" spans="1:13" ht="15" customHeight="1">
      <c r="A5211" s="10">
        <v>46186</v>
      </c>
      <c r="B5211" t="s">
        <v>201</v>
      </c>
      <c r="C5211" s="135" t="s">
        <v>62</v>
      </c>
      <c r="D5211">
        <v>12</v>
      </c>
      <c r="E5211">
        <v>0</v>
      </c>
      <c r="H5211">
        <v>3</v>
      </c>
      <c r="I5211">
        <v>9</v>
      </c>
      <c r="M5211" t="s">
        <v>5334</v>
      </c>
    </row>
    <row r="5212" spans="1:13" ht="15" customHeight="1">
      <c r="A5212" s="10">
        <v>46186</v>
      </c>
      <c r="B5212" t="s">
        <v>201</v>
      </c>
      <c r="C5212" s="135" t="s">
        <v>63</v>
      </c>
      <c r="D5212">
        <v>14</v>
      </c>
      <c r="E5212">
        <v>0</v>
      </c>
      <c r="H5212">
        <v>1</v>
      </c>
      <c r="I5212">
        <v>13</v>
      </c>
      <c r="M5212" t="s">
        <v>5335</v>
      </c>
    </row>
    <row r="5213" spans="1:13" ht="15" customHeight="1">
      <c r="A5213" s="10">
        <v>46186</v>
      </c>
      <c r="B5213" t="s">
        <v>201</v>
      </c>
      <c r="C5213" s="135" t="s">
        <v>64</v>
      </c>
      <c r="D5213">
        <v>9</v>
      </c>
      <c r="E5213">
        <v>0</v>
      </c>
      <c r="I5213">
        <v>9</v>
      </c>
      <c r="M5213" t="s">
        <v>5336</v>
      </c>
    </row>
    <row r="5214" spans="1:13" ht="15" customHeight="1">
      <c r="A5214" s="10">
        <v>46186</v>
      </c>
      <c r="B5214" t="s">
        <v>201</v>
      </c>
      <c r="C5214" t="s">
        <v>66</v>
      </c>
      <c r="D5214">
        <v>4</v>
      </c>
      <c r="E5214">
        <v>0</v>
      </c>
      <c r="I5214">
        <v>4</v>
      </c>
      <c r="M5214" t="s">
        <v>5337</v>
      </c>
    </row>
    <row r="5215" spans="1:13" ht="15" customHeight="1">
      <c r="A5215" s="10">
        <v>46186</v>
      </c>
      <c r="B5215" t="s">
        <v>201</v>
      </c>
      <c r="C5215" t="s">
        <v>67</v>
      </c>
      <c r="D5215">
        <v>6</v>
      </c>
      <c r="E5215">
        <v>0</v>
      </c>
      <c r="H5215">
        <v>1</v>
      </c>
      <c r="I5215">
        <v>5</v>
      </c>
      <c r="M5215" t="s">
        <v>5338</v>
      </c>
    </row>
    <row r="5216" spans="1:13" ht="15" customHeight="1">
      <c r="A5216" s="10">
        <v>46186</v>
      </c>
      <c r="B5216" t="s">
        <v>201</v>
      </c>
      <c r="C5216" t="s">
        <v>68</v>
      </c>
      <c r="D5216">
        <v>0</v>
      </c>
      <c r="E5216">
        <v>0</v>
      </c>
      <c r="F5216">
        <v>5</v>
      </c>
      <c r="I5216">
        <v>5</v>
      </c>
      <c r="M5216" t="s">
        <v>5339</v>
      </c>
    </row>
    <row r="5217" spans="1:13" ht="15" customHeight="1">
      <c r="A5217" s="10">
        <v>46186</v>
      </c>
      <c r="B5217" t="s">
        <v>201</v>
      </c>
      <c r="C5217" t="s">
        <v>71</v>
      </c>
      <c r="D5217">
        <v>2</v>
      </c>
      <c r="E5217">
        <v>200</v>
      </c>
      <c r="I5217">
        <v>1</v>
      </c>
      <c r="J5217">
        <v>708</v>
      </c>
      <c r="M5217" t="s">
        <v>5340</v>
      </c>
    </row>
    <row r="5218" spans="1:13" ht="15" customHeight="1">
      <c r="A5218" s="10">
        <v>46186</v>
      </c>
      <c r="B5218" t="s">
        <v>201</v>
      </c>
      <c r="C5218" t="s">
        <v>73</v>
      </c>
      <c r="D5218">
        <v>2</v>
      </c>
      <c r="E5218">
        <v>310</v>
      </c>
      <c r="I5218">
        <v>2</v>
      </c>
      <c r="J5218">
        <v>297</v>
      </c>
      <c r="M5218" t="s">
        <v>5341</v>
      </c>
    </row>
    <row r="5219" spans="1:13" ht="15" customHeight="1">
      <c r="A5219" s="10">
        <v>46186</v>
      </c>
      <c r="B5219" t="s">
        <v>201</v>
      </c>
      <c r="C5219" t="s">
        <v>75</v>
      </c>
      <c r="D5219">
        <v>0</v>
      </c>
      <c r="E5219">
        <v>193</v>
      </c>
      <c r="I5219">
        <v>0</v>
      </c>
      <c r="J5219">
        <v>182</v>
      </c>
      <c r="M5219" t="s">
        <v>5342</v>
      </c>
    </row>
    <row r="5220" spans="1:13" ht="15" customHeight="1">
      <c r="A5220" s="10">
        <v>46186</v>
      </c>
      <c r="B5220" t="s">
        <v>201</v>
      </c>
      <c r="C5220" t="s">
        <v>77</v>
      </c>
      <c r="D5220">
        <v>0</v>
      </c>
      <c r="E5220">
        <v>492</v>
      </c>
      <c r="I5220">
        <v>0</v>
      </c>
      <c r="J5220">
        <v>492</v>
      </c>
      <c r="M5220" t="s">
        <v>5343</v>
      </c>
    </row>
    <row r="5221" spans="1:13" ht="15" customHeight="1">
      <c r="A5221" s="10">
        <v>46186</v>
      </c>
      <c r="B5221" t="s">
        <v>201</v>
      </c>
      <c r="C5221" t="s">
        <v>79</v>
      </c>
      <c r="D5221">
        <v>2</v>
      </c>
      <c r="E5221">
        <v>1356</v>
      </c>
      <c r="I5221">
        <v>1</v>
      </c>
      <c r="J5221">
        <v>1234</v>
      </c>
      <c r="M5221" t="s">
        <v>5344</v>
      </c>
    </row>
    <row r="5222" spans="1:13" ht="15" customHeight="1">
      <c r="A5222" s="10">
        <v>46186</v>
      </c>
      <c r="B5222" t="s">
        <v>201</v>
      </c>
      <c r="C5222" t="s">
        <v>81</v>
      </c>
      <c r="D5222">
        <v>1</v>
      </c>
      <c r="E5222">
        <v>446</v>
      </c>
      <c r="I5222">
        <v>1</v>
      </c>
      <c r="J5222">
        <v>446</v>
      </c>
      <c r="M5222" t="s">
        <v>5345</v>
      </c>
    </row>
    <row r="5223" spans="1:13" ht="15" customHeight="1">
      <c r="A5223" s="10">
        <v>46186</v>
      </c>
      <c r="B5223" t="s">
        <v>201</v>
      </c>
      <c r="C5223" t="s">
        <v>83</v>
      </c>
      <c r="D5223">
        <v>1</v>
      </c>
      <c r="E5223">
        <v>74</v>
      </c>
      <c r="I5223">
        <v>1</v>
      </c>
      <c r="J5223">
        <v>74</v>
      </c>
      <c r="M5223" t="s">
        <v>5346</v>
      </c>
    </row>
    <row r="5224" spans="1:13" ht="15" customHeight="1">
      <c r="A5224" s="10">
        <v>46186</v>
      </c>
      <c r="B5224" t="s">
        <v>201</v>
      </c>
      <c r="C5224" t="s">
        <v>84</v>
      </c>
      <c r="D5224">
        <v>1</v>
      </c>
      <c r="E5224">
        <v>358</v>
      </c>
      <c r="I5224">
        <v>1</v>
      </c>
      <c r="J5224">
        <v>358</v>
      </c>
      <c r="M5224" t="s">
        <v>5347</v>
      </c>
    </row>
    <row r="5225" spans="1:13" ht="15" customHeight="1">
      <c r="A5225" s="10">
        <v>46186</v>
      </c>
      <c r="B5225" t="s">
        <v>201</v>
      </c>
      <c r="C5225" t="s">
        <v>85</v>
      </c>
      <c r="D5225">
        <v>0</v>
      </c>
      <c r="E5225">
        <v>214</v>
      </c>
      <c r="I5225">
        <v>0</v>
      </c>
      <c r="J5225">
        <v>214</v>
      </c>
      <c r="M5225" t="s">
        <v>5348</v>
      </c>
    </row>
    <row r="5226" spans="1:13" ht="15" customHeight="1">
      <c r="A5226" s="10">
        <v>46186</v>
      </c>
      <c r="B5226" t="s">
        <v>201</v>
      </c>
      <c r="C5226" t="s">
        <v>87</v>
      </c>
      <c r="D5226">
        <v>1</v>
      </c>
      <c r="E5226">
        <v>313</v>
      </c>
      <c r="F5226">
        <v>1</v>
      </c>
      <c r="I5226">
        <v>2</v>
      </c>
      <c r="J5226">
        <v>310</v>
      </c>
      <c r="M5226" t="s">
        <v>5349</v>
      </c>
    </row>
    <row r="5227" spans="1:13" ht="15" customHeight="1">
      <c r="A5227" s="10">
        <v>46186</v>
      </c>
      <c r="B5227" t="s">
        <v>201</v>
      </c>
      <c r="C5227" t="s">
        <v>88</v>
      </c>
      <c r="D5227">
        <v>1</v>
      </c>
      <c r="E5227">
        <v>312</v>
      </c>
      <c r="I5227">
        <v>1</v>
      </c>
      <c r="J5227">
        <v>310</v>
      </c>
      <c r="M5227" t="s">
        <v>5350</v>
      </c>
    </row>
    <row r="5228" spans="1:13" ht="15" customHeight="1">
      <c r="A5228" s="10">
        <v>46186</v>
      </c>
      <c r="B5228" t="s">
        <v>201</v>
      </c>
      <c r="C5228" t="s">
        <v>89</v>
      </c>
      <c r="D5228">
        <v>1</v>
      </c>
      <c r="E5228">
        <v>308</v>
      </c>
      <c r="I5228">
        <v>1</v>
      </c>
      <c r="J5228">
        <v>306</v>
      </c>
      <c r="M5228" t="s">
        <v>5351</v>
      </c>
    </row>
    <row r="5229" spans="1:13" ht="15" customHeight="1">
      <c r="A5229" s="10">
        <v>46186</v>
      </c>
      <c r="B5229" t="s">
        <v>201</v>
      </c>
      <c r="C5229" t="s">
        <v>90</v>
      </c>
      <c r="D5229">
        <v>0</v>
      </c>
      <c r="E5229">
        <v>1099</v>
      </c>
      <c r="F5229">
        <v>1</v>
      </c>
      <c r="I5229">
        <v>1</v>
      </c>
      <c r="J5229">
        <v>1013</v>
      </c>
      <c r="M5229" t="s">
        <v>5352</v>
      </c>
    </row>
    <row r="5230" spans="1:13" ht="15" customHeight="1">
      <c r="A5230" s="10">
        <v>46186</v>
      </c>
      <c r="B5230" t="s">
        <v>201</v>
      </c>
      <c r="C5230" t="s">
        <v>92</v>
      </c>
      <c r="D5230">
        <v>0</v>
      </c>
      <c r="E5230">
        <v>1099</v>
      </c>
      <c r="F5230">
        <v>1</v>
      </c>
      <c r="I5230">
        <v>1</v>
      </c>
      <c r="J5230">
        <v>1125</v>
      </c>
      <c r="M5230" t="s">
        <v>5353</v>
      </c>
    </row>
    <row r="5231" spans="1:13" ht="15" customHeight="1">
      <c r="A5231" s="10">
        <v>46186</v>
      </c>
      <c r="B5231" t="s">
        <v>201</v>
      </c>
      <c r="C5231" t="s">
        <v>94</v>
      </c>
      <c r="D5231">
        <v>0</v>
      </c>
      <c r="E5231">
        <v>768</v>
      </c>
      <c r="F5231">
        <v>3</v>
      </c>
      <c r="I5231">
        <v>3</v>
      </c>
      <c r="J5231">
        <v>519</v>
      </c>
      <c r="M5231" t="s">
        <v>5354</v>
      </c>
    </row>
    <row r="5232" spans="1:13" ht="15" customHeight="1">
      <c r="A5232" s="10">
        <v>46186</v>
      </c>
      <c r="B5232" t="s">
        <v>201</v>
      </c>
      <c r="C5232" t="s">
        <v>96</v>
      </c>
      <c r="D5232">
        <v>0</v>
      </c>
      <c r="E5232">
        <v>0</v>
      </c>
      <c r="I5232">
        <v>0</v>
      </c>
      <c r="J5232">
        <v>0</v>
      </c>
      <c r="M5232" t="s">
        <v>5355</v>
      </c>
    </row>
    <row r="5233" spans="1:13" ht="15" customHeight="1">
      <c r="A5233" s="10">
        <v>46186</v>
      </c>
      <c r="B5233" t="s">
        <v>201</v>
      </c>
      <c r="C5233" t="s">
        <v>98</v>
      </c>
      <c r="D5233">
        <v>2</v>
      </c>
      <c r="E5233">
        <v>86</v>
      </c>
      <c r="I5233">
        <v>2</v>
      </c>
      <c r="J5233">
        <v>558</v>
      </c>
      <c r="M5233" t="s">
        <v>5356</v>
      </c>
    </row>
    <row r="5234" spans="1:13" ht="15" customHeight="1">
      <c r="A5234" s="10">
        <v>46186</v>
      </c>
      <c r="B5234" t="s">
        <v>201</v>
      </c>
      <c r="C5234" t="s">
        <v>203</v>
      </c>
      <c r="D5234">
        <v>2</v>
      </c>
      <c r="E5234">
        <v>0</v>
      </c>
      <c r="I5234">
        <v>0</v>
      </c>
      <c r="J5234">
        <v>0</v>
      </c>
      <c r="M5234" t="s">
        <v>5357</v>
      </c>
    </row>
    <row r="5235" spans="1:13" ht="15" customHeight="1">
      <c r="A5235" s="10">
        <v>46186</v>
      </c>
      <c r="B5235" t="s">
        <v>201</v>
      </c>
      <c r="C5235" t="s">
        <v>100</v>
      </c>
      <c r="D5235">
        <v>0</v>
      </c>
      <c r="E5235">
        <v>0</v>
      </c>
      <c r="I5235">
        <v>0</v>
      </c>
      <c r="J5235">
        <v>0</v>
      </c>
      <c r="M5235" t="s">
        <v>5358</v>
      </c>
    </row>
    <row r="5236" spans="1:13" ht="15" customHeight="1">
      <c r="A5236" s="10">
        <v>46186</v>
      </c>
      <c r="B5236" t="s">
        <v>201</v>
      </c>
      <c r="C5236" t="s">
        <v>101</v>
      </c>
      <c r="D5236">
        <v>1</v>
      </c>
      <c r="E5236">
        <v>333</v>
      </c>
      <c r="I5236">
        <v>1</v>
      </c>
      <c r="J5236">
        <v>282</v>
      </c>
      <c r="M5236" t="s">
        <v>5359</v>
      </c>
    </row>
    <row r="5237" spans="1:13" ht="15" customHeight="1">
      <c r="A5237" s="10">
        <v>46186</v>
      </c>
      <c r="B5237" t="s">
        <v>201</v>
      </c>
      <c r="C5237" t="s">
        <v>103</v>
      </c>
      <c r="D5237">
        <v>0</v>
      </c>
      <c r="E5237">
        <v>6</v>
      </c>
      <c r="I5237">
        <v>0</v>
      </c>
      <c r="J5237">
        <v>5</v>
      </c>
      <c r="M5237" t="s">
        <v>5360</v>
      </c>
    </row>
    <row r="5238" spans="1:13" ht="15" customHeight="1">
      <c r="A5238" s="10">
        <v>46186</v>
      </c>
      <c r="B5238" t="s">
        <v>201</v>
      </c>
      <c r="C5238" t="s">
        <v>106</v>
      </c>
      <c r="D5238">
        <v>0</v>
      </c>
      <c r="E5238">
        <v>853</v>
      </c>
      <c r="F5238">
        <v>1</v>
      </c>
      <c r="I5238">
        <v>1</v>
      </c>
      <c r="J5238">
        <v>792</v>
      </c>
      <c r="M5238" t="s">
        <v>5361</v>
      </c>
    </row>
    <row r="5239" spans="1:13" ht="15" customHeight="1">
      <c r="A5239" s="10">
        <v>46186</v>
      </c>
      <c r="B5239" t="s">
        <v>201</v>
      </c>
      <c r="C5239" t="s">
        <v>108</v>
      </c>
      <c r="D5239">
        <v>0</v>
      </c>
      <c r="E5239">
        <v>1504</v>
      </c>
      <c r="F5239">
        <v>1</v>
      </c>
      <c r="I5239">
        <v>1</v>
      </c>
      <c r="J5239">
        <v>1460</v>
      </c>
      <c r="M5239" t="s">
        <v>5362</v>
      </c>
    </row>
    <row r="5240" spans="1:13" ht="15" customHeight="1">
      <c r="A5240" s="10">
        <v>46186</v>
      </c>
      <c r="B5240" t="s">
        <v>201</v>
      </c>
      <c r="C5240" t="s">
        <v>109</v>
      </c>
      <c r="D5240">
        <v>1</v>
      </c>
      <c r="E5240">
        <v>583</v>
      </c>
      <c r="I5240">
        <v>1</v>
      </c>
      <c r="J5240">
        <v>528</v>
      </c>
      <c r="M5240" t="s">
        <v>5363</v>
      </c>
    </row>
    <row r="5241" spans="1:13" ht="15" customHeight="1">
      <c r="A5241" s="10">
        <v>46186</v>
      </c>
      <c r="B5241" t="s">
        <v>201</v>
      </c>
      <c r="C5241" t="s">
        <v>112</v>
      </c>
      <c r="D5241">
        <v>0</v>
      </c>
      <c r="E5241">
        <v>53</v>
      </c>
      <c r="I5241">
        <v>0</v>
      </c>
      <c r="J5241">
        <v>50</v>
      </c>
      <c r="M5241" t="s">
        <v>5364</v>
      </c>
    </row>
    <row r="5242" spans="1:13" ht="15" customHeight="1">
      <c r="A5242" s="10">
        <v>46186</v>
      </c>
      <c r="B5242" t="s">
        <v>201</v>
      </c>
      <c r="C5242" t="s">
        <v>114</v>
      </c>
      <c r="D5242">
        <v>2</v>
      </c>
      <c r="E5242">
        <v>39</v>
      </c>
      <c r="F5242">
        <v>1</v>
      </c>
      <c r="I5242">
        <v>3</v>
      </c>
      <c r="J5242">
        <v>23</v>
      </c>
      <c r="M5242" t="s">
        <v>5365</v>
      </c>
    </row>
    <row r="5243" spans="1:13" ht="15" customHeight="1">
      <c r="A5243" s="10">
        <v>46186</v>
      </c>
      <c r="B5243" t="s">
        <v>201</v>
      </c>
      <c r="C5243" t="s">
        <v>115</v>
      </c>
      <c r="D5243">
        <v>1</v>
      </c>
      <c r="E5243">
        <v>16</v>
      </c>
      <c r="I5243">
        <v>1</v>
      </c>
      <c r="J5243">
        <v>11</v>
      </c>
      <c r="M5243" t="s">
        <v>5366</v>
      </c>
    </row>
    <row r="5244" spans="1:13" ht="15" customHeight="1">
      <c r="A5244" s="10">
        <v>46186</v>
      </c>
      <c r="B5244" t="s">
        <v>201</v>
      </c>
      <c r="C5244" t="s">
        <v>116</v>
      </c>
      <c r="D5244">
        <v>2</v>
      </c>
      <c r="E5244">
        <v>35</v>
      </c>
      <c r="F5244">
        <v>1</v>
      </c>
      <c r="I5244">
        <v>3</v>
      </c>
      <c r="J5244">
        <v>25</v>
      </c>
      <c r="M5244" t="s">
        <v>5367</v>
      </c>
    </row>
    <row r="5245" spans="1:13" ht="15" customHeight="1">
      <c r="A5245" s="10">
        <v>46186</v>
      </c>
      <c r="B5245" t="s">
        <v>201</v>
      </c>
      <c r="C5245" t="s">
        <v>119</v>
      </c>
      <c r="D5245">
        <v>2</v>
      </c>
      <c r="E5245">
        <v>0</v>
      </c>
      <c r="I5245">
        <v>2</v>
      </c>
      <c r="M5245" t="s">
        <v>5368</v>
      </c>
    </row>
    <row r="5246" spans="1:13" ht="15" customHeight="1">
      <c r="A5246" s="10">
        <v>46186</v>
      </c>
      <c r="B5246" t="s">
        <v>201</v>
      </c>
      <c r="C5246" t="s">
        <v>120</v>
      </c>
      <c r="D5246">
        <v>1</v>
      </c>
      <c r="E5246">
        <v>0</v>
      </c>
      <c r="F5246">
        <v>1</v>
      </c>
      <c r="I5246">
        <v>2</v>
      </c>
      <c r="M5246" t="s">
        <v>5369</v>
      </c>
    </row>
    <row r="5247" spans="1:13" ht="15" customHeight="1">
      <c r="A5247" s="10">
        <v>46186</v>
      </c>
      <c r="B5247" t="s">
        <v>201</v>
      </c>
      <c r="C5247" t="s">
        <v>121</v>
      </c>
      <c r="D5247">
        <v>2</v>
      </c>
      <c r="E5247">
        <v>0</v>
      </c>
      <c r="I5247">
        <v>2</v>
      </c>
      <c r="M5247" t="s">
        <v>5370</v>
      </c>
    </row>
    <row r="5248" spans="1:13" ht="15" customHeight="1">
      <c r="A5248" s="10">
        <v>46186</v>
      </c>
      <c r="B5248" t="s">
        <v>201</v>
      </c>
      <c r="C5248" t="s">
        <v>123</v>
      </c>
      <c r="D5248">
        <v>2</v>
      </c>
      <c r="E5248">
        <v>0</v>
      </c>
      <c r="I5248">
        <v>2</v>
      </c>
      <c r="M5248" t="s">
        <v>5371</v>
      </c>
    </row>
    <row r="5249" spans="1:13" ht="15" customHeight="1">
      <c r="A5249" s="10">
        <v>46186</v>
      </c>
      <c r="B5249" t="s">
        <v>201</v>
      </c>
      <c r="C5249" t="s">
        <v>124</v>
      </c>
      <c r="D5249">
        <v>1</v>
      </c>
      <c r="E5249">
        <v>0</v>
      </c>
      <c r="I5249">
        <v>1</v>
      </c>
      <c r="M5249" t="s">
        <v>5372</v>
      </c>
    </row>
    <row r="5250" spans="1:13" ht="15" customHeight="1">
      <c r="A5250" s="10">
        <v>46186</v>
      </c>
      <c r="B5250" t="s">
        <v>201</v>
      </c>
      <c r="C5250" t="s">
        <v>125</v>
      </c>
      <c r="D5250">
        <v>1</v>
      </c>
      <c r="E5250">
        <v>0</v>
      </c>
      <c r="I5250">
        <v>1</v>
      </c>
      <c r="M5250" t="s">
        <v>5373</v>
      </c>
    </row>
    <row r="5251" spans="1:13" ht="15" customHeight="1">
      <c r="A5251" s="10">
        <v>46186</v>
      </c>
      <c r="B5251" t="s">
        <v>201</v>
      </c>
      <c r="C5251" t="s">
        <v>126</v>
      </c>
      <c r="D5251">
        <v>1</v>
      </c>
      <c r="E5251">
        <v>0</v>
      </c>
      <c r="I5251">
        <v>1</v>
      </c>
      <c r="M5251" t="s">
        <v>5374</v>
      </c>
    </row>
    <row r="5252" spans="1:13" ht="15" customHeight="1">
      <c r="A5252" s="10">
        <v>46186</v>
      </c>
      <c r="B5252" t="s">
        <v>201</v>
      </c>
      <c r="C5252" t="s">
        <v>128</v>
      </c>
      <c r="D5252">
        <v>2</v>
      </c>
      <c r="E5252">
        <v>0</v>
      </c>
      <c r="I5252">
        <v>2</v>
      </c>
      <c r="M5252" t="s">
        <v>5375</v>
      </c>
    </row>
    <row r="5253" spans="1:13" ht="15" customHeight="1">
      <c r="A5253" s="10">
        <v>46186</v>
      </c>
      <c r="B5253" t="s">
        <v>201</v>
      </c>
      <c r="C5253" t="s">
        <v>130</v>
      </c>
      <c r="D5253">
        <v>3</v>
      </c>
      <c r="E5253">
        <v>0</v>
      </c>
      <c r="F5253">
        <v>2</v>
      </c>
      <c r="I5253">
        <v>5</v>
      </c>
      <c r="M5253" t="s">
        <v>5376</v>
      </c>
    </row>
    <row r="5254" spans="1:13" ht="15" customHeight="1">
      <c r="A5254" s="10">
        <v>46186</v>
      </c>
      <c r="B5254" t="s">
        <v>201</v>
      </c>
      <c r="C5254" t="s">
        <v>285</v>
      </c>
      <c r="D5254">
        <v>2</v>
      </c>
      <c r="E5254">
        <v>0</v>
      </c>
      <c r="I5254">
        <v>2</v>
      </c>
      <c r="M5254" t="s">
        <v>5377</v>
      </c>
    </row>
    <row r="5255" spans="1:13" ht="15" customHeight="1">
      <c r="A5255" s="10">
        <v>46186</v>
      </c>
      <c r="B5255" t="s">
        <v>201</v>
      </c>
      <c r="C5255" t="s">
        <v>287</v>
      </c>
      <c r="D5255">
        <v>2</v>
      </c>
      <c r="E5255">
        <v>0</v>
      </c>
      <c r="I5255">
        <v>2</v>
      </c>
      <c r="M5255" t="s">
        <v>5378</v>
      </c>
    </row>
    <row r="5256" spans="1:13" ht="15" customHeight="1">
      <c r="A5256" s="10">
        <v>46186</v>
      </c>
      <c r="B5256" t="s">
        <v>201</v>
      </c>
      <c r="C5256" t="s">
        <v>289</v>
      </c>
      <c r="D5256">
        <v>2</v>
      </c>
      <c r="E5256">
        <v>0</v>
      </c>
      <c r="I5256">
        <v>2</v>
      </c>
      <c r="M5256" t="s">
        <v>5379</v>
      </c>
    </row>
    <row r="5257" spans="1:13" ht="15" customHeight="1">
      <c r="A5257" s="10">
        <v>46186</v>
      </c>
      <c r="B5257" t="s">
        <v>201</v>
      </c>
      <c r="C5257" t="s">
        <v>291</v>
      </c>
      <c r="D5257">
        <v>2</v>
      </c>
      <c r="E5257">
        <v>0</v>
      </c>
      <c r="I5257">
        <v>2</v>
      </c>
      <c r="M5257" t="s">
        <v>5380</v>
      </c>
    </row>
    <row r="5258" spans="1:13" ht="15" customHeight="1">
      <c r="A5258" s="10">
        <v>46186</v>
      </c>
      <c r="B5258" t="s">
        <v>201</v>
      </c>
      <c r="C5258" t="s">
        <v>293</v>
      </c>
      <c r="D5258">
        <v>3</v>
      </c>
      <c r="E5258">
        <v>0</v>
      </c>
      <c r="I5258">
        <v>3</v>
      </c>
      <c r="M5258" t="s">
        <v>5381</v>
      </c>
    </row>
    <row r="5259" spans="1:13" ht="15" customHeight="1">
      <c r="A5259" s="10">
        <v>46186</v>
      </c>
      <c r="B5259" t="s">
        <v>201</v>
      </c>
      <c r="C5259" s="135" t="s">
        <v>138</v>
      </c>
      <c r="D5259">
        <v>0</v>
      </c>
      <c r="E5259">
        <v>37</v>
      </c>
      <c r="G5259">
        <v>30</v>
      </c>
      <c r="I5259">
        <v>0</v>
      </c>
      <c r="J5259">
        <v>66</v>
      </c>
      <c r="M5259" t="s">
        <v>5382</v>
      </c>
    </row>
    <row r="5260" spans="1:13" ht="15" customHeight="1">
      <c r="A5260" s="10">
        <v>46186</v>
      </c>
      <c r="B5260" t="s">
        <v>201</v>
      </c>
      <c r="C5260" s="135" t="s">
        <v>139</v>
      </c>
      <c r="D5260">
        <v>0</v>
      </c>
      <c r="E5260">
        <v>33</v>
      </c>
      <c r="I5260">
        <v>0</v>
      </c>
      <c r="J5260">
        <v>20</v>
      </c>
      <c r="M5260" t="s">
        <v>5383</v>
      </c>
    </row>
    <row r="5261" spans="1:13" ht="15" customHeight="1">
      <c r="A5261" s="10">
        <v>46186</v>
      </c>
      <c r="B5261" t="s">
        <v>201</v>
      </c>
      <c r="C5261" s="135" t="s">
        <v>140</v>
      </c>
      <c r="D5261">
        <v>0</v>
      </c>
      <c r="E5261">
        <v>33</v>
      </c>
      <c r="I5261">
        <v>0</v>
      </c>
      <c r="J5261">
        <v>32</v>
      </c>
      <c r="M5261" t="s">
        <v>5384</v>
      </c>
    </row>
    <row r="5262" spans="1:13" ht="15" customHeight="1">
      <c r="A5262" s="10">
        <v>46186</v>
      </c>
      <c r="B5262" t="s">
        <v>201</v>
      </c>
      <c r="C5262" s="135" t="s">
        <v>141</v>
      </c>
      <c r="D5262">
        <v>0</v>
      </c>
      <c r="E5262">
        <v>1</v>
      </c>
      <c r="I5262">
        <v>0</v>
      </c>
      <c r="J5262">
        <v>1</v>
      </c>
      <c r="M5262" t="s">
        <v>5385</v>
      </c>
    </row>
    <row r="5263" spans="1:13" ht="15" customHeight="1">
      <c r="A5263" s="10">
        <v>46186</v>
      </c>
      <c r="B5263" t="s">
        <v>201</v>
      </c>
      <c r="C5263" s="135" t="s">
        <v>143</v>
      </c>
      <c r="D5263">
        <v>0</v>
      </c>
      <c r="E5263">
        <v>49</v>
      </c>
      <c r="I5263">
        <v>0</v>
      </c>
      <c r="J5263">
        <v>46</v>
      </c>
      <c r="M5263" t="s">
        <v>5386</v>
      </c>
    </row>
    <row r="5264" spans="1:13" ht="15" customHeight="1">
      <c r="A5264" s="10">
        <v>46186</v>
      </c>
      <c r="B5264" t="s">
        <v>201</v>
      </c>
      <c r="C5264" s="135" t="s">
        <v>145</v>
      </c>
      <c r="D5264">
        <v>0</v>
      </c>
      <c r="E5264">
        <v>16</v>
      </c>
      <c r="I5264">
        <v>0</v>
      </c>
      <c r="J5264">
        <v>15</v>
      </c>
      <c r="M5264" t="s">
        <v>5387</v>
      </c>
    </row>
    <row r="5265" spans="1:13" ht="15" customHeight="1">
      <c r="A5265" s="10">
        <v>46186</v>
      </c>
      <c r="B5265" t="s">
        <v>201</v>
      </c>
      <c r="C5265" s="135" t="s">
        <v>147</v>
      </c>
      <c r="D5265">
        <v>0</v>
      </c>
      <c r="E5265">
        <v>33</v>
      </c>
      <c r="I5265">
        <v>0</v>
      </c>
      <c r="J5265">
        <v>32</v>
      </c>
      <c r="M5265" t="s">
        <v>5388</v>
      </c>
    </row>
    <row r="5266" spans="1:13" ht="15" customHeight="1">
      <c r="A5266" s="10">
        <v>46186</v>
      </c>
      <c r="B5266" t="s">
        <v>201</v>
      </c>
      <c r="C5266" t="s">
        <v>302</v>
      </c>
      <c r="D5266">
        <v>1</v>
      </c>
      <c r="E5266">
        <v>2</v>
      </c>
      <c r="I5266">
        <v>1</v>
      </c>
      <c r="M5266" t="s">
        <v>5389</v>
      </c>
    </row>
    <row r="5267" spans="1:13" ht="15" customHeight="1">
      <c r="A5267" s="10">
        <v>46186</v>
      </c>
      <c r="B5267" t="s">
        <v>201</v>
      </c>
      <c r="C5267" t="s">
        <v>150</v>
      </c>
      <c r="D5267">
        <v>2</v>
      </c>
      <c r="E5267">
        <v>0</v>
      </c>
      <c r="I5267">
        <v>3</v>
      </c>
      <c r="M5267" t="s">
        <v>5390</v>
      </c>
    </row>
    <row r="5268" spans="1:13" ht="15" customHeight="1">
      <c r="A5268" s="10">
        <v>46186</v>
      </c>
      <c r="B5268" t="s">
        <v>201</v>
      </c>
      <c r="C5268" t="s">
        <v>151</v>
      </c>
      <c r="D5268">
        <v>2</v>
      </c>
      <c r="E5268">
        <v>0</v>
      </c>
      <c r="I5268">
        <v>2</v>
      </c>
      <c r="M5268" t="s">
        <v>5391</v>
      </c>
    </row>
    <row r="5269" spans="1:13" ht="15" customHeight="1">
      <c r="A5269" s="10">
        <v>46186</v>
      </c>
      <c r="B5269" t="s">
        <v>201</v>
      </c>
      <c r="C5269" t="s">
        <v>152</v>
      </c>
      <c r="D5269">
        <v>2</v>
      </c>
      <c r="E5269">
        <v>0</v>
      </c>
      <c r="I5269">
        <v>1</v>
      </c>
      <c r="M5269" t="s">
        <v>5392</v>
      </c>
    </row>
    <row r="5270" spans="1:13" ht="15" customHeight="1">
      <c r="A5270" s="10">
        <v>46186</v>
      </c>
      <c r="B5270" t="s">
        <v>201</v>
      </c>
      <c r="C5270" t="s">
        <v>153</v>
      </c>
      <c r="D5270">
        <v>2</v>
      </c>
      <c r="E5270">
        <v>0</v>
      </c>
      <c r="F5270">
        <v>1</v>
      </c>
      <c r="I5270">
        <v>3</v>
      </c>
      <c r="M5270" t="s">
        <v>5393</v>
      </c>
    </row>
    <row r="5271" spans="1:13" ht="15" customHeight="1">
      <c r="A5271" s="10">
        <v>46186</v>
      </c>
      <c r="B5271" t="s">
        <v>201</v>
      </c>
      <c r="C5271" t="s">
        <v>308</v>
      </c>
      <c r="D5271">
        <v>0</v>
      </c>
      <c r="E5271">
        <v>3</v>
      </c>
      <c r="I5271">
        <v>0</v>
      </c>
      <c r="J5271">
        <v>3</v>
      </c>
      <c r="M5271" t="s">
        <v>5394</v>
      </c>
    </row>
    <row r="5272" spans="1:13" ht="15" customHeight="1">
      <c r="A5272" s="10">
        <v>46186</v>
      </c>
      <c r="B5272" t="s">
        <v>201</v>
      </c>
      <c r="C5272" t="s">
        <v>310</v>
      </c>
      <c r="D5272">
        <v>0</v>
      </c>
      <c r="E5272">
        <v>2</v>
      </c>
      <c r="I5272">
        <v>0</v>
      </c>
      <c r="J5272">
        <v>2</v>
      </c>
      <c r="M5272" t="s">
        <v>5395</v>
      </c>
    </row>
    <row r="5273" spans="1:13" ht="15" customHeight="1">
      <c r="A5273" s="10">
        <v>46186</v>
      </c>
      <c r="B5273" t="s">
        <v>201</v>
      </c>
      <c r="C5273" t="s">
        <v>312</v>
      </c>
      <c r="D5273">
        <v>0</v>
      </c>
      <c r="E5273">
        <v>4</v>
      </c>
      <c r="I5273">
        <v>0</v>
      </c>
      <c r="J5273">
        <v>4</v>
      </c>
      <c r="M5273" t="s">
        <v>5396</v>
      </c>
    </row>
    <row r="5274" spans="1:13" ht="15" customHeight="1">
      <c r="A5274" s="10">
        <v>46186</v>
      </c>
      <c r="B5274" t="s">
        <v>201</v>
      </c>
      <c r="C5274" t="s">
        <v>314</v>
      </c>
      <c r="D5274">
        <v>1</v>
      </c>
      <c r="E5274">
        <v>0</v>
      </c>
      <c r="I5274">
        <v>1</v>
      </c>
      <c r="M5274" t="s">
        <v>5397</v>
      </c>
    </row>
    <row r="5275" spans="1:13" ht="15" customHeight="1">
      <c r="A5275" s="10">
        <v>46186</v>
      </c>
      <c r="B5275" t="s">
        <v>201</v>
      </c>
      <c r="C5275" t="s">
        <v>316</v>
      </c>
      <c r="D5275">
        <v>0</v>
      </c>
      <c r="E5275">
        <v>0</v>
      </c>
      <c r="F5275">
        <v>1</v>
      </c>
      <c r="I5275">
        <v>1</v>
      </c>
      <c r="M5275" t="s">
        <v>5398</v>
      </c>
    </row>
    <row r="5276" spans="1:13" ht="15" customHeight="1">
      <c r="A5276" s="10">
        <v>46186</v>
      </c>
      <c r="B5276" t="s">
        <v>201</v>
      </c>
      <c r="C5276" t="s">
        <v>318</v>
      </c>
      <c r="D5276">
        <v>3</v>
      </c>
      <c r="E5276">
        <v>0</v>
      </c>
      <c r="F5276">
        <v>2</v>
      </c>
      <c r="I5276">
        <v>4</v>
      </c>
      <c r="M5276" t="s">
        <v>5399</v>
      </c>
    </row>
    <row r="5277" spans="1:13" ht="15" customHeight="1">
      <c r="A5277" s="10">
        <v>46186</v>
      </c>
      <c r="B5277" t="s">
        <v>201</v>
      </c>
      <c r="C5277" t="s">
        <v>320</v>
      </c>
      <c r="D5277">
        <v>2</v>
      </c>
      <c r="E5277">
        <v>0</v>
      </c>
      <c r="I5277">
        <v>2</v>
      </c>
      <c r="M5277" t="s">
        <v>5400</v>
      </c>
    </row>
    <row r="5278" spans="1:13" ht="15" customHeight="1">
      <c r="A5278" s="10">
        <v>46186</v>
      </c>
      <c r="B5278" t="s">
        <v>201</v>
      </c>
      <c r="C5278" t="s">
        <v>322</v>
      </c>
      <c r="D5278">
        <v>2</v>
      </c>
      <c r="E5278">
        <v>0</v>
      </c>
      <c r="I5278">
        <v>2</v>
      </c>
      <c r="M5278" t="s">
        <v>5401</v>
      </c>
    </row>
    <row r="5279" spans="1:13" ht="15" customHeight="1">
      <c r="A5279" s="10">
        <v>46186</v>
      </c>
      <c r="B5279" t="s">
        <v>201</v>
      </c>
      <c r="C5279" s="135" t="s">
        <v>168</v>
      </c>
      <c r="D5279">
        <v>1</v>
      </c>
      <c r="E5279">
        <v>0</v>
      </c>
      <c r="I5279">
        <v>0</v>
      </c>
      <c r="M5279" t="s">
        <v>5402</v>
      </c>
    </row>
    <row r="5280" spans="1:13" ht="15" customHeight="1">
      <c r="A5280" s="10">
        <v>46186</v>
      </c>
      <c r="B5280" t="s">
        <v>201</v>
      </c>
      <c r="C5280" s="135" t="s">
        <v>170</v>
      </c>
      <c r="D5280">
        <v>0</v>
      </c>
      <c r="E5280">
        <v>0</v>
      </c>
      <c r="I5280">
        <v>1</v>
      </c>
      <c r="M5280" t="s">
        <v>5403</v>
      </c>
    </row>
    <row r="5281" spans="1:13" ht="15" customHeight="1">
      <c r="A5281" s="10">
        <v>46186</v>
      </c>
      <c r="B5281" t="s">
        <v>201</v>
      </c>
      <c r="C5281" s="135" t="s">
        <v>171</v>
      </c>
      <c r="D5281">
        <v>3</v>
      </c>
      <c r="E5281">
        <v>0</v>
      </c>
      <c r="I5281">
        <v>2</v>
      </c>
      <c r="M5281" t="s">
        <v>5404</v>
      </c>
    </row>
    <row r="5282" spans="1:13" ht="15" customHeight="1">
      <c r="A5282" s="10">
        <v>46186</v>
      </c>
      <c r="B5282" t="s">
        <v>201</v>
      </c>
      <c r="C5282" s="135" t="s">
        <v>172</v>
      </c>
      <c r="D5282">
        <v>0</v>
      </c>
      <c r="E5282">
        <v>0</v>
      </c>
      <c r="I5282">
        <v>0</v>
      </c>
      <c r="M5282" t="s">
        <v>5405</v>
      </c>
    </row>
    <row r="5283" spans="1:13" ht="15" customHeight="1">
      <c r="A5283" s="10">
        <v>46186</v>
      </c>
      <c r="B5283" t="s">
        <v>201</v>
      </c>
      <c r="C5283" s="135" t="s">
        <v>173</v>
      </c>
      <c r="D5283">
        <v>0</v>
      </c>
      <c r="E5283">
        <v>0</v>
      </c>
      <c r="I5283">
        <v>0</v>
      </c>
      <c r="M5283" t="s">
        <v>5406</v>
      </c>
    </row>
    <row r="5284" spans="1:13" ht="15" customHeight="1">
      <c r="A5284" s="10">
        <v>46186</v>
      </c>
      <c r="B5284" t="s">
        <v>201</v>
      </c>
      <c r="C5284" t="s">
        <v>176</v>
      </c>
      <c r="D5284">
        <v>0</v>
      </c>
      <c r="E5284">
        <v>22</v>
      </c>
      <c r="I5284">
        <v>0</v>
      </c>
      <c r="J5284">
        <v>22</v>
      </c>
      <c r="M5284" t="s">
        <v>5407</v>
      </c>
    </row>
    <row r="5285" spans="1:13" ht="15" customHeight="1">
      <c r="A5285" s="10">
        <v>46186</v>
      </c>
      <c r="B5285" t="s">
        <v>201</v>
      </c>
      <c r="C5285" t="s">
        <v>178</v>
      </c>
      <c r="D5285">
        <v>0</v>
      </c>
      <c r="E5285">
        <v>26</v>
      </c>
      <c r="I5285">
        <v>0</v>
      </c>
      <c r="J5285">
        <v>26</v>
      </c>
      <c r="M5285" t="s">
        <v>5408</v>
      </c>
    </row>
    <row r="5286" spans="1:13" ht="15" customHeight="1">
      <c r="A5286" s="10">
        <v>46186</v>
      </c>
      <c r="B5286" t="s">
        <v>201</v>
      </c>
      <c r="C5286" t="s">
        <v>179</v>
      </c>
      <c r="D5286">
        <v>0</v>
      </c>
      <c r="E5286">
        <v>18</v>
      </c>
      <c r="I5286">
        <v>0</v>
      </c>
      <c r="J5286">
        <v>18</v>
      </c>
      <c r="M5286" t="s">
        <v>5409</v>
      </c>
    </row>
    <row r="5287" spans="1:13" ht="15" customHeight="1">
      <c r="A5287" s="10">
        <v>46186</v>
      </c>
      <c r="B5287" t="s">
        <v>201</v>
      </c>
      <c r="C5287" t="s">
        <v>180</v>
      </c>
      <c r="D5287">
        <v>0</v>
      </c>
      <c r="E5287">
        <v>23</v>
      </c>
      <c r="H5287">
        <v>1</v>
      </c>
      <c r="I5287">
        <v>0</v>
      </c>
      <c r="J5287">
        <v>22</v>
      </c>
      <c r="M5287" t="s">
        <v>5410</v>
      </c>
    </row>
    <row r="5288" spans="1:13" ht="15" customHeight="1">
      <c r="A5288" s="10">
        <v>46186</v>
      </c>
      <c r="B5288" t="s">
        <v>201</v>
      </c>
      <c r="C5288" s="135" t="s">
        <v>182</v>
      </c>
      <c r="D5288">
        <v>1</v>
      </c>
      <c r="E5288">
        <v>158</v>
      </c>
      <c r="I5288">
        <v>1</v>
      </c>
      <c r="J5288">
        <v>158</v>
      </c>
      <c r="M5288" t="s">
        <v>5411</v>
      </c>
    </row>
    <row r="5289" spans="1:13" ht="15" customHeight="1">
      <c r="A5289" s="10">
        <v>46186</v>
      </c>
      <c r="B5289" t="s">
        <v>201</v>
      </c>
      <c r="C5289" s="135" t="s">
        <v>184</v>
      </c>
      <c r="D5289">
        <v>1</v>
      </c>
      <c r="E5289">
        <v>45</v>
      </c>
      <c r="I5289">
        <v>1</v>
      </c>
      <c r="J5289">
        <v>40</v>
      </c>
      <c r="M5289" t="s">
        <v>5412</v>
      </c>
    </row>
    <row r="5290" spans="1:13" ht="15" customHeight="1">
      <c r="A5290" s="10">
        <v>46186</v>
      </c>
      <c r="B5290" t="s">
        <v>201</v>
      </c>
      <c r="C5290" s="135" t="s">
        <v>185</v>
      </c>
      <c r="D5290">
        <v>1</v>
      </c>
      <c r="E5290">
        <v>36</v>
      </c>
      <c r="I5290">
        <v>1</v>
      </c>
      <c r="J5290">
        <v>36</v>
      </c>
      <c r="M5290" t="s">
        <v>5413</v>
      </c>
    </row>
    <row r="5291" spans="1:13" ht="15" customHeight="1">
      <c r="A5291" s="10">
        <v>46186</v>
      </c>
      <c r="B5291" t="s">
        <v>201</v>
      </c>
      <c r="C5291" s="135" t="s">
        <v>186</v>
      </c>
      <c r="D5291">
        <v>1</v>
      </c>
      <c r="E5291">
        <v>600</v>
      </c>
      <c r="I5291">
        <v>1</v>
      </c>
      <c r="J5291">
        <v>600</v>
      </c>
      <c r="M5291" t="s">
        <v>5414</v>
      </c>
    </row>
    <row r="5292" spans="1:13" ht="15" customHeight="1">
      <c r="A5292" s="10">
        <v>46186</v>
      </c>
      <c r="B5292" t="s">
        <v>201</v>
      </c>
      <c r="C5292" t="s">
        <v>337</v>
      </c>
      <c r="D5292">
        <v>2</v>
      </c>
      <c r="E5292">
        <v>35</v>
      </c>
      <c r="I5292">
        <v>1</v>
      </c>
      <c r="J5292">
        <v>377</v>
      </c>
      <c r="M5292" t="s">
        <v>5415</v>
      </c>
    </row>
    <row r="5293" spans="1:13" ht="15" customHeight="1">
      <c r="A5293" s="10">
        <v>46186</v>
      </c>
      <c r="B5293" t="s">
        <v>201</v>
      </c>
      <c r="C5293" t="s">
        <v>339</v>
      </c>
      <c r="D5293">
        <v>0</v>
      </c>
      <c r="E5293">
        <v>0</v>
      </c>
      <c r="I5293">
        <v>0</v>
      </c>
      <c r="J5293">
        <v>0</v>
      </c>
      <c r="M5293" t="s">
        <v>5416</v>
      </c>
    </row>
    <row r="5294" spans="1:13" ht="15" customHeight="1">
      <c r="A5294" s="10">
        <v>46186</v>
      </c>
      <c r="B5294" t="s">
        <v>201</v>
      </c>
      <c r="C5294" s="135" t="s">
        <v>191</v>
      </c>
      <c r="D5294">
        <v>0</v>
      </c>
      <c r="E5294">
        <v>749</v>
      </c>
      <c r="I5294">
        <v>0</v>
      </c>
      <c r="J5294">
        <v>724</v>
      </c>
      <c r="M5294" t="s">
        <v>5417</v>
      </c>
    </row>
    <row r="5295" spans="1:13" ht="15" customHeight="1">
      <c r="A5295" s="10">
        <v>46186</v>
      </c>
      <c r="B5295" t="s">
        <v>201</v>
      </c>
      <c r="C5295" s="135" t="s">
        <v>193</v>
      </c>
      <c r="D5295">
        <v>0</v>
      </c>
      <c r="E5295">
        <v>461</v>
      </c>
      <c r="F5295">
        <v>1</v>
      </c>
      <c r="I5295">
        <v>1</v>
      </c>
      <c r="J5295">
        <v>441</v>
      </c>
      <c r="M5295" t="s">
        <v>5418</v>
      </c>
    </row>
    <row r="5296" spans="1:13" ht="15" customHeight="1">
      <c r="A5296" s="10">
        <v>46186</v>
      </c>
      <c r="B5296" t="s">
        <v>201</v>
      </c>
      <c r="C5296" s="135" t="s">
        <v>194</v>
      </c>
      <c r="D5296">
        <v>0</v>
      </c>
      <c r="E5296">
        <v>39</v>
      </c>
      <c r="I5296">
        <v>0</v>
      </c>
      <c r="J5296">
        <v>36</v>
      </c>
      <c r="M5296" t="s">
        <v>5419</v>
      </c>
    </row>
    <row r="5297" spans="1:13" ht="15" customHeight="1">
      <c r="A5297" s="10">
        <v>46186</v>
      </c>
      <c r="B5297" t="s">
        <v>201</v>
      </c>
      <c r="C5297" s="135" t="s">
        <v>196</v>
      </c>
      <c r="D5297">
        <v>0</v>
      </c>
      <c r="E5297">
        <v>630</v>
      </c>
      <c r="I5297">
        <v>0</v>
      </c>
      <c r="J5297">
        <v>600</v>
      </c>
      <c r="M5297" t="s">
        <v>5420</v>
      </c>
    </row>
    <row r="5298" spans="1:13" ht="15" customHeight="1">
      <c r="A5298" s="10">
        <v>46186</v>
      </c>
      <c r="B5298" t="s">
        <v>201</v>
      </c>
      <c r="C5298" s="135" t="s">
        <v>199</v>
      </c>
      <c r="D5298">
        <v>0</v>
      </c>
      <c r="E5298">
        <v>400</v>
      </c>
      <c r="I5298">
        <v>0</v>
      </c>
      <c r="J5298">
        <v>378</v>
      </c>
      <c r="M5298" t="s">
        <v>5421</v>
      </c>
    </row>
    <row r="5299" spans="1:13" ht="15" customHeight="1">
      <c r="A5299" s="10">
        <v>46186</v>
      </c>
      <c r="B5299" t="s">
        <v>201</v>
      </c>
      <c r="C5299" s="135" t="s">
        <v>200</v>
      </c>
      <c r="D5299">
        <v>0</v>
      </c>
      <c r="E5299">
        <v>1073</v>
      </c>
      <c r="I5299">
        <v>0</v>
      </c>
      <c r="J5299">
        <v>1058</v>
      </c>
      <c r="M5299" t="s">
        <v>5422</v>
      </c>
    </row>
    <row r="5300" spans="1:13" ht="15" customHeight="1">
      <c r="A5300" s="10">
        <v>46186</v>
      </c>
      <c r="B5300" t="s">
        <v>201</v>
      </c>
      <c r="C5300" s="135" t="s">
        <v>202</v>
      </c>
      <c r="D5300">
        <v>0</v>
      </c>
      <c r="E5300">
        <v>837</v>
      </c>
      <c r="I5300">
        <v>0</v>
      </c>
      <c r="J5300">
        <v>827</v>
      </c>
      <c r="M5300" t="s">
        <v>5423</v>
      </c>
    </row>
    <row r="5301" spans="1:13" ht="15" customHeight="1">
      <c r="A5301" s="10">
        <v>46187</v>
      </c>
      <c r="B5301" t="s">
        <v>201</v>
      </c>
      <c r="C5301" t="s">
        <v>23</v>
      </c>
      <c r="D5301">
        <v>7</v>
      </c>
      <c r="E5301">
        <v>1476</v>
      </c>
      <c r="I5301">
        <v>6</v>
      </c>
      <c r="J5301">
        <v>963</v>
      </c>
      <c r="M5301" t="s">
        <v>5424</v>
      </c>
    </row>
    <row r="5302" spans="1:13" ht="15" customHeight="1">
      <c r="A5302" s="10">
        <v>46187</v>
      </c>
      <c r="B5302" t="s">
        <v>201</v>
      </c>
      <c r="C5302" t="s">
        <v>26</v>
      </c>
      <c r="D5302">
        <v>1</v>
      </c>
      <c r="E5302">
        <v>574</v>
      </c>
      <c r="I5302">
        <v>1</v>
      </c>
      <c r="J5302">
        <v>221</v>
      </c>
      <c r="M5302" t="s">
        <v>5425</v>
      </c>
    </row>
    <row r="5303" spans="1:13" ht="15" customHeight="1">
      <c r="A5303" s="10">
        <v>46187</v>
      </c>
      <c r="B5303" t="s">
        <v>201</v>
      </c>
      <c r="C5303" t="s">
        <v>27</v>
      </c>
      <c r="D5303">
        <v>0</v>
      </c>
      <c r="E5303">
        <v>379</v>
      </c>
      <c r="I5303">
        <v>0</v>
      </c>
      <c r="J5303">
        <v>0</v>
      </c>
      <c r="M5303" t="s">
        <v>5426</v>
      </c>
    </row>
    <row r="5304" spans="1:13" ht="15" customHeight="1">
      <c r="A5304" s="10">
        <v>46187</v>
      </c>
      <c r="B5304" t="s">
        <v>201</v>
      </c>
      <c r="C5304" t="s">
        <v>28</v>
      </c>
      <c r="D5304">
        <v>0</v>
      </c>
      <c r="E5304">
        <v>0</v>
      </c>
      <c r="I5304">
        <v>0</v>
      </c>
      <c r="J5304">
        <v>0</v>
      </c>
      <c r="M5304" t="s">
        <v>5427</v>
      </c>
    </row>
    <row r="5305" spans="1:13" ht="15" customHeight="1">
      <c r="A5305" s="10">
        <v>46187</v>
      </c>
      <c r="B5305" t="s">
        <v>201</v>
      </c>
      <c r="C5305" t="s">
        <v>29</v>
      </c>
      <c r="D5305">
        <v>0</v>
      </c>
      <c r="E5305">
        <v>928</v>
      </c>
      <c r="I5305">
        <v>0</v>
      </c>
      <c r="J5305">
        <v>904</v>
      </c>
      <c r="M5305" t="s">
        <v>5428</v>
      </c>
    </row>
    <row r="5306" spans="1:13" ht="15" customHeight="1">
      <c r="A5306" s="10">
        <v>46187</v>
      </c>
      <c r="B5306" t="s">
        <v>201</v>
      </c>
      <c r="C5306" t="s">
        <v>30</v>
      </c>
      <c r="D5306">
        <v>2</v>
      </c>
      <c r="E5306">
        <v>588</v>
      </c>
      <c r="I5306">
        <v>2</v>
      </c>
      <c r="J5306">
        <v>401</v>
      </c>
      <c r="M5306" t="s">
        <v>5429</v>
      </c>
    </row>
    <row r="5307" spans="1:13" ht="15" customHeight="1">
      <c r="A5307" s="10">
        <v>46187</v>
      </c>
      <c r="B5307" t="s">
        <v>201</v>
      </c>
      <c r="C5307" t="s">
        <v>31</v>
      </c>
      <c r="D5307">
        <v>1</v>
      </c>
      <c r="E5307">
        <v>83</v>
      </c>
      <c r="I5307">
        <v>0</v>
      </c>
      <c r="J5307">
        <v>813</v>
      </c>
      <c r="M5307" t="s">
        <v>5430</v>
      </c>
    </row>
    <row r="5308" spans="1:13" ht="15" customHeight="1">
      <c r="A5308" s="10">
        <v>46187</v>
      </c>
      <c r="B5308" t="s">
        <v>201</v>
      </c>
      <c r="C5308" t="s">
        <v>32</v>
      </c>
      <c r="D5308">
        <v>2</v>
      </c>
      <c r="E5308">
        <v>0</v>
      </c>
      <c r="I5308">
        <v>2</v>
      </c>
      <c r="J5308">
        <v>0</v>
      </c>
      <c r="M5308" t="s">
        <v>5431</v>
      </c>
    </row>
    <row r="5309" spans="1:13" ht="15" customHeight="1">
      <c r="A5309" s="10">
        <v>46187</v>
      </c>
      <c r="B5309" t="s">
        <v>201</v>
      </c>
      <c r="C5309" t="s">
        <v>223</v>
      </c>
      <c r="D5309">
        <v>7</v>
      </c>
      <c r="E5309">
        <v>858</v>
      </c>
      <c r="I5309">
        <v>7</v>
      </c>
      <c r="J5309">
        <v>204</v>
      </c>
      <c r="M5309" t="s">
        <v>5432</v>
      </c>
    </row>
    <row r="5310" spans="1:13" ht="15" customHeight="1">
      <c r="A5310" s="10">
        <v>46187</v>
      </c>
      <c r="B5310" t="s">
        <v>201</v>
      </c>
      <c r="C5310" t="s">
        <v>35</v>
      </c>
      <c r="D5310">
        <v>12</v>
      </c>
      <c r="E5310">
        <v>0</v>
      </c>
      <c r="H5310">
        <v>2</v>
      </c>
      <c r="I5310">
        <v>10</v>
      </c>
      <c r="M5310" t="s">
        <v>5433</v>
      </c>
    </row>
    <row r="5311" spans="1:13" ht="15" customHeight="1">
      <c r="A5311" s="10">
        <v>46187</v>
      </c>
      <c r="B5311" t="s">
        <v>201</v>
      </c>
      <c r="C5311" t="s">
        <v>37</v>
      </c>
      <c r="D5311">
        <v>3</v>
      </c>
      <c r="E5311">
        <v>0</v>
      </c>
      <c r="H5311">
        <v>3</v>
      </c>
      <c r="I5311">
        <v>0</v>
      </c>
      <c r="M5311" t="s">
        <v>5434</v>
      </c>
    </row>
    <row r="5312" spans="1:13" ht="15" customHeight="1">
      <c r="A5312" s="10">
        <v>46187</v>
      </c>
      <c r="B5312" t="s">
        <v>201</v>
      </c>
      <c r="C5312" t="s">
        <v>39</v>
      </c>
      <c r="D5312">
        <v>6</v>
      </c>
      <c r="E5312">
        <v>0</v>
      </c>
      <c r="H5312">
        <v>1</v>
      </c>
      <c r="I5312">
        <v>5</v>
      </c>
      <c r="M5312" t="s">
        <v>5435</v>
      </c>
    </row>
    <row r="5313" spans="1:13" ht="15" customHeight="1">
      <c r="A5313" s="10">
        <v>46187</v>
      </c>
      <c r="B5313" t="s">
        <v>201</v>
      </c>
      <c r="C5313" t="s">
        <v>41</v>
      </c>
      <c r="D5313">
        <v>23</v>
      </c>
      <c r="E5313">
        <v>0</v>
      </c>
      <c r="H5313">
        <v>1</v>
      </c>
      <c r="I5313">
        <v>22</v>
      </c>
      <c r="M5313" t="s">
        <v>5436</v>
      </c>
    </row>
    <row r="5314" spans="1:13" ht="15" customHeight="1">
      <c r="A5314" s="10">
        <v>46187</v>
      </c>
      <c r="B5314" t="s">
        <v>201</v>
      </c>
      <c r="C5314" s="135" t="s">
        <v>44</v>
      </c>
      <c r="D5314">
        <v>6</v>
      </c>
      <c r="E5314">
        <v>8226</v>
      </c>
      <c r="I5314">
        <v>5</v>
      </c>
      <c r="J5314">
        <v>7237</v>
      </c>
      <c r="M5314" t="s">
        <v>5437</v>
      </c>
    </row>
    <row r="5315" spans="1:13" ht="15" customHeight="1">
      <c r="A5315" s="10">
        <v>46187</v>
      </c>
      <c r="B5315" t="s">
        <v>201</v>
      </c>
      <c r="C5315" t="s">
        <v>230</v>
      </c>
      <c r="D5315">
        <v>1</v>
      </c>
      <c r="E5315">
        <v>176</v>
      </c>
      <c r="I5315">
        <v>1</v>
      </c>
      <c r="J5315">
        <v>138</v>
      </c>
      <c r="M5315" t="s">
        <v>5438</v>
      </c>
    </row>
    <row r="5316" spans="1:13" ht="15" customHeight="1">
      <c r="A5316" s="10">
        <v>46187</v>
      </c>
      <c r="B5316" t="s">
        <v>201</v>
      </c>
      <c r="C5316" t="s">
        <v>232</v>
      </c>
      <c r="D5316">
        <v>12</v>
      </c>
      <c r="E5316">
        <v>0</v>
      </c>
      <c r="H5316">
        <v>1</v>
      </c>
      <c r="I5316">
        <v>11</v>
      </c>
      <c r="M5316" t="s">
        <v>5439</v>
      </c>
    </row>
    <row r="5317" spans="1:13" ht="15" customHeight="1">
      <c r="A5317" s="10">
        <v>46187</v>
      </c>
      <c r="B5317" t="s">
        <v>201</v>
      </c>
      <c r="C5317" t="s">
        <v>234</v>
      </c>
      <c r="D5317">
        <v>74</v>
      </c>
      <c r="E5317">
        <v>0</v>
      </c>
      <c r="H5317">
        <v>9</v>
      </c>
      <c r="I5317">
        <v>65</v>
      </c>
      <c r="M5317" t="s">
        <v>5440</v>
      </c>
    </row>
    <row r="5318" spans="1:13" ht="15" customHeight="1">
      <c r="A5318" s="10">
        <v>46187</v>
      </c>
      <c r="B5318" t="s">
        <v>201</v>
      </c>
      <c r="C5318" t="s">
        <v>54</v>
      </c>
      <c r="D5318">
        <v>0</v>
      </c>
      <c r="E5318">
        <v>0</v>
      </c>
      <c r="I5318">
        <v>0</v>
      </c>
      <c r="M5318" t="s">
        <v>5441</v>
      </c>
    </row>
    <row r="5319" spans="1:13" ht="15" customHeight="1">
      <c r="A5319" s="10">
        <v>46187</v>
      </c>
      <c r="B5319" t="s">
        <v>201</v>
      </c>
      <c r="C5319" t="s">
        <v>237</v>
      </c>
      <c r="D5319">
        <v>8</v>
      </c>
      <c r="E5319">
        <v>0</v>
      </c>
      <c r="I5319">
        <v>8</v>
      </c>
      <c r="M5319" t="s">
        <v>5442</v>
      </c>
    </row>
    <row r="5320" spans="1:13" ht="15" customHeight="1">
      <c r="A5320" s="10">
        <v>46187</v>
      </c>
      <c r="B5320" t="s">
        <v>201</v>
      </c>
      <c r="C5320" s="135" t="s">
        <v>58</v>
      </c>
      <c r="D5320">
        <v>11</v>
      </c>
      <c r="E5320">
        <v>0</v>
      </c>
      <c r="H5320">
        <v>3</v>
      </c>
      <c r="I5320">
        <v>8</v>
      </c>
      <c r="M5320" t="s">
        <v>5443</v>
      </c>
    </row>
    <row r="5321" spans="1:13" ht="15" customHeight="1">
      <c r="A5321" s="10">
        <v>46187</v>
      </c>
      <c r="B5321" t="s">
        <v>201</v>
      </c>
      <c r="C5321" s="135" t="s">
        <v>60</v>
      </c>
      <c r="D5321">
        <v>14</v>
      </c>
      <c r="E5321">
        <v>0</v>
      </c>
      <c r="H5321">
        <v>4</v>
      </c>
      <c r="I5321">
        <v>10</v>
      </c>
      <c r="M5321" t="s">
        <v>5444</v>
      </c>
    </row>
    <row r="5322" spans="1:13" ht="15" customHeight="1">
      <c r="A5322" s="10">
        <v>46187</v>
      </c>
      <c r="B5322" t="s">
        <v>201</v>
      </c>
      <c r="C5322" s="135" t="s">
        <v>61</v>
      </c>
      <c r="D5322">
        <v>6</v>
      </c>
      <c r="E5322">
        <v>0</v>
      </c>
      <c r="I5322">
        <v>6</v>
      </c>
      <c r="M5322" t="s">
        <v>5445</v>
      </c>
    </row>
    <row r="5323" spans="1:13" ht="15" customHeight="1">
      <c r="A5323" s="10">
        <v>46187</v>
      </c>
      <c r="B5323" t="s">
        <v>201</v>
      </c>
      <c r="C5323" s="135" t="s">
        <v>62</v>
      </c>
      <c r="D5323">
        <v>9</v>
      </c>
      <c r="E5323">
        <v>0</v>
      </c>
      <c r="H5323">
        <v>2</v>
      </c>
      <c r="I5323">
        <v>7</v>
      </c>
      <c r="M5323" t="s">
        <v>5446</v>
      </c>
    </row>
    <row r="5324" spans="1:13" ht="15" customHeight="1">
      <c r="A5324" s="10">
        <v>46187</v>
      </c>
      <c r="B5324" t="s">
        <v>201</v>
      </c>
      <c r="C5324" s="135" t="s">
        <v>63</v>
      </c>
      <c r="D5324">
        <v>13</v>
      </c>
      <c r="E5324">
        <v>0</v>
      </c>
      <c r="H5324">
        <v>1</v>
      </c>
      <c r="I5324">
        <v>12</v>
      </c>
      <c r="M5324" t="s">
        <v>5447</v>
      </c>
    </row>
    <row r="5325" spans="1:13" ht="15" customHeight="1">
      <c r="A5325" s="10">
        <v>46187</v>
      </c>
      <c r="B5325" t="s">
        <v>201</v>
      </c>
      <c r="C5325" s="135" t="s">
        <v>64</v>
      </c>
      <c r="D5325">
        <v>9</v>
      </c>
      <c r="E5325">
        <v>0</v>
      </c>
      <c r="H5325">
        <v>3</v>
      </c>
      <c r="I5325">
        <v>6</v>
      </c>
      <c r="M5325" t="s">
        <v>5448</v>
      </c>
    </row>
    <row r="5326" spans="1:13" ht="15" customHeight="1">
      <c r="A5326" s="10">
        <v>46187</v>
      </c>
      <c r="B5326" t="s">
        <v>201</v>
      </c>
      <c r="C5326" t="s">
        <v>66</v>
      </c>
      <c r="D5326">
        <v>4</v>
      </c>
      <c r="E5326">
        <v>0</v>
      </c>
      <c r="I5326">
        <v>4</v>
      </c>
      <c r="M5326" t="s">
        <v>5449</v>
      </c>
    </row>
    <row r="5327" spans="1:13" ht="15" customHeight="1">
      <c r="A5327" s="10">
        <v>46187</v>
      </c>
      <c r="B5327" t="s">
        <v>201</v>
      </c>
      <c r="C5327" t="s">
        <v>67</v>
      </c>
      <c r="D5327">
        <v>5</v>
      </c>
      <c r="E5327">
        <v>0</v>
      </c>
      <c r="I5327">
        <v>4</v>
      </c>
      <c r="M5327" t="s">
        <v>5450</v>
      </c>
    </row>
    <row r="5328" spans="1:13" ht="15" customHeight="1">
      <c r="A5328" s="10">
        <v>46187</v>
      </c>
      <c r="B5328" t="s">
        <v>201</v>
      </c>
      <c r="C5328" t="s">
        <v>68</v>
      </c>
      <c r="D5328">
        <v>5</v>
      </c>
      <c r="E5328">
        <v>0</v>
      </c>
      <c r="I5328">
        <v>5</v>
      </c>
      <c r="M5328" t="s">
        <v>5451</v>
      </c>
    </row>
    <row r="5329" spans="1:13" ht="15" customHeight="1">
      <c r="A5329" s="10">
        <v>46187</v>
      </c>
      <c r="B5329" t="s">
        <v>201</v>
      </c>
      <c r="C5329" t="s">
        <v>71</v>
      </c>
      <c r="D5329">
        <v>1</v>
      </c>
      <c r="E5329">
        <v>708</v>
      </c>
      <c r="I5329">
        <v>1</v>
      </c>
      <c r="J5329">
        <v>456</v>
      </c>
      <c r="M5329" t="s">
        <v>5452</v>
      </c>
    </row>
    <row r="5330" spans="1:13" ht="15" customHeight="1">
      <c r="A5330" s="10">
        <v>46187</v>
      </c>
      <c r="B5330" t="s">
        <v>201</v>
      </c>
      <c r="C5330" t="s">
        <v>73</v>
      </c>
      <c r="D5330">
        <v>2</v>
      </c>
      <c r="E5330">
        <v>297</v>
      </c>
      <c r="I5330">
        <v>2</v>
      </c>
      <c r="J5330">
        <v>262</v>
      </c>
      <c r="M5330" t="s">
        <v>5453</v>
      </c>
    </row>
    <row r="5331" spans="1:13" ht="15" customHeight="1">
      <c r="A5331" s="10">
        <v>46187</v>
      </c>
      <c r="B5331" t="s">
        <v>201</v>
      </c>
      <c r="C5331" t="s">
        <v>75</v>
      </c>
      <c r="D5331">
        <v>0</v>
      </c>
      <c r="E5331">
        <v>182</v>
      </c>
      <c r="I5331">
        <v>0</v>
      </c>
      <c r="J5331">
        <v>182</v>
      </c>
      <c r="M5331" t="s">
        <v>5454</v>
      </c>
    </row>
    <row r="5332" spans="1:13" ht="15" customHeight="1">
      <c r="A5332" s="10">
        <v>46187</v>
      </c>
      <c r="B5332" t="s">
        <v>201</v>
      </c>
      <c r="C5332" t="s">
        <v>77</v>
      </c>
      <c r="D5332">
        <v>0</v>
      </c>
      <c r="E5332">
        <v>492</v>
      </c>
      <c r="I5332">
        <v>0</v>
      </c>
      <c r="J5332">
        <v>436</v>
      </c>
      <c r="M5332" t="s">
        <v>5455</v>
      </c>
    </row>
    <row r="5333" spans="1:13" ht="15" customHeight="1">
      <c r="A5333" s="10">
        <v>46187</v>
      </c>
      <c r="B5333" t="s">
        <v>201</v>
      </c>
      <c r="C5333" t="s">
        <v>79</v>
      </c>
      <c r="D5333">
        <v>1</v>
      </c>
      <c r="E5333">
        <v>1234</v>
      </c>
      <c r="I5333">
        <v>1</v>
      </c>
      <c r="J5333">
        <v>1121</v>
      </c>
      <c r="M5333" t="s">
        <v>5456</v>
      </c>
    </row>
    <row r="5334" spans="1:13" ht="15" customHeight="1">
      <c r="A5334" s="10">
        <v>46187</v>
      </c>
      <c r="B5334" t="s">
        <v>201</v>
      </c>
      <c r="C5334" t="s">
        <v>81</v>
      </c>
      <c r="D5334">
        <v>1</v>
      </c>
      <c r="E5334">
        <v>446</v>
      </c>
      <c r="I5334">
        <v>1</v>
      </c>
      <c r="J5334">
        <v>446</v>
      </c>
      <c r="M5334" t="s">
        <v>5457</v>
      </c>
    </row>
    <row r="5335" spans="1:13" ht="15" customHeight="1">
      <c r="A5335" s="10">
        <v>46187</v>
      </c>
      <c r="B5335" t="s">
        <v>201</v>
      </c>
      <c r="C5335" t="s">
        <v>83</v>
      </c>
      <c r="D5335">
        <v>1</v>
      </c>
      <c r="E5335">
        <v>74</v>
      </c>
      <c r="I5335">
        <v>1</v>
      </c>
      <c r="J5335">
        <v>74</v>
      </c>
      <c r="M5335" t="s">
        <v>5458</v>
      </c>
    </row>
    <row r="5336" spans="1:13" ht="15" customHeight="1">
      <c r="A5336" s="10">
        <v>46187</v>
      </c>
      <c r="B5336" t="s">
        <v>201</v>
      </c>
      <c r="C5336" t="s">
        <v>84</v>
      </c>
      <c r="D5336">
        <v>1</v>
      </c>
      <c r="E5336">
        <v>358</v>
      </c>
      <c r="I5336">
        <v>1</v>
      </c>
      <c r="J5336">
        <v>358</v>
      </c>
      <c r="M5336" t="s">
        <v>5459</v>
      </c>
    </row>
    <row r="5337" spans="1:13" ht="15" customHeight="1">
      <c r="A5337" s="10">
        <v>46187</v>
      </c>
      <c r="B5337" t="s">
        <v>201</v>
      </c>
      <c r="C5337" t="s">
        <v>85</v>
      </c>
      <c r="D5337">
        <v>0</v>
      </c>
      <c r="E5337">
        <v>214</v>
      </c>
      <c r="I5337">
        <v>0</v>
      </c>
      <c r="J5337">
        <v>214</v>
      </c>
      <c r="M5337" t="s">
        <v>5460</v>
      </c>
    </row>
    <row r="5338" spans="1:13" ht="15" customHeight="1">
      <c r="A5338" s="10">
        <v>46187</v>
      </c>
      <c r="B5338" t="s">
        <v>201</v>
      </c>
      <c r="C5338" t="s">
        <v>87</v>
      </c>
      <c r="D5338">
        <v>2</v>
      </c>
      <c r="E5338">
        <v>310</v>
      </c>
      <c r="I5338">
        <v>2</v>
      </c>
      <c r="J5338">
        <v>307</v>
      </c>
      <c r="M5338" t="s">
        <v>5461</v>
      </c>
    </row>
    <row r="5339" spans="1:13" ht="15" customHeight="1">
      <c r="A5339" s="10">
        <v>46187</v>
      </c>
      <c r="B5339" t="s">
        <v>201</v>
      </c>
      <c r="C5339" t="s">
        <v>88</v>
      </c>
      <c r="D5339">
        <v>1</v>
      </c>
      <c r="E5339">
        <v>310</v>
      </c>
      <c r="I5339">
        <v>1</v>
      </c>
      <c r="J5339">
        <v>298</v>
      </c>
      <c r="M5339" t="s">
        <v>5462</v>
      </c>
    </row>
    <row r="5340" spans="1:13" ht="15" customHeight="1">
      <c r="A5340" s="10">
        <v>46187</v>
      </c>
      <c r="B5340" t="s">
        <v>201</v>
      </c>
      <c r="C5340" t="s">
        <v>89</v>
      </c>
      <c r="D5340">
        <v>1</v>
      </c>
      <c r="E5340">
        <v>306</v>
      </c>
      <c r="I5340">
        <v>1</v>
      </c>
      <c r="J5340">
        <v>305</v>
      </c>
      <c r="M5340" t="s">
        <v>5463</v>
      </c>
    </row>
    <row r="5341" spans="1:13" ht="15" customHeight="1">
      <c r="A5341" s="10">
        <v>46187</v>
      </c>
      <c r="B5341" t="s">
        <v>201</v>
      </c>
      <c r="C5341" t="s">
        <v>90</v>
      </c>
      <c r="D5341">
        <v>1</v>
      </c>
      <c r="E5341">
        <v>1013</v>
      </c>
      <c r="I5341">
        <v>1</v>
      </c>
      <c r="J5341">
        <v>943</v>
      </c>
      <c r="M5341" t="s">
        <v>5464</v>
      </c>
    </row>
    <row r="5342" spans="1:13" ht="15" customHeight="1">
      <c r="A5342" s="10">
        <v>46187</v>
      </c>
      <c r="B5342" t="s">
        <v>201</v>
      </c>
      <c r="C5342" t="s">
        <v>92</v>
      </c>
      <c r="D5342">
        <v>1</v>
      </c>
      <c r="E5342">
        <v>1125</v>
      </c>
      <c r="I5342">
        <v>1</v>
      </c>
      <c r="J5342">
        <v>1024</v>
      </c>
      <c r="M5342" t="s">
        <v>5465</v>
      </c>
    </row>
    <row r="5343" spans="1:13" ht="15" customHeight="1">
      <c r="A5343" s="10">
        <v>46187</v>
      </c>
      <c r="B5343" t="s">
        <v>201</v>
      </c>
      <c r="C5343" t="s">
        <v>94</v>
      </c>
      <c r="D5343">
        <v>3</v>
      </c>
      <c r="E5343">
        <v>519</v>
      </c>
      <c r="I5343">
        <v>3</v>
      </c>
      <c r="J5343">
        <v>295</v>
      </c>
      <c r="M5343" t="s">
        <v>5466</v>
      </c>
    </row>
    <row r="5344" spans="1:13" ht="15" customHeight="1">
      <c r="A5344" s="10">
        <v>46187</v>
      </c>
      <c r="B5344" t="s">
        <v>201</v>
      </c>
      <c r="C5344" t="s">
        <v>96</v>
      </c>
      <c r="D5344">
        <v>0</v>
      </c>
      <c r="E5344">
        <v>0</v>
      </c>
      <c r="I5344">
        <v>0</v>
      </c>
      <c r="J5344">
        <v>0</v>
      </c>
      <c r="M5344" t="s">
        <v>5467</v>
      </c>
    </row>
    <row r="5345" spans="1:13" ht="15" customHeight="1">
      <c r="A5345" s="10">
        <v>46187</v>
      </c>
      <c r="B5345" t="s">
        <v>201</v>
      </c>
      <c r="C5345" t="s">
        <v>98</v>
      </c>
      <c r="D5345">
        <v>2</v>
      </c>
      <c r="E5345">
        <v>558</v>
      </c>
      <c r="I5345">
        <v>2</v>
      </c>
      <c r="J5345">
        <v>419</v>
      </c>
      <c r="M5345" t="s">
        <v>5468</v>
      </c>
    </row>
    <row r="5346" spans="1:13" ht="15" customHeight="1">
      <c r="A5346" s="10">
        <v>46187</v>
      </c>
      <c r="B5346" t="s">
        <v>201</v>
      </c>
      <c r="C5346" t="s">
        <v>203</v>
      </c>
      <c r="D5346">
        <v>0</v>
      </c>
      <c r="E5346">
        <v>0</v>
      </c>
      <c r="I5346">
        <v>0</v>
      </c>
      <c r="J5346">
        <v>0</v>
      </c>
      <c r="M5346" t="s">
        <v>5469</v>
      </c>
    </row>
    <row r="5347" spans="1:13" ht="15" customHeight="1">
      <c r="A5347" s="10">
        <v>46187</v>
      </c>
      <c r="B5347" t="s">
        <v>201</v>
      </c>
      <c r="C5347" t="s">
        <v>100</v>
      </c>
      <c r="D5347">
        <v>0</v>
      </c>
      <c r="E5347">
        <v>0</v>
      </c>
      <c r="I5347">
        <v>0</v>
      </c>
      <c r="J5347">
        <v>0</v>
      </c>
      <c r="M5347" t="s">
        <v>5470</v>
      </c>
    </row>
    <row r="5348" spans="1:13" ht="15" customHeight="1">
      <c r="A5348" s="10">
        <v>46187</v>
      </c>
      <c r="B5348" t="s">
        <v>201</v>
      </c>
      <c r="C5348" t="s">
        <v>101</v>
      </c>
      <c r="D5348">
        <v>1</v>
      </c>
      <c r="E5348">
        <v>282</v>
      </c>
      <c r="I5348">
        <v>0</v>
      </c>
      <c r="J5348">
        <v>267</v>
      </c>
      <c r="M5348" t="s">
        <v>5471</v>
      </c>
    </row>
    <row r="5349" spans="1:13" ht="15" customHeight="1">
      <c r="A5349" s="10">
        <v>46187</v>
      </c>
      <c r="B5349" t="s">
        <v>201</v>
      </c>
      <c r="C5349" t="s">
        <v>103</v>
      </c>
      <c r="D5349">
        <v>0</v>
      </c>
      <c r="E5349">
        <v>5</v>
      </c>
      <c r="I5349">
        <v>0</v>
      </c>
      <c r="J5349">
        <v>2</v>
      </c>
      <c r="M5349" t="s">
        <v>5472</v>
      </c>
    </row>
    <row r="5350" spans="1:13" ht="15" customHeight="1">
      <c r="A5350" s="10">
        <v>46187</v>
      </c>
      <c r="B5350" t="s">
        <v>201</v>
      </c>
      <c r="C5350" t="s">
        <v>106</v>
      </c>
      <c r="D5350">
        <v>1</v>
      </c>
      <c r="E5350">
        <v>792</v>
      </c>
      <c r="I5350">
        <v>1</v>
      </c>
      <c r="J5350">
        <v>611</v>
      </c>
      <c r="M5350" t="s">
        <v>5473</v>
      </c>
    </row>
    <row r="5351" spans="1:13" ht="15" customHeight="1">
      <c r="A5351" s="10">
        <v>46187</v>
      </c>
      <c r="B5351" t="s">
        <v>201</v>
      </c>
      <c r="C5351" t="s">
        <v>108</v>
      </c>
      <c r="D5351">
        <v>1</v>
      </c>
      <c r="E5351">
        <v>1460</v>
      </c>
      <c r="I5351">
        <v>1</v>
      </c>
      <c r="J5351">
        <v>1368</v>
      </c>
      <c r="M5351" t="s">
        <v>5474</v>
      </c>
    </row>
    <row r="5352" spans="1:13" ht="15" customHeight="1">
      <c r="A5352" s="10">
        <v>46187</v>
      </c>
      <c r="B5352" t="s">
        <v>201</v>
      </c>
      <c r="C5352" t="s">
        <v>109</v>
      </c>
      <c r="D5352">
        <v>1</v>
      </c>
      <c r="E5352">
        <v>528</v>
      </c>
      <c r="I5352">
        <v>1</v>
      </c>
      <c r="J5352">
        <v>453</v>
      </c>
      <c r="M5352" t="s">
        <v>5475</v>
      </c>
    </row>
    <row r="5353" spans="1:13" ht="15" customHeight="1">
      <c r="A5353" s="10">
        <v>46187</v>
      </c>
      <c r="B5353" t="s">
        <v>201</v>
      </c>
      <c r="C5353" t="s">
        <v>112</v>
      </c>
      <c r="D5353">
        <v>0</v>
      </c>
      <c r="E5353">
        <v>50</v>
      </c>
      <c r="I5353">
        <v>0</v>
      </c>
      <c r="J5353">
        <v>43</v>
      </c>
      <c r="M5353" t="s">
        <v>5476</v>
      </c>
    </row>
    <row r="5354" spans="1:13" ht="15" customHeight="1">
      <c r="A5354" s="10">
        <v>46187</v>
      </c>
      <c r="B5354" t="s">
        <v>201</v>
      </c>
      <c r="C5354" t="s">
        <v>114</v>
      </c>
      <c r="D5354">
        <v>3</v>
      </c>
      <c r="E5354">
        <v>23</v>
      </c>
      <c r="I5354">
        <v>2</v>
      </c>
      <c r="J5354">
        <v>48</v>
      </c>
      <c r="M5354" t="s">
        <v>5477</v>
      </c>
    </row>
    <row r="5355" spans="1:13" ht="15" customHeight="1">
      <c r="A5355" s="10">
        <v>46187</v>
      </c>
      <c r="B5355" t="s">
        <v>201</v>
      </c>
      <c r="C5355" t="s">
        <v>115</v>
      </c>
      <c r="D5355">
        <v>1</v>
      </c>
      <c r="E5355">
        <v>11</v>
      </c>
      <c r="I5355">
        <v>0</v>
      </c>
      <c r="J5355">
        <v>53</v>
      </c>
      <c r="M5355" t="s">
        <v>5478</v>
      </c>
    </row>
    <row r="5356" spans="1:13" ht="15" customHeight="1">
      <c r="A5356" s="10">
        <v>46187</v>
      </c>
      <c r="B5356" t="s">
        <v>201</v>
      </c>
      <c r="C5356" t="s">
        <v>116</v>
      </c>
      <c r="D5356">
        <v>3</v>
      </c>
      <c r="E5356">
        <v>25</v>
      </c>
      <c r="I5356">
        <v>3</v>
      </c>
      <c r="J5356">
        <v>15</v>
      </c>
      <c r="M5356" t="s">
        <v>5479</v>
      </c>
    </row>
    <row r="5357" spans="1:13" ht="15" customHeight="1">
      <c r="A5357" s="10">
        <v>46187</v>
      </c>
      <c r="B5357" t="s">
        <v>201</v>
      </c>
      <c r="C5357" t="s">
        <v>119</v>
      </c>
      <c r="D5357">
        <v>2</v>
      </c>
      <c r="E5357">
        <v>0</v>
      </c>
      <c r="I5357">
        <v>2</v>
      </c>
      <c r="M5357" t="s">
        <v>5480</v>
      </c>
    </row>
    <row r="5358" spans="1:13" ht="15" customHeight="1">
      <c r="A5358" s="10">
        <v>46187</v>
      </c>
      <c r="B5358" t="s">
        <v>201</v>
      </c>
      <c r="C5358" t="s">
        <v>120</v>
      </c>
      <c r="D5358">
        <v>2</v>
      </c>
      <c r="E5358">
        <v>0</v>
      </c>
      <c r="I5358">
        <v>2</v>
      </c>
      <c r="M5358" t="s">
        <v>5481</v>
      </c>
    </row>
    <row r="5359" spans="1:13" ht="15" customHeight="1">
      <c r="A5359" s="10">
        <v>46187</v>
      </c>
      <c r="B5359" t="s">
        <v>201</v>
      </c>
      <c r="C5359" t="s">
        <v>121</v>
      </c>
      <c r="D5359">
        <v>2</v>
      </c>
      <c r="E5359">
        <v>0</v>
      </c>
      <c r="I5359">
        <v>2</v>
      </c>
      <c r="M5359" t="s">
        <v>5482</v>
      </c>
    </row>
    <row r="5360" spans="1:13" ht="15" customHeight="1">
      <c r="A5360" s="10">
        <v>46187</v>
      </c>
      <c r="B5360" t="s">
        <v>201</v>
      </c>
      <c r="C5360" t="s">
        <v>123</v>
      </c>
      <c r="D5360">
        <v>2</v>
      </c>
      <c r="E5360">
        <v>0</v>
      </c>
      <c r="I5360">
        <v>2</v>
      </c>
      <c r="M5360" t="s">
        <v>5483</v>
      </c>
    </row>
    <row r="5361" spans="1:13" ht="15" customHeight="1">
      <c r="A5361" s="10">
        <v>46187</v>
      </c>
      <c r="B5361" t="s">
        <v>201</v>
      </c>
      <c r="C5361" t="s">
        <v>124</v>
      </c>
      <c r="D5361">
        <v>1</v>
      </c>
      <c r="E5361">
        <v>0</v>
      </c>
      <c r="I5361">
        <v>1</v>
      </c>
      <c r="M5361" t="s">
        <v>5484</v>
      </c>
    </row>
    <row r="5362" spans="1:13" ht="15" customHeight="1">
      <c r="A5362" s="10">
        <v>46187</v>
      </c>
      <c r="B5362" t="s">
        <v>201</v>
      </c>
      <c r="C5362" t="s">
        <v>125</v>
      </c>
      <c r="D5362">
        <v>1</v>
      </c>
      <c r="E5362">
        <v>0</v>
      </c>
      <c r="I5362">
        <v>1</v>
      </c>
      <c r="M5362" t="s">
        <v>5485</v>
      </c>
    </row>
    <row r="5363" spans="1:13" ht="15" customHeight="1">
      <c r="A5363" s="10">
        <v>46187</v>
      </c>
      <c r="B5363" t="s">
        <v>201</v>
      </c>
      <c r="C5363" t="s">
        <v>126</v>
      </c>
      <c r="D5363">
        <v>1</v>
      </c>
      <c r="E5363">
        <v>0</v>
      </c>
      <c r="I5363">
        <v>1</v>
      </c>
      <c r="M5363" t="s">
        <v>5486</v>
      </c>
    </row>
    <row r="5364" spans="1:13" ht="15" customHeight="1">
      <c r="A5364" s="10">
        <v>46187</v>
      </c>
      <c r="B5364" t="s">
        <v>201</v>
      </c>
      <c r="C5364" t="s">
        <v>128</v>
      </c>
      <c r="D5364">
        <v>2</v>
      </c>
      <c r="E5364">
        <v>0</v>
      </c>
      <c r="I5364">
        <v>2</v>
      </c>
      <c r="M5364" t="s">
        <v>5487</v>
      </c>
    </row>
    <row r="5365" spans="1:13" ht="15" customHeight="1">
      <c r="A5365" s="10">
        <v>46187</v>
      </c>
      <c r="B5365" t="s">
        <v>201</v>
      </c>
      <c r="C5365" t="s">
        <v>130</v>
      </c>
      <c r="D5365">
        <v>5</v>
      </c>
      <c r="E5365">
        <v>0</v>
      </c>
      <c r="I5365">
        <v>4</v>
      </c>
      <c r="M5365" t="s">
        <v>5488</v>
      </c>
    </row>
    <row r="5366" spans="1:13" ht="15" customHeight="1">
      <c r="A5366" s="10">
        <v>46187</v>
      </c>
      <c r="B5366" t="s">
        <v>201</v>
      </c>
      <c r="C5366" t="s">
        <v>285</v>
      </c>
      <c r="D5366">
        <v>2</v>
      </c>
      <c r="E5366">
        <v>0</v>
      </c>
      <c r="I5366">
        <v>2</v>
      </c>
      <c r="M5366" t="s">
        <v>5489</v>
      </c>
    </row>
    <row r="5367" spans="1:13" ht="15" customHeight="1">
      <c r="A5367" s="10">
        <v>46187</v>
      </c>
      <c r="B5367" t="s">
        <v>201</v>
      </c>
      <c r="C5367" t="s">
        <v>287</v>
      </c>
      <c r="D5367">
        <v>2</v>
      </c>
      <c r="E5367">
        <v>0</v>
      </c>
      <c r="I5367">
        <v>2</v>
      </c>
      <c r="M5367" t="s">
        <v>5490</v>
      </c>
    </row>
    <row r="5368" spans="1:13" ht="15" customHeight="1">
      <c r="A5368" s="10">
        <v>46187</v>
      </c>
      <c r="B5368" t="s">
        <v>201</v>
      </c>
      <c r="C5368" t="s">
        <v>289</v>
      </c>
      <c r="D5368">
        <v>2</v>
      </c>
      <c r="E5368">
        <v>0</v>
      </c>
      <c r="I5368">
        <v>2</v>
      </c>
      <c r="M5368" t="s">
        <v>5491</v>
      </c>
    </row>
    <row r="5369" spans="1:13" ht="15" customHeight="1">
      <c r="A5369" s="10">
        <v>46187</v>
      </c>
      <c r="B5369" t="s">
        <v>201</v>
      </c>
      <c r="C5369" t="s">
        <v>291</v>
      </c>
      <c r="D5369">
        <v>2</v>
      </c>
      <c r="E5369">
        <v>0</v>
      </c>
      <c r="I5369">
        <v>2</v>
      </c>
      <c r="M5369" t="s">
        <v>5492</v>
      </c>
    </row>
    <row r="5370" spans="1:13" ht="15" customHeight="1">
      <c r="A5370" s="10">
        <v>46187</v>
      </c>
      <c r="B5370" t="s">
        <v>201</v>
      </c>
      <c r="C5370" t="s">
        <v>293</v>
      </c>
      <c r="D5370">
        <v>3</v>
      </c>
      <c r="E5370">
        <v>0</v>
      </c>
      <c r="I5370">
        <v>3</v>
      </c>
      <c r="M5370" t="s">
        <v>5493</v>
      </c>
    </row>
    <row r="5371" spans="1:13" ht="15" customHeight="1">
      <c r="A5371" s="10">
        <v>46187</v>
      </c>
      <c r="B5371" t="s">
        <v>201</v>
      </c>
      <c r="C5371" s="135" t="s">
        <v>138</v>
      </c>
      <c r="D5371">
        <v>0</v>
      </c>
      <c r="E5371">
        <v>66</v>
      </c>
      <c r="I5371">
        <v>0</v>
      </c>
      <c r="J5371">
        <v>65</v>
      </c>
      <c r="M5371" t="s">
        <v>5494</v>
      </c>
    </row>
    <row r="5372" spans="1:13" ht="15" customHeight="1">
      <c r="A5372" s="10">
        <v>46187</v>
      </c>
      <c r="B5372" t="s">
        <v>201</v>
      </c>
      <c r="C5372" s="135" t="s">
        <v>139</v>
      </c>
      <c r="D5372">
        <v>0</v>
      </c>
      <c r="E5372">
        <v>20</v>
      </c>
      <c r="I5372">
        <v>0</v>
      </c>
      <c r="J5372">
        <v>28</v>
      </c>
      <c r="M5372" t="s">
        <v>5495</v>
      </c>
    </row>
    <row r="5373" spans="1:13" ht="15" customHeight="1">
      <c r="A5373" s="10">
        <v>46187</v>
      </c>
      <c r="B5373" t="s">
        <v>201</v>
      </c>
      <c r="C5373" s="135" t="s">
        <v>140</v>
      </c>
      <c r="D5373">
        <v>0</v>
      </c>
      <c r="E5373">
        <v>32</v>
      </c>
      <c r="I5373">
        <v>0</v>
      </c>
      <c r="J5373">
        <v>32</v>
      </c>
      <c r="M5373" t="s">
        <v>5496</v>
      </c>
    </row>
    <row r="5374" spans="1:13" ht="15" customHeight="1">
      <c r="A5374" s="10">
        <v>46187</v>
      </c>
      <c r="B5374" t="s">
        <v>201</v>
      </c>
      <c r="C5374" s="135" t="s">
        <v>141</v>
      </c>
      <c r="D5374">
        <v>0</v>
      </c>
      <c r="E5374">
        <v>1</v>
      </c>
      <c r="I5374">
        <v>0</v>
      </c>
      <c r="J5374">
        <v>1</v>
      </c>
      <c r="M5374" t="s">
        <v>5497</v>
      </c>
    </row>
    <row r="5375" spans="1:13" ht="15" customHeight="1">
      <c r="A5375" s="10">
        <v>46187</v>
      </c>
      <c r="B5375" t="s">
        <v>201</v>
      </c>
      <c r="C5375" s="135" t="s">
        <v>143</v>
      </c>
      <c r="D5375">
        <v>0</v>
      </c>
      <c r="E5375">
        <v>46</v>
      </c>
      <c r="I5375">
        <v>0</v>
      </c>
      <c r="J5375">
        <v>42</v>
      </c>
      <c r="M5375" t="s">
        <v>5498</v>
      </c>
    </row>
    <row r="5376" spans="1:13" ht="15" customHeight="1">
      <c r="A5376" s="10">
        <v>46187</v>
      </c>
      <c r="B5376" t="s">
        <v>201</v>
      </c>
      <c r="C5376" s="135" t="s">
        <v>145</v>
      </c>
      <c r="D5376">
        <v>0</v>
      </c>
      <c r="E5376">
        <v>15</v>
      </c>
      <c r="I5376">
        <v>0</v>
      </c>
      <c r="J5376">
        <v>14</v>
      </c>
      <c r="M5376" t="s">
        <v>5499</v>
      </c>
    </row>
    <row r="5377" spans="1:13" ht="15" customHeight="1">
      <c r="A5377" s="10">
        <v>46187</v>
      </c>
      <c r="B5377" t="s">
        <v>201</v>
      </c>
      <c r="C5377" s="135" t="s">
        <v>147</v>
      </c>
      <c r="D5377">
        <v>0</v>
      </c>
      <c r="E5377">
        <v>32</v>
      </c>
      <c r="I5377">
        <v>0</v>
      </c>
      <c r="J5377">
        <v>31</v>
      </c>
      <c r="M5377" t="s">
        <v>5500</v>
      </c>
    </row>
    <row r="5378" spans="1:13" ht="15" customHeight="1">
      <c r="A5378" s="10">
        <v>46187</v>
      </c>
      <c r="B5378" t="s">
        <v>201</v>
      </c>
      <c r="C5378" t="s">
        <v>302</v>
      </c>
      <c r="D5378">
        <v>1</v>
      </c>
      <c r="E5378">
        <v>2</v>
      </c>
      <c r="I5378">
        <v>1</v>
      </c>
      <c r="M5378" t="s">
        <v>5501</v>
      </c>
    </row>
    <row r="5379" spans="1:13" ht="15" customHeight="1">
      <c r="A5379" s="10">
        <v>46187</v>
      </c>
      <c r="B5379" t="s">
        <v>201</v>
      </c>
      <c r="C5379" t="s">
        <v>150</v>
      </c>
      <c r="D5379">
        <v>3</v>
      </c>
      <c r="E5379">
        <v>0</v>
      </c>
      <c r="I5379">
        <v>3</v>
      </c>
      <c r="M5379" t="s">
        <v>5502</v>
      </c>
    </row>
    <row r="5380" spans="1:13" ht="15" customHeight="1">
      <c r="A5380" s="10">
        <v>46187</v>
      </c>
      <c r="B5380" t="s">
        <v>201</v>
      </c>
      <c r="C5380" t="s">
        <v>151</v>
      </c>
      <c r="D5380">
        <v>2</v>
      </c>
      <c r="E5380">
        <v>0</v>
      </c>
      <c r="I5380">
        <v>2</v>
      </c>
      <c r="M5380" t="s">
        <v>5503</v>
      </c>
    </row>
    <row r="5381" spans="1:13" ht="15" customHeight="1">
      <c r="A5381" s="10">
        <v>46187</v>
      </c>
      <c r="B5381" t="s">
        <v>201</v>
      </c>
      <c r="C5381" t="s">
        <v>152</v>
      </c>
      <c r="D5381">
        <v>1</v>
      </c>
      <c r="E5381">
        <v>0</v>
      </c>
      <c r="I5381">
        <v>1</v>
      </c>
      <c r="M5381" t="s">
        <v>5504</v>
      </c>
    </row>
    <row r="5382" spans="1:13" ht="15" customHeight="1">
      <c r="A5382" s="10">
        <v>46187</v>
      </c>
      <c r="B5382" t="s">
        <v>201</v>
      </c>
      <c r="C5382" t="s">
        <v>153</v>
      </c>
      <c r="D5382">
        <v>3</v>
      </c>
      <c r="E5382">
        <v>0</v>
      </c>
      <c r="I5382">
        <v>3</v>
      </c>
      <c r="M5382" t="s">
        <v>5505</v>
      </c>
    </row>
    <row r="5383" spans="1:13" ht="15" customHeight="1">
      <c r="A5383" s="10">
        <v>46187</v>
      </c>
      <c r="B5383" t="s">
        <v>201</v>
      </c>
      <c r="C5383" t="s">
        <v>308</v>
      </c>
      <c r="D5383">
        <v>0</v>
      </c>
      <c r="E5383">
        <v>3</v>
      </c>
      <c r="I5383">
        <v>0</v>
      </c>
      <c r="J5383">
        <v>3</v>
      </c>
      <c r="M5383" t="s">
        <v>5506</v>
      </c>
    </row>
    <row r="5384" spans="1:13" ht="15" customHeight="1">
      <c r="A5384" s="10">
        <v>46187</v>
      </c>
      <c r="B5384" t="s">
        <v>201</v>
      </c>
      <c r="C5384" t="s">
        <v>310</v>
      </c>
      <c r="D5384">
        <v>0</v>
      </c>
      <c r="E5384">
        <v>2</v>
      </c>
      <c r="I5384">
        <v>0</v>
      </c>
      <c r="J5384">
        <v>2</v>
      </c>
      <c r="M5384" t="s">
        <v>5507</v>
      </c>
    </row>
    <row r="5385" spans="1:13" ht="15" customHeight="1">
      <c r="A5385" s="10">
        <v>46187</v>
      </c>
      <c r="B5385" t="s">
        <v>201</v>
      </c>
      <c r="C5385" t="s">
        <v>312</v>
      </c>
      <c r="D5385">
        <v>0</v>
      </c>
      <c r="E5385">
        <v>4</v>
      </c>
      <c r="I5385">
        <v>0</v>
      </c>
      <c r="J5385">
        <v>3</v>
      </c>
      <c r="M5385" t="s">
        <v>5508</v>
      </c>
    </row>
    <row r="5386" spans="1:13" ht="15" customHeight="1">
      <c r="A5386" s="10">
        <v>46187</v>
      </c>
      <c r="B5386" t="s">
        <v>201</v>
      </c>
      <c r="C5386" t="s">
        <v>314</v>
      </c>
      <c r="D5386">
        <v>1</v>
      </c>
      <c r="E5386">
        <v>0</v>
      </c>
      <c r="I5386">
        <v>1</v>
      </c>
      <c r="M5386" t="s">
        <v>5509</v>
      </c>
    </row>
    <row r="5387" spans="1:13" ht="15" customHeight="1">
      <c r="A5387" s="10">
        <v>46187</v>
      </c>
      <c r="B5387" t="s">
        <v>201</v>
      </c>
      <c r="C5387" t="s">
        <v>316</v>
      </c>
      <c r="D5387">
        <v>1</v>
      </c>
      <c r="E5387">
        <v>0</v>
      </c>
      <c r="I5387">
        <v>1</v>
      </c>
      <c r="M5387" t="s">
        <v>5510</v>
      </c>
    </row>
    <row r="5388" spans="1:13" ht="15" customHeight="1">
      <c r="A5388" s="10">
        <v>46187</v>
      </c>
      <c r="B5388" t="s">
        <v>201</v>
      </c>
      <c r="C5388" t="s">
        <v>318</v>
      </c>
      <c r="D5388">
        <v>4</v>
      </c>
      <c r="E5388">
        <v>0</v>
      </c>
      <c r="I5388">
        <v>4</v>
      </c>
      <c r="M5388" t="s">
        <v>5511</v>
      </c>
    </row>
    <row r="5389" spans="1:13" ht="15" customHeight="1">
      <c r="A5389" s="10">
        <v>46187</v>
      </c>
      <c r="B5389" t="s">
        <v>201</v>
      </c>
      <c r="C5389" t="s">
        <v>320</v>
      </c>
      <c r="D5389">
        <v>2</v>
      </c>
      <c r="E5389">
        <v>0</v>
      </c>
      <c r="I5389">
        <v>1</v>
      </c>
      <c r="M5389" t="s">
        <v>5512</v>
      </c>
    </row>
    <row r="5390" spans="1:13" ht="15" customHeight="1">
      <c r="A5390" s="10">
        <v>46187</v>
      </c>
      <c r="B5390" t="s">
        <v>201</v>
      </c>
      <c r="C5390" t="s">
        <v>322</v>
      </c>
      <c r="D5390">
        <v>2</v>
      </c>
      <c r="E5390">
        <v>0</v>
      </c>
      <c r="I5390">
        <v>2</v>
      </c>
      <c r="M5390" t="s">
        <v>5513</v>
      </c>
    </row>
    <row r="5391" spans="1:13" ht="15" customHeight="1">
      <c r="A5391" s="10">
        <v>46187</v>
      </c>
      <c r="B5391" t="s">
        <v>201</v>
      </c>
      <c r="C5391" s="135" t="s">
        <v>168</v>
      </c>
      <c r="D5391">
        <v>0</v>
      </c>
      <c r="E5391">
        <v>0</v>
      </c>
      <c r="I5391">
        <v>0</v>
      </c>
      <c r="M5391" t="s">
        <v>5514</v>
      </c>
    </row>
    <row r="5392" spans="1:13" ht="15" customHeight="1">
      <c r="A5392" s="10">
        <v>46187</v>
      </c>
      <c r="B5392" t="s">
        <v>201</v>
      </c>
      <c r="C5392" s="135" t="s">
        <v>170</v>
      </c>
      <c r="D5392">
        <v>1</v>
      </c>
      <c r="E5392">
        <v>0</v>
      </c>
      <c r="I5392">
        <v>1</v>
      </c>
      <c r="M5392" t="s">
        <v>5515</v>
      </c>
    </row>
    <row r="5393" spans="1:13" ht="15" customHeight="1">
      <c r="A5393" s="10">
        <v>46187</v>
      </c>
      <c r="B5393" t="s">
        <v>201</v>
      </c>
      <c r="C5393" s="135" t="s">
        <v>171</v>
      </c>
      <c r="D5393">
        <v>2</v>
      </c>
      <c r="E5393">
        <v>0</v>
      </c>
      <c r="I5393">
        <v>3</v>
      </c>
      <c r="M5393" t="s">
        <v>5516</v>
      </c>
    </row>
    <row r="5394" spans="1:13" ht="15" customHeight="1">
      <c r="A5394" s="10">
        <v>46187</v>
      </c>
      <c r="B5394" t="s">
        <v>201</v>
      </c>
      <c r="C5394" s="135" t="s">
        <v>172</v>
      </c>
      <c r="D5394">
        <v>0</v>
      </c>
      <c r="E5394">
        <v>0</v>
      </c>
      <c r="I5394">
        <v>0</v>
      </c>
      <c r="M5394" t="s">
        <v>5517</v>
      </c>
    </row>
    <row r="5395" spans="1:13" ht="15" customHeight="1">
      <c r="A5395" s="10">
        <v>46187</v>
      </c>
      <c r="B5395" t="s">
        <v>201</v>
      </c>
      <c r="C5395" s="135" t="s">
        <v>173</v>
      </c>
      <c r="D5395">
        <v>0</v>
      </c>
      <c r="E5395">
        <v>0</v>
      </c>
      <c r="I5395">
        <v>0</v>
      </c>
      <c r="M5395" t="s">
        <v>5518</v>
      </c>
    </row>
    <row r="5396" spans="1:13" ht="15" customHeight="1">
      <c r="A5396" s="10">
        <v>46187</v>
      </c>
      <c r="B5396" t="s">
        <v>201</v>
      </c>
      <c r="C5396" t="s">
        <v>176</v>
      </c>
      <c r="D5396">
        <v>0</v>
      </c>
      <c r="E5396">
        <v>22</v>
      </c>
      <c r="I5396">
        <v>0</v>
      </c>
      <c r="J5396">
        <v>22</v>
      </c>
      <c r="M5396" t="s">
        <v>5519</v>
      </c>
    </row>
    <row r="5397" spans="1:13" ht="15" customHeight="1">
      <c r="A5397" s="10">
        <v>46187</v>
      </c>
      <c r="B5397" t="s">
        <v>201</v>
      </c>
      <c r="C5397" t="s">
        <v>178</v>
      </c>
      <c r="D5397">
        <v>0</v>
      </c>
      <c r="E5397">
        <v>26</v>
      </c>
      <c r="H5397">
        <v>1</v>
      </c>
      <c r="I5397">
        <v>0</v>
      </c>
      <c r="J5397">
        <v>25</v>
      </c>
      <c r="M5397" t="s">
        <v>5520</v>
      </c>
    </row>
    <row r="5398" spans="1:13" ht="15" customHeight="1">
      <c r="A5398" s="10">
        <v>46187</v>
      </c>
      <c r="B5398" t="s">
        <v>201</v>
      </c>
      <c r="C5398" t="s">
        <v>179</v>
      </c>
      <c r="D5398">
        <v>0</v>
      </c>
      <c r="E5398">
        <v>18</v>
      </c>
      <c r="I5398">
        <v>0</v>
      </c>
      <c r="J5398">
        <v>18</v>
      </c>
      <c r="M5398" t="s">
        <v>5521</v>
      </c>
    </row>
    <row r="5399" spans="1:13" ht="15" customHeight="1">
      <c r="A5399" s="10">
        <v>46187</v>
      </c>
      <c r="B5399" t="s">
        <v>201</v>
      </c>
      <c r="C5399" t="s">
        <v>180</v>
      </c>
      <c r="D5399">
        <v>0</v>
      </c>
      <c r="E5399">
        <v>22</v>
      </c>
      <c r="I5399">
        <v>0</v>
      </c>
      <c r="J5399">
        <v>22</v>
      </c>
      <c r="M5399" t="s">
        <v>5522</v>
      </c>
    </row>
    <row r="5400" spans="1:13" ht="15" customHeight="1">
      <c r="A5400" s="10">
        <v>46187</v>
      </c>
      <c r="B5400" t="s">
        <v>201</v>
      </c>
      <c r="C5400" s="135" t="s">
        <v>182</v>
      </c>
      <c r="D5400">
        <v>1</v>
      </c>
      <c r="E5400">
        <v>158</v>
      </c>
      <c r="I5400">
        <v>1</v>
      </c>
      <c r="J5400">
        <v>158</v>
      </c>
      <c r="M5400" t="s">
        <v>5523</v>
      </c>
    </row>
    <row r="5401" spans="1:13" ht="15" customHeight="1">
      <c r="A5401" s="10">
        <v>46187</v>
      </c>
      <c r="B5401" t="s">
        <v>201</v>
      </c>
      <c r="C5401" s="135" t="s">
        <v>184</v>
      </c>
      <c r="D5401">
        <v>1</v>
      </c>
      <c r="E5401">
        <v>40</v>
      </c>
      <c r="I5401">
        <v>1</v>
      </c>
      <c r="J5401">
        <v>40</v>
      </c>
      <c r="M5401" t="s">
        <v>5524</v>
      </c>
    </row>
    <row r="5402" spans="1:13" ht="15" customHeight="1">
      <c r="A5402" s="10">
        <v>46187</v>
      </c>
      <c r="B5402" t="s">
        <v>201</v>
      </c>
      <c r="C5402" s="135" t="s">
        <v>185</v>
      </c>
      <c r="D5402">
        <v>1</v>
      </c>
      <c r="E5402">
        <v>36</v>
      </c>
      <c r="I5402">
        <v>1</v>
      </c>
      <c r="J5402">
        <v>36</v>
      </c>
      <c r="M5402" t="s">
        <v>5525</v>
      </c>
    </row>
    <row r="5403" spans="1:13" ht="15" customHeight="1">
      <c r="A5403" s="10">
        <v>46187</v>
      </c>
      <c r="B5403" t="s">
        <v>201</v>
      </c>
      <c r="C5403" s="135" t="s">
        <v>186</v>
      </c>
      <c r="D5403">
        <v>1</v>
      </c>
      <c r="E5403">
        <v>600</v>
      </c>
      <c r="I5403">
        <v>1</v>
      </c>
      <c r="J5403">
        <v>600</v>
      </c>
      <c r="M5403" t="s">
        <v>5526</v>
      </c>
    </row>
    <row r="5404" spans="1:13" ht="15" customHeight="1">
      <c r="A5404" s="10">
        <v>46187</v>
      </c>
      <c r="B5404" t="s">
        <v>201</v>
      </c>
      <c r="C5404" t="s">
        <v>337</v>
      </c>
      <c r="D5404">
        <v>1</v>
      </c>
      <c r="E5404">
        <v>377</v>
      </c>
      <c r="I5404">
        <v>1</v>
      </c>
      <c r="J5404">
        <v>304</v>
      </c>
      <c r="M5404" t="s">
        <v>5527</v>
      </c>
    </row>
    <row r="5405" spans="1:13" ht="15" customHeight="1">
      <c r="A5405" s="10">
        <v>46187</v>
      </c>
      <c r="B5405" t="s">
        <v>201</v>
      </c>
      <c r="C5405" t="s">
        <v>339</v>
      </c>
      <c r="D5405">
        <v>0</v>
      </c>
      <c r="E5405">
        <v>0</v>
      </c>
      <c r="I5405">
        <v>0</v>
      </c>
      <c r="J5405">
        <v>0</v>
      </c>
      <c r="M5405" t="s">
        <v>5528</v>
      </c>
    </row>
    <row r="5406" spans="1:13" ht="15" customHeight="1">
      <c r="A5406" s="10">
        <v>46187</v>
      </c>
      <c r="B5406" t="s">
        <v>201</v>
      </c>
      <c r="C5406" s="135" t="s">
        <v>191</v>
      </c>
      <c r="D5406">
        <v>0</v>
      </c>
      <c r="E5406">
        <v>724</v>
      </c>
      <c r="I5406">
        <v>0</v>
      </c>
      <c r="J5406">
        <v>724</v>
      </c>
      <c r="M5406" t="s">
        <v>5529</v>
      </c>
    </row>
    <row r="5407" spans="1:13" ht="15" customHeight="1">
      <c r="A5407" s="10">
        <v>46187</v>
      </c>
      <c r="B5407" t="s">
        <v>201</v>
      </c>
      <c r="C5407" s="135" t="s">
        <v>193</v>
      </c>
      <c r="D5407">
        <v>1</v>
      </c>
      <c r="E5407">
        <v>441</v>
      </c>
      <c r="I5407">
        <v>1</v>
      </c>
      <c r="J5407">
        <v>374</v>
      </c>
      <c r="M5407" t="s">
        <v>5530</v>
      </c>
    </row>
    <row r="5408" spans="1:13" ht="15" customHeight="1">
      <c r="A5408" s="10">
        <v>46187</v>
      </c>
      <c r="B5408" t="s">
        <v>201</v>
      </c>
      <c r="C5408" s="135" t="s">
        <v>194</v>
      </c>
      <c r="D5408">
        <v>0</v>
      </c>
      <c r="E5408">
        <v>36</v>
      </c>
      <c r="I5408">
        <v>0</v>
      </c>
      <c r="J5408">
        <v>30</v>
      </c>
      <c r="M5408" t="s">
        <v>5531</v>
      </c>
    </row>
    <row r="5409" spans="1:13" ht="15" customHeight="1">
      <c r="A5409" s="10">
        <v>46187</v>
      </c>
      <c r="B5409" t="s">
        <v>201</v>
      </c>
      <c r="C5409" s="135" t="s">
        <v>196</v>
      </c>
      <c r="D5409">
        <v>0</v>
      </c>
      <c r="E5409">
        <v>600</v>
      </c>
      <c r="I5409">
        <v>0</v>
      </c>
      <c r="J5409">
        <v>534</v>
      </c>
      <c r="M5409" t="s">
        <v>5532</v>
      </c>
    </row>
    <row r="5410" spans="1:13" ht="15" customHeight="1">
      <c r="A5410" s="10">
        <v>46187</v>
      </c>
      <c r="B5410" t="s">
        <v>201</v>
      </c>
      <c r="C5410" s="135" t="s">
        <v>199</v>
      </c>
      <c r="D5410">
        <v>0</v>
      </c>
      <c r="E5410">
        <v>378</v>
      </c>
      <c r="I5410">
        <v>0</v>
      </c>
      <c r="J5410">
        <v>262</v>
      </c>
      <c r="M5410" t="s">
        <v>5533</v>
      </c>
    </row>
    <row r="5411" spans="1:13" ht="15" customHeight="1">
      <c r="A5411" s="10">
        <v>46187</v>
      </c>
      <c r="B5411" t="s">
        <v>201</v>
      </c>
      <c r="C5411" s="135" t="s">
        <v>200</v>
      </c>
      <c r="D5411">
        <v>0</v>
      </c>
      <c r="E5411">
        <v>1058</v>
      </c>
      <c r="I5411">
        <v>0</v>
      </c>
      <c r="J5411">
        <v>967</v>
      </c>
      <c r="M5411" t="s">
        <v>5534</v>
      </c>
    </row>
    <row r="5412" spans="1:13" ht="15" customHeight="1">
      <c r="A5412" s="10">
        <v>46187</v>
      </c>
      <c r="B5412" t="s">
        <v>201</v>
      </c>
      <c r="C5412" s="135" t="s">
        <v>202</v>
      </c>
      <c r="D5412">
        <v>0</v>
      </c>
      <c r="E5412">
        <v>827</v>
      </c>
      <c r="I5412">
        <v>0</v>
      </c>
      <c r="J5412">
        <v>768</v>
      </c>
      <c r="M5412" t="s">
        <v>5535</v>
      </c>
    </row>
    <row r="5413" spans="1:13" ht="15" customHeight="1">
      <c r="A5413" s="10">
        <v>46188</v>
      </c>
      <c r="B5413" t="s">
        <v>201</v>
      </c>
      <c r="C5413" t="s">
        <v>23</v>
      </c>
      <c r="D5413">
        <v>6</v>
      </c>
      <c r="E5413">
        <v>963</v>
      </c>
      <c r="F5413">
        <v>1</v>
      </c>
      <c r="G5413">
        <v>500</v>
      </c>
      <c r="I5413">
        <v>6</v>
      </c>
      <c r="J5413">
        <v>1164</v>
      </c>
      <c r="M5413" t="s">
        <v>5536</v>
      </c>
    </row>
    <row r="5414" spans="1:13" ht="15" customHeight="1">
      <c r="A5414" s="10">
        <v>46188</v>
      </c>
      <c r="B5414" t="s">
        <v>201</v>
      </c>
      <c r="C5414" t="s">
        <v>26</v>
      </c>
      <c r="D5414">
        <v>1</v>
      </c>
      <c r="E5414">
        <v>221</v>
      </c>
      <c r="I5414">
        <v>0</v>
      </c>
      <c r="J5414">
        <v>1203</v>
      </c>
      <c r="M5414" t="s">
        <v>5537</v>
      </c>
    </row>
    <row r="5415" spans="1:13" ht="15" customHeight="1">
      <c r="A5415" s="10">
        <v>46188</v>
      </c>
      <c r="B5415" t="s">
        <v>201</v>
      </c>
      <c r="C5415" t="s">
        <v>27</v>
      </c>
      <c r="D5415">
        <v>0</v>
      </c>
      <c r="E5415">
        <v>0</v>
      </c>
      <c r="I5415">
        <v>0</v>
      </c>
      <c r="J5415">
        <v>0</v>
      </c>
      <c r="M5415" t="s">
        <v>5538</v>
      </c>
    </row>
    <row r="5416" spans="1:13" ht="15" customHeight="1">
      <c r="A5416" s="10">
        <v>46188</v>
      </c>
      <c r="B5416" t="s">
        <v>201</v>
      </c>
      <c r="C5416" t="s">
        <v>28</v>
      </c>
      <c r="D5416">
        <v>0</v>
      </c>
      <c r="E5416">
        <v>0</v>
      </c>
      <c r="I5416">
        <v>0</v>
      </c>
      <c r="J5416">
        <v>0</v>
      </c>
      <c r="M5416" t="s">
        <v>5539</v>
      </c>
    </row>
    <row r="5417" spans="1:13" ht="15" customHeight="1">
      <c r="A5417" s="10">
        <v>46188</v>
      </c>
      <c r="B5417" t="s">
        <v>201</v>
      </c>
      <c r="C5417" t="s">
        <v>29</v>
      </c>
      <c r="D5417">
        <v>0</v>
      </c>
      <c r="E5417">
        <v>904</v>
      </c>
      <c r="I5417">
        <v>0</v>
      </c>
      <c r="J5417">
        <v>807</v>
      </c>
      <c r="M5417" t="s">
        <v>5540</v>
      </c>
    </row>
    <row r="5418" spans="1:13" ht="15" customHeight="1">
      <c r="A5418" s="10">
        <v>46188</v>
      </c>
      <c r="B5418" t="s">
        <v>201</v>
      </c>
      <c r="C5418" t="s">
        <v>30</v>
      </c>
      <c r="D5418">
        <v>2</v>
      </c>
      <c r="E5418">
        <v>401</v>
      </c>
      <c r="I5418">
        <v>2</v>
      </c>
      <c r="J5418">
        <v>391</v>
      </c>
      <c r="M5418" t="s">
        <v>5541</v>
      </c>
    </row>
    <row r="5419" spans="1:13" ht="15" customHeight="1">
      <c r="A5419" s="10">
        <v>46188</v>
      </c>
      <c r="B5419" t="s">
        <v>201</v>
      </c>
      <c r="C5419" t="s">
        <v>31</v>
      </c>
      <c r="D5419">
        <v>0</v>
      </c>
      <c r="E5419">
        <v>813</v>
      </c>
      <c r="I5419">
        <v>0</v>
      </c>
      <c r="J5419">
        <v>229</v>
      </c>
      <c r="M5419" t="s">
        <v>5542</v>
      </c>
    </row>
    <row r="5420" spans="1:13" ht="15" customHeight="1">
      <c r="A5420" s="10">
        <v>46188</v>
      </c>
      <c r="B5420" t="s">
        <v>201</v>
      </c>
      <c r="C5420" t="s">
        <v>32</v>
      </c>
      <c r="D5420">
        <v>2</v>
      </c>
      <c r="E5420">
        <v>0</v>
      </c>
      <c r="I5420">
        <v>1</v>
      </c>
      <c r="J5420">
        <v>316</v>
      </c>
      <c r="M5420" t="s">
        <v>5543</v>
      </c>
    </row>
    <row r="5421" spans="1:13" ht="15" customHeight="1">
      <c r="A5421" s="10">
        <v>46188</v>
      </c>
      <c r="B5421" t="s">
        <v>201</v>
      </c>
      <c r="C5421" t="s">
        <v>223</v>
      </c>
      <c r="D5421">
        <v>7</v>
      </c>
      <c r="E5421">
        <v>204</v>
      </c>
      <c r="I5421">
        <v>5</v>
      </c>
      <c r="J5421">
        <v>940</v>
      </c>
      <c r="M5421" t="s">
        <v>5544</v>
      </c>
    </row>
    <row r="5422" spans="1:13" ht="15" customHeight="1">
      <c r="A5422" s="10">
        <v>46188</v>
      </c>
      <c r="B5422" t="s">
        <v>201</v>
      </c>
      <c r="C5422" t="s">
        <v>35</v>
      </c>
      <c r="D5422">
        <v>10</v>
      </c>
      <c r="E5422">
        <v>0</v>
      </c>
      <c r="H5422">
        <v>1</v>
      </c>
      <c r="I5422">
        <v>6</v>
      </c>
      <c r="K5422">
        <v>3</v>
      </c>
      <c r="L5422" t="s">
        <v>5545</v>
      </c>
      <c r="M5422" t="s">
        <v>5546</v>
      </c>
    </row>
    <row r="5423" spans="1:13" ht="15" customHeight="1">
      <c r="A5423" s="10">
        <v>46188</v>
      </c>
      <c r="B5423" t="s">
        <v>201</v>
      </c>
      <c r="C5423" t="s">
        <v>37</v>
      </c>
      <c r="D5423">
        <v>0</v>
      </c>
      <c r="E5423">
        <v>0</v>
      </c>
      <c r="I5423">
        <v>0</v>
      </c>
      <c r="M5423" t="s">
        <v>5547</v>
      </c>
    </row>
    <row r="5424" spans="1:13" ht="15" customHeight="1">
      <c r="A5424" s="10">
        <v>46188</v>
      </c>
      <c r="B5424" t="s">
        <v>201</v>
      </c>
      <c r="C5424" t="s">
        <v>39</v>
      </c>
      <c r="D5424">
        <v>5</v>
      </c>
      <c r="E5424">
        <v>0</v>
      </c>
      <c r="H5424">
        <v>2</v>
      </c>
      <c r="I5424">
        <v>3</v>
      </c>
      <c r="M5424" t="s">
        <v>5548</v>
      </c>
    </row>
    <row r="5425" spans="1:13" ht="15" customHeight="1">
      <c r="A5425" s="10">
        <v>46188</v>
      </c>
      <c r="B5425" t="s">
        <v>201</v>
      </c>
      <c r="C5425" t="s">
        <v>41</v>
      </c>
      <c r="D5425">
        <v>22</v>
      </c>
      <c r="E5425">
        <v>0</v>
      </c>
      <c r="I5425">
        <v>22</v>
      </c>
      <c r="M5425" t="s">
        <v>5549</v>
      </c>
    </row>
    <row r="5426" spans="1:13" ht="15" customHeight="1">
      <c r="A5426" s="10">
        <v>46188</v>
      </c>
      <c r="B5426" t="s">
        <v>201</v>
      </c>
      <c r="C5426" s="135" t="s">
        <v>44</v>
      </c>
      <c r="D5426">
        <v>5</v>
      </c>
      <c r="E5426">
        <v>7237</v>
      </c>
      <c r="I5426">
        <v>4</v>
      </c>
      <c r="J5426">
        <v>7566</v>
      </c>
      <c r="M5426" t="s">
        <v>5550</v>
      </c>
    </row>
    <row r="5427" spans="1:13" ht="15" customHeight="1">
      <c r="A5427" s="10">
        <v>46188</v>
      </c>
      <c r="B5427" t="s">
        <v>201</v>
      </c>
      <c r="C5427" t="s">
        <v>230</v>
      </c>
      <c r="D5427">
        <v>1</v>
      </c>
      <c r="E5427">
        <v>138</v>
      </c>
      <c r="I5427">
        <v>1</v>
      </c>
      <c r="J5427">
        <v>108</v>
      </c>
      <c r="M5427" t="s">
        <v>5551</v>
      </c>
    </row>
    <row r="5428" spans="1:13" ht="15" customHeight="1">
      <c r="A5428" s="10">
        <v>46188</v>
      </c>
      <c r="B5428" t="s">
        <v>201</v>
      </c>
      <c r="C5428" t="s">
        <v>232</v>
      </c>
      <c r="D5428">
        <v>11</v>
      </c>
      <c r="E5428">
        <v>0</v>
      </c>
      <c r="I5428">
        <v>11</v>
      </c>
      <c r="M5428" t="s">
        <v>5552</v>
      </c>
    </row>
    <row r="5429" spans="1:13" ht="15" customHeight="1">
      <c r="A5429" s="10">
        <v>46188</v>
      </c>
      <c r="B5429" t="s">
        <v>201</v>
      </c>
      <c r="C5429" t="s">
        <v>234</v>
      </c>
      <c r="D5429">
        <v>65</v>
      </c>
      <c r="E5429">
        <v>0</v>
      </c>
      <c r="H5429">
        <v>17</v>
      </c>
      <c r="I5429">
        <v>48</v>
      </c>
      <c r="M5429" t="s">
        <v>5553</v>
      </c>
    </row>
    <row r="5430" spans="1:13" ht="15" customHeight="1">
      <c r="A5430" s="10">
        <v>46188</v>
      </c>
      <c r="B5430" t="s">
        <v>201</v>
      </c>
      <c r="C5430" t="s">
        <v>54</v>
      </c>
      <c r="D5430">
        <v>0</v>
      </c>
      <c r="E5430">
        <v>0</v>
      </c>
      <c r="I5430">
        <v>0</v>
      </c>
      <c r="M5430" t="s">
        <v>5554</v>
      </c>
    </row>
    <row r="5431" spans="1:13" ht="15" customHeight="1">
      <c r="A5431" s="10">
        <v>46188</v>
      </c>
      <c r="B5431" t="s">
        <v>201</v>
      </c>
      <c r="C5431" t="s">
        <v>237</v>
      </c>
      <c r="D5431">
        <v>8</v>
      </c>
      <c r="E5431">
        <v>0</v>
      </c>
      <c r="I5431">
        <v>8</v>
      </c>
      <c r="M5431" t="s">
        <v>5555</v>
      </c>
    </row>
    <row r="5432" spans="1:13" ht="15" customHeight="1">
      <c r="A5432" s="10">
        <v>46188</v>
      </c>
      <c r="B5432" t="s">
        <v>201</v>
      </c>
      <c r="C5432" s="135" t="s">
        <v>58</v>
      </c>
      <c r="D5432">
        <v>8</v>
      </c>
      <c r="E5432">
        <v>0</v>
      </c>
      <c r="H5432">
        <v>3</v>
      </c>
      <c r="I5432">
        <v>5</v>
      </c>
      <c r="M5432" t="s">
        <v>5556</v>
      </c>
    </row>
    <row r="5433" spans="1:13" ht="15" customHeight="1">
      <c r="A5433" s="10">
        <v>46188</v>
      </c>
      <c r="B5433" t="s">
        <v>201</v>
      </c>
      <c r="C5433" s="135" t="s">
        <v>60</v>
      </c>
      <c r="D5433">
        <v>10</v>
      </c>
      <c r="E5433">
        <v>0</v>
      </c>
      <c r="H5433">
        <v>3</v>
      </c>
      <c r="I5433">
        <v>7</v>
      </c>
      <c r="M5433" t="s">
        <v>5557</v>
      </c>
    </row>
    <row r="5434" spans="1:13" ht="15" customHeight="1">
      <c r="A5434" s="10">
        <v>46188</v>
      </c>
      <c r="B5434" t="s">
        <v>201</v>
      </c>
      <c r="C5434" s="135" t="s">
        <v>61</v>
      </c>
      <c r="D5434">
        <v>6</v>
      </c>
      <c r="E5434">
        <v>0</v>
      </c>
      <c r="H5434">
        <v>6</v>
      </c>
      <c r="I5434">
        <v>0</v>
      </c>
      <c r="M5434" t="s">
        <v>5558</v>
      </c>
    </row>
    <row r="5435" spans="1:13" ht="15" customHeight="1">
      <c r="A5435" s="10">
        <v>46188</v>
      </c>
      <c r="B5435" t="s">
        <v>201</v>
      </c>
      <c r="C5435" s="135" t="s">
        <v>62</v>
      </c>
      <c r="D5435">
        <v>7</v>
      </c>
      <c r="E5435">
        <v>0</v>
      </c>
      <c r="H5435">
        <v>1</v>
      </c>
      <c r="I5435">
        <v>6</v>
      </c>
      <c r="M5435" t="s">
        <v>5559</v>
      </c>
    </row>
    <row r="5436" spans="1:13" ht="15" customHeight="1">
      <c r="A5436" s="10">
        <v>46188</v>
      </c>
      <c r="B5436" t="s">
        <v>201</v>
      </c>
      <c r="C5436" s="135" t="s">
        <v>63</v>
      </c>
      <c r="D5436">
        <v>12</v>
      </c>
      <c r="E5436">
        <v>0</v>
      </c>
      <c r="I5436">
        <v>12</v>
      </c>
      <c r="M5436" t="s">
        <v>5560</v>
      </c>
    </row>
    <row r="5437" spans="1:13" ht="15" customHeight="1">
      <c r="A5437" s="10">
        <v>46188</v>
      </c>
      <c r="B5437" t="s">
        <v>201</v>
      </c>
      <c r="C5437" s="135" t="s">
        <v>64</v>
      </c>
      <c r="D5437">
        <v>6</v>
      </c>
      <c r="E5437">
        <v>0</v>
      </c>
      <c r="H5437">
        <v>4</v>
      </c>
      <c r="I5437">
        <v>2</v>
      </c>
      <c r="M5437" t="s">
        <v>5561</v>
      </c>
    </row>
    <row r="5438" spans="1:13" ht="15" customHeight="1">
      <c r="A5438" s="10">
        <v>46188</v>
      </c>
      <c r="B5438" t="s">
        <v>201</v>
      </c>
      <c r="C5438" t="s">
        <v>66</v>
      </c>
      <c r="D5438">
        <v>4</v>
      </c>
      <c r="E5438">
        <v>0</v>
      </c>
      <c r="I5438">
        <v>4</v>
      </c>
      <c r="M5438" t="s">
        <v>5562</v>
      </c>
    </row>
    <row r="5439" spans="1:13" ht="15" customHeight="1">
      <c r="A5439" s="10">
        <v>46188</v>
      </c>
      <c r="B5439" t="s">
        <v>201</v>
      </c>
      <c r="C5439" t="s">
        <v>67</v>
      </c>
      <c r="D5439">
        <v>4</v>
      </c>
      <c r="E5439">
        <v>0</v>
      </c>
      <c r="I5439">
        <v>4</v>
      </c>
      <c r="M5439" t="s">
        <v>5563</v>
      </c>
    </row>
    <row r="5440" spans="1:13" ht="15" customHeight="1">
      <c r="A5440" s="10">
        <v>46188</v>
      </c>
      <c r="B5440" t="s">
        <v>201</v>
      </c>
      <c r="C5440" t="s">
        <v>68</v>
      </c>
      <c r="D5440">
        <v>5</v>
      </c>
      <c r="E5440">
        <v>0</v>
      </c>
      <c r="I5440">
        <v>5</v>
      </c>
      <c r="M5440" t="s">
        <v>5564</v>
      </c>
    </row>
    <row r="5441" spans="1:13" ht="15" customHeight="1">
      <c r="A5441" s="10">
        <v>46188</v>
      </c>
      <c r="B5441" t="s">
        <v>201</v>
      </c>
      <c r="C5441" t="s">
        <v>71</v>
      </c>
      <c r="D5441">
        <v>1</v>
      </c>
      <c r="E5441">
        <v>456</v>
      </c>
      <c r="I5441">
        <v>1</v>
      </c>
      <c r="J5441">
        <v>600</v>
      </c>
      <c r="M5441" t="s">
        <v>5565</v>
      </c>
    </row>
    <row r="5442" spans="1:13" ht="15" customHeight="1">
      <c r="A5442" s="10">
        <v>46188</v>
      </c>
      <c r="B5442" t="s">
        <v>201</v>
      </c>
      <c r="C5442" t="s">
        <v>73</v>
      </c>
      <c r="D5442">
        <v>2</v>
      </c>
      <c r="E5442">
        <v>262</v>
      </c>
      <c r="I5442">
        <v>2</v>
      </c>
      <c r="J5442">
        <v>187</v>
      </c>
      <c r="M5442" t="s">
        <v>5566</v>
      </c>
    </row>
    <row r="5443" spans="1:13" ht="15" customHeight="1">
      <c r="A5443" s="10">
        <v>46188</v>
      </c>
      <c r="B5443" t="s">
        <v>201</v>
      </c>
      <c r="C5443" t="s">
        <v>75</v>
      </c>
      <c r="D5443">
        <v>0</v>
      </c>
      <c r="E5443">
        <v>182</v>
      </c>
      <c r="I5443">
        <v>0</v>
      </c>
      <c r="J5443">
        <v>182</v>
      </c>
      <c r="M5443" t="s">
        <v>5567</v>
      </c>
    </row>
    <row r="5444" spans="1:13" ht="15" customHeight="1">
      <c r="A5444" s="10">
        <v>46188</v>
      </c>
      <c r="B5444" t="s">
        <v>201</v>
      </c>
      <c r="C5444" t="s">
        <v>77</v>
      </c>
      <c r="D5444">
        <v>0</v>
      </c>
      <c r="E5444">
        <v>436</v>
      </c>
      <c r="I5444">
        <v>0</v>
      </c>
      <c r="J5444">
        <v>394</v>
      </c>
      <c r="M5444" t="s">
        <v>5568</v>
      </c>
    </row>
    <row r="5445" spans="1:13" ht="15" customHeight="1">
      <c r="A5445" s="10">
        <v>46188</v>
      </c>
      <c r="B5445" t="s">
        <v>201</v>
      </c>
      <c r="C5445" t="s">
        <v>79</v>
      </c>
      <c r="D5445">
        <v>1</v>
      </c>
      <c r="E5445">
        <v>1121</v>
      </c>
      <c r="I5445">
        <v>1</v>
      </c>
      <c r="J5445">
        <v>1085</v>
      </c>
      <c r="M5445" t="s">
        <v>5569</v>
      </c>
    </row>
    <row r="5446" spans="1:13" ht="15" customHeight="1">
      <c r="A5446" s="10">
        <v>46188</v>
      </c>
      <c r="B5446" t="s">
        <v>201</v>
      </c>
      <c r="C5446" t="s">
        <v>81</v>
      </c>
      <c r="D5446">
        <v>1</v>
      </c>
      <c r="E5446">
        <v>446</v>
      </c>
      <c r="I5446">
        <v>1</v>
      </c>
      <c r="J5446">
        <v>418</v>
      </c>
      <c r="M5446" t="s">
        <v>5570</v>
      </c>
    </row>
    <row r="5447" spans="1:13" ht="15" customHeight="1">
      <c r="A5447" s="10">
        <v>46188</v>
      </c>
      <c r="B5447" t="s">
        <v>201</v>
      </c>
      <c r="C5447" t="s">
        <v>83</v>
      </c>
      <c r="D5447">
        <v>1</v>
      </c>
      <c r="E5447">
        <v>74</v>
      </c>
      <c r="I5447">
        <v>1</v>
      </c>
      <c r="J5447">
        <v>60</v>
      </c>
      <c r="M5447" t="s">
        <v>5571</v>
      </c>
    </row>
    <row r="5448" spans="1:13" ht="15" customHeight="1">
      <c r="A5448" s="10">
        <v>46188</v>
      </c>
      <c r="B5448" t="s">
        <v>201</v>
      </c>
      <c r="C5448" t="s">
        <v>84</v>
      </c>
      <c r="D5448">
        <v>1</v>
      </c>
      <c r="E5448">
        <v>358</v>
      </c>
      <c r="I5448">
        <v>1</v>
      </c>
      <c r="J5448">
        <v>348</v>
      </c>
      <c r="M5448" t="s">
        <v>5572</v>
      </c>
    </row>
    <row r="5449" spans="1:13" ht="15" customHeight="1">
      <c r="A5449" s="10">
        <v>46188</v>
      </c>
      <c r="B5449" t="s">
        <v>201</v>
      </c>
      <c r="C5449" t="s">
        <v>85</v>
      </c>
      <c r="D5449">
        <v>0</v>
      </c>
      <c r="E5449">
        <v>214</v>
      </c>
      <c r="I5449">
        <v>0</v>
      </c>
      <c r="J5449">
        <v>214</v>
      </c>
      <c r="M5449" t="s">
        <v>5573</v>
      </c>
    </row>
    <row r="5450" spans="1:13" ht="15" customHeight="1">
      <c r="A5450" s="10">
        <v>46188</v>
      </c>
      <c r="B5450" t="s">
        <v>201</v>
      </c>
      <c r="C5450" t="s">
        <v>87</v>
      </c>
      <c r="D5450">
        <v>2</v>
      </c>
      <c r="E5450">
        <v>307</v>
      </c>
      <c r="I5450">
        <v>2</v>
      </c>
      <c r="J5450">
        <v>285</v>
      </c>
      <c r="M5450" t="s">
        <v>5574</v>
      </c>
    </row>
    <row r="5451" spans="1:13" ht="15" customHeight="1">
      <c r="A5451" s="10">
        <v>46188</v>
      </c>
      <c r="B5451" t="s">
        <v>201</v>
      </c>
      <c r="C5451" t="s">
        <v>88</v>
      </c>
      <c r="D5451">
        <v>1</v>
      </c>
      <c r="E5451">
        <v>298</v>
      </c>
      <c r="I5451">
        <v>1</v>
      </c>
      <c r="J5451">
        <v>295</v>
      </c>
      <c r="M5451" t="s">
        <v>5575</v>
      </c>
    </row>
    <row r="5452" spans="1:13" ht="15" customHeight="1">
      <c r="A5452" s="10">
        <v>46188</v>
      </c>
      <c r="B5452" t="s">
        <v>201</v>
      </c>
      <c r="C5452" t="s">
        <v>89</v>
      </c>
      <c r="D5452">
        <v>1</v>
      </c>
      <c r="E5452">
        <v>305</v>
      </c>
      <c r="I5452">
        <v>1</v>
      </c>
      <c r="J5452">
        <v>302</v>
      </c>
      <c r="M5452" t="s">
        <v>5576</v>
      </c>
    </row>
    <row r="5453" spans="1:13" ht="15" customHeight="1">
      <c r="A5453" s="10">
        <v>46188</v>
      </c>
      <c r="B5453" t="s">
        <v>201</v>
      </c>
      <c r="C5453" t="s">
        <v>90</v>
      </c>
      <c r="D5453">
        <v>1</v>
      </c>
      <c r="E5453">
        <v>943</v>
      </c>
      <c r="I5453">
        <v>1</v>
      </c>
      <c r="J5453">
        <v>834</v>
      </c>
      <c r="M5453" t="s">
        <v>5577</v>
      </c>
    </row>
    <row r="5454" spans="1:13" ht="15" customHeight="1">
      <c r="A5454" s="10">
        <v>46188</v>
      </c>
      <c r="B5454" t="s">
        <v>201</v>
      </c>
      <c r="C5454" t="s">
        <v>92</v>
      </c>
      <c r="D5454">
        <v>1</v>
      </c>
      <c r="E5454">
        <v>1024</v>
      </c>
      <c r="I5454">
        <v>1</v>
      </c>
      <c r="J5454">
        <v>799</v>
      </c>
      <c r="M5454" t="s">
        <v>5578</v>
      </c>
    </row>
    <row r="5455" spans="1:13" ht="15" customHeight="1">
      <c r="A5455" s="10">
        <v>46188</v>
      </c>
      <c r="B5455" t="s">
        <v>201</v>
      </c>
      <c r="C5455" t="s">
        <v>94</v>
      </c>
      <c r="D5455">
        <v>3</v>
      </c>
      <c r="E5455">
        <v>295</v>
      </c>
      <c r="I5455">
        <v>2</v>
      </c>
      <c r="J5455">
        <v>364</v>
      </c>
      <c r="M5455" t="s">
        <v>5579</v>
      </c>
    </row>
    <row r="5456" spans="1:13" ht="15" customHeight="1">
      <c r="A5456" s="10">
        <v>46188</v>
      </c>
      <c r="B5456" t="s">
        <v>201</v>
      </c>
      <c r="C5456" t="s">
        <v>96</v>
      </c>
      <c r="D5456">
        <v>0</v>
      </c>
      <c r="E5456">
        <v>0</v>
      </c>
      <c r="I5456">
        <v>0</v>
      </c>
      <c r="J5456">
        <v>0</v>
      </c>
      <c r="M5456" t="s">
        <v>5580</v>
      </c>
    </row>
    <row r="5457" spans="1:13" ht="15" customHeight="1">
      <c r="A5457" s="10">
        <v>46188</v>
      </c>
      <c r="B5457" t="s">
        <v>201</v>
      </c>
      <c r="C5457" t="s">
        <v>98</v>
      </c>
      <c r="D5457">
        <v>2</v>
      </c>
      <c r="E5457">
        <v>419</v>
      </c>
      <c r="I5457">
        <v>0</v>
      </c>
      <c r="J5457">
        <v>719</v>
      </c>
      <c r="M5457" t="s">
        <v>5581</v>
      </c>
    </row>
    <row r="5458" spans="1:13" ht="15" customHeight="1">
      <c r="A5458" s="10">
        <v>46188</v>
      </c>
      <c r="B5458" t="s">
        <v>201</v>
      </c>
      <c r="C5458" t="s">
        <v>203</v>
      </c>
      <c r="D5458">
        <v>0</v>
      </c>
      <c r="E5458">
        <v>0</v>
      </c>
      <c r="I5458">
        <v>0</v>
      </c>
      <c r="J5458">
        <v>0</v>
      </c>
      <c r="M5458" t="s">
        <v>5582</v>
      </c>
    </row>
    <row r="5459" spans="1:13" ht="15" customHeight="1">
      <c r="A5459" s="10">
        <v>46188</v>
      </c>
      <c r="B5459" t="s">
        <v>201</v>
      </c>
      <c r="C5459" t="s">
        <v>100</v>
      </c>
      <c r="D5459">
        <v>0</v>
      </c>
      <c r="E5459">
        <v>0</v>
      </c>
      <c r="I5459">
        <v>0</v>
      </c>
      <c r="J5459">
        <v>0</v>
      </c>
      <c r="M5459" t="s">
        <v>5583</v>
      </c>
    </row>
    <row r="5460" spans="1:13" ht="15" customHeight="1">
      <c r="A5460" s="10">
        <v>46188</v>
      </c>
      <c r="B5460" t="s">
        <v>201</v>
      </c>
      <c r="C5460" t="s">
        <v>101</v>
      </c>
      <c r="D5460">
        <v>0</v>
      </c>
      <c r="E5460">
        <v>267</v>
      </c>
      <c r="I5460">
        <v>1</v>
      </c>
      <c r="J5460">
        <v>218</v>
      </c>
      <c r="M5460" t="s">
        <v>5584</v>
      </c>
    </row>
    <row r="5461" spans="1:13" ht="15" customHeight="1">
      <c r="A5461" s="10">
        <v>46188</v>
      </c>
      <c r="B5461" t="s">
        <v>201</v>
      </c>
      <c r="C5461" t="s">
        <v>103</v>
      </c>
      <c r="D5461">
        <v>0</v>
      </c>
      <c r="E5461">
        <v>2</v>
      </c>
      <c r="I5461">
        <v>0</v>
      </c>
      <c r="J5461">
        <v>7</v>
      </c>
      <c r="M5461" t="s">
        <v>5585</v>
      </c>
    </row>
    <row r="5462" spans="1:13" ht="15" customHeight="1">
      <c r="A5462" s="10">
        <v>46188</v>
      </c>
      <c r="B5462" t="s">
        <v>201</v>
      </c>
      <c r="C5462" t="s">
        <v>106</v>
      </c>
      <c r="D5462">
        <v>1</v>
      </c>
      <c r="E5462">
        <v>611</v>
      </c>
      <c r="I5462">
        <v>1</v>
      </c>
      <c r="J5462">
        <v>335</v>
      </c>
      <c r="M5462" t="s">
        <v>5586</v>
      </c>
    </row>
    <row r="5463" spans="1:13" ht="15" customHeight="1">
      <c r="A5463" s="10">
        <v>46188</v>
      </c>
      <c r="B5463" t="s">
        <v>201</v>
      </c>
      <c r="C5463" t="s">
        <v>108</v>
      </c>
      <c r="D5463">
        <v>1</v>
      </c>
      <c r="E5463">
        <v>1368</v>
      </c>
      <c r="I5463">
        <v>1</v>
      </c>
      <c r="J5463">
        <v>1217</v>
      </c>
      <c r="M5463" t="s">
        <v>5587</v>
      </c>
    </row>
    <row r="5464" spans="1:13" ht="15" customHeight="1">
      <c r="A5464" s="10">
        <v>46188</v>
      </c>
      <c r="B5464" t="s">
        <v>201</v>
      </c>
      <c r="C5464" t="s">
        <v>109</v>
      </c>
      <c r="D5464">
        <v>1</v>
      </c>
      <c r="E5464">
        <v>453</v>
      </c>
      <c r="I5464">
        <v>1</v>
      </c>
      <c r="J5464">
        <v>424</v>
      </c>
      <c r="M5464" t="s">
        <v>5588</v>
      </c>
    </row>
    <row r="5465" spans="1:13" ht="15" customHeight="1">
      <c r="A5465" s="10">
        <v>46188</v>
      </c>
      <c r="B5465" t="s">
        <v>201</v>
      </c>
      <c r="C5465" t="s">
        <v>112</v>
      </c>
      <c r="D5465">
        <v>0</v>
      </c>
      <c r="E5465">
        <v>43</v>
      </c>
      <c r="I5465">
        <v>0</v>
      </c>
      <c r="J5465">
        <v>43</v>
      </c>
      <c r="M5465" t="s">
        <v>5589</v>
      </c>
    </row>
    <row r="5466" spans="1:13" ht="15" customHeight="1">
      <c r="A5466" s="10">
        <v>46188</v>
      </c>
      <c r="B5466" t="s">
        <v>201</v>
      </c>
      <c r="C5466" t="s">
        <v>114</v>
      </c>
      <c r="D5466">
        <v>2</v>
      </c>
      <c r="E5466">
        <v>48</v>
      </c>
      <c r="I5466">
        <v>2</v>
      </c>
      <c r="J5466">
        <v>25</v>
      </c>
      <c r="M5466" t="s">
        <v>5590</v>
      </c>
    </row>
    <row r="5467" spans="1:13" ht="15" customHeight="1">
      <c r="A5467" s="10">
        <v>46188</v>
      </c>
      <c r="B5467" t="s">
        <v>201</v>
      </c>
      <c r="C5467" t="s">
        <v>115</v>
      </c>
      <c r="D5467">
        <v>0</v>
      </c>
      <c r="E5467">
        <v>53</v>
      </c>
      <c r="I5467">
        <v>0</v>
      </c>
      <c r="J5467">
        <v>48</v>
      </c>
      <c r="M5467" t="s">
        <v>5591</v>
      </c>
    </row>
    <row r="5468" spans="1:13" ht="15" customHeight="1">
      <c r="A5468" s="10">
        <v>46188</v>
      </c>
      <c r="B5468" t="s">
        <v>201</v>
      </c>
      <c r="C5468" t="s">
        <v>116</v>
      </c>
      <c r="D5468">
        <v>3</v>
      </c>
      <c r="E5468">
        <v>15</v>
      </c>
      <c r="I5468">
        <v>2</v>
      </c>
      <c r="J5468">
        <v>46</v>
      </c>
      <c r="M5468" t="s">
        <v>5592</v>
      </c>
    </row>
    <row r="5469" spans="1:13" ht="15" customHeight="1">
      <c r="A5469" s="10">
        <v>46188</v>
      </c>
      <c r="B5469" t="s">
        <v>201</v>
      </c>
      <c r="C5469" t="s">
        <v>119</v>
      </c>
      <c r="D5469">
        <v>2</v>
      </c>
      <c r="E5469">
        <v>0</v>
      </c>
      <c r="I5469">
        <v>1</v>
      </c>
      <c r="M5469" t="s">
        <v>5593</v>
      </c>
    </row>
    <row r="5470" spans="1:13" ht="15" customHeight="1">
      <c r="A5470" s="10">
        <v>46188</v>
      </c>
      <c r="B5470" t="s">
        <v>201</v>
      </c>
      <c r="C5470" t="s">
        <v>120</v>
      </c>
      <c r="D5470">
        <v>2</v>
      </c>
      <c r="E5470">
        <v>0</v>
      </c>
      <c r="I5470">
        <v>2</v>
      </c>
      <c r="M5470" t="s">
        <v>5594</v>
      </c>
    </row>
    <row r="5471" spans="1:13" ht="15" customHeight="1">
      <c r="A5471" s="10">
        <v>46188</v>
      </c>
      <c r="B5471" t="s">
        <v>201</v>
      </c>
      <c r="C5471" t="s">
        <v>121</v>
      </c>
      <c r="D5471">
        <v>2</v>
      </c>
      <c r="E5471">
        <v>0</v>
      </c>
      <c r="I5471">
        <v>1</v>
      </c>
      <c r="M5471" t="s">
        <v>5595</v>
      </c>
    </row>
    <row r="5472" spans="1:13" ht="15" customHeight="1">
      <c r="A5472" s="10">
        <v>46188</v>
      </c>
      <c r="B5472" t="s">
        <v>201</v>
      </c>
      <c r="C5472" t="s">
        <v>123</v>
      </c>
      <c r="D5472">
        <v>2</v>
      </c>
      <c r="E5472">
        <v>0</v>
      </c>
      <c r="I5472">
        <v>2</v>
      </c>
      <c r="M5472" t="s">
        <v>5596</v>
      </c>
    </row>
    <row r="5473" spans="1:13" ht="15" customHeight="1">
      <c r="A5473" s="10">
        <v>46188</v>
      </c>
      <c r="B5473" t="s">
        <v>201</v>
      </c>
      <c r="C5473" t="s">
        <v>124</v>
      </c>
      <c r="D5473">
        <v>1</v>
      </c>
      <c r="E5473">
        <v>0</v>
      </c>
      <c r="I5473">
        <v>0</v>
      </c>
      <c r="M5473" t="s">
        <v>5597</v>
      </c>
    </row>
    <row r="5474" spans="1:13" ht="15" customHeight="1">
      <c r="A5474" s="10">
        <v>46188</v>
      </c>
      <c r="B5474" t="s">
        <v>201</v>
      </c>
      <c r="C5474" t="s">
        <v>125</v>
      </c>
      <c r="D5474">
        <v>1</v>
      </c>
      <c r="E5474">
        <v>0</v>
      </c>
      <c r="I5474">
        <v>1</v>
      </c>
      <c r="M5474" t="s">
        <v>5598</v>
      </c>
    </row>
    <row r="5475" spans="1:13" ht="15" customHeight="1">
      <c r="A5475" s="10">
        <v>46188</v>
      </c>
      <c r="B5475" t="s">
        <v>201</v>
      </c>
      <c r="C5475" t="s">
        <v>126</v>
      </c>
      <c r="D5475">
        <v>1</v>
      </c>
      <c r="E5475">
        <v>0</v>
      </c>
      <c r="I5475">
        <v>1</v>
      </c>
      <c r="M5475" t="s">
        <v>5599</v>
      </c>
    </row>
    <row r="5476" spans="1:13" ht="15" customHeight="1">
      <c r="A5476" s="10">
        <v>46188</v>
      </c>
      <c r="B5476" t="s">
        <v>201</v>
      </c>
      <c r="C5476" t="s">
        <v>128</v>
      </c>
      <c r="D5476">
        <v>2</v>
      </c>
      <c r="E5476">
        <v>0</v>
      </c>
      <c r="I5476">
        <v>2</v>
      </c>
      <c r="M5476" t="s">
        <v>5600</v>
      </c>
    </row>
    <row r="5477" spans="1:13" ht="15" customHeight="1">
      <c r="A5477" s="10">
        <v>46188</v>
      </c>
      <c r="B5477" t="s">
        <v>201</v>
      </c>
      <c r="C5477" t="s">
        <v>130</v>
      </c>
      <c r="D5477">
        <v>4</v>
      </c>
      <c r="E5477">
        <v>0</v>
      </c>
      <c r="I5477">
        <v>3</v>
      </c>
      <c r="M5477" t="s">
        <v>5601</v>
      </c>
    </row>
    <row r="5478" spans="1:13" ht="15" customHeight="1">
      <c r="A5478" s="10">
        <v>46188</v>
      </c>
      <c r="B5478" t="s">
        <v>201</v>
      </c>
      <c r="C5478" t="s">
        <v>285</v>
      </c>
      <c r="D5478">
        <v>2</v>
      </c>
      <c r="E5478">
        <v>0</v>
      </c>
      <c r="I5478">
        <v>2</v>
      </c>
      <c r="M5478" t="s">
        <v>5602</v>
      </c>
    </row>
    <row r="5479" spans="1:13" ht="15" customHeight="1">
      <c r="A5479" s="10">
        <v>46188</v>
      </c>
      <c r="B5479" t="s">
        <v>201</v>
      </c>
      <c r="C5479" t="s">
        <v>287</v>
      </c>
      <c r="D5479">
        <v>2</v>
      </c>
      <c r="E5479">
        <v>0</v>
      </c>
      <c r="I5479">
        <v>2</v>
      </c>
      <c r="M5479" t="s">
        <v>5603</v>
      </c>
    </row>
    <row r="5480" spans="1:13" ht="15" customHeight="1">
      <c r="A5480" s="10">
        <v>46188</v>
      </c>
      <c r="B5480" t="s">
        <v>201</v>
      </c>
      <c r="C5480" t="s">
        <v>289</v>
      </c>
      <c r="D5480">
        <v>2</v>
      </c>
      <c r="E5480">
        <v>0</v>
      </c>
      <c r="I5480">
        <v>2</v>
      </c>
      <c r="M5480" t="s">
        <v>5604</v>
      </c>
    </row>
    <row r="5481" spans="1:13" ht="15" customHeight="1">
      <c r="A5481" s="10">
        <v>46188</v>
      </c>
      <c r="B5481" t="s">
        <v>201</v>
      </c>
      <c r="C5481" t="s">
        <v>291</v>
      </c>
      <c r="D5481">
        <v>2</v>
      </c>
      <c r="E5481">
        <v>0</v>
      </c>
      <c r="I5481">
        <v>2</v>
      </c>
      <c r="M5481" t="s">
        <v>5605</v>
      </c>
    </row>
    <row r="5482" spans="1:13" ht="15" customHeight="1">
      <c r="A5482" s="10">
        <v>46188</v>
      </c>
      <c r="B5482" t="s">
        <v>201</v>
      </c>
      <c r="C5482" t="s">
        <v>293</v>
      </c>
      <c r="D5482">
        <v>3</v>
      </c>
      <c r="E5482">
        <v>0</v>
      </c>
      <c r="I5482">
        <v>3</v>
      </c>
      <c r="M5482" t="s">
        <v>5606</v>
      </c>
    </row>
    <row r="5483" spans="1:13" ht="15" customHeight="1">
      <c r="A5483" s="10">
        <v>46188</v>
      </c>
      <c r="B5483" t="s">
        <v>201</v>
      </c>
      <c r="C5483" s="135" t="s">
        <v>138</v>
      </c>
      <c r="D5483">
        <v>0</v>
      </c>
      <c r="E5483">
        <v>65</v>
      </c>
      <c r="I5483">
        <v>0</v>
      </c>
      <c r="J5483">
        <v>61</v>
      </c>
      <c r="M5483" t="s">
        <v>5607</v>
      </c>
    </row>
    <row r="5484" spans="1:13" ht="15" customHeight="1">
      <c r="A5484" s="10">
        <v>46188</v>
      </c>
      <c r="B5484" t="s">
        <v>201</v>
      </c>
      <c r="C5484" s="135" t="s">
        <v>139</v>
      </c>
      <c r="D5484">
        <v>0</v>
      </c>
      <c r="E5484">
        <v>28</v>
      </c>
      <c r="I5484">
        <v>0</v>
      </c>
      <c r="J5484">
        <v>20</v>
      </c>
      <c r="M5484" t="s">
        <v>5608</v>
      </c>
    </row>
    <row r="5485" spans="1:13" ht="15" customHeight="1">
      <c r="A5485" s="10">
        <v>46188</v>
      </c>
      <c r="B5485" t="s">
        <v>201</v>
      </c>
      <c r="C5485" s="135" t="s">
        <v>140</v>
      </c>
      <c r="D5485">
        <v>0</v>
      </c>
      <c r="E5485">
        <v>32</v>
      </c>
      <c r="I5485">
        <v>0</v>
      </c>
      <c r="J5485">
        <v>32</v>
      </c>
      <c r="M5485" t="s">
        <v>5609</v>
      </c>
    </row>
    <row r="5486" spans="1:13" ht="15" customHeight="1">
      <c r="A5486" s="10">
        <v>46188</v>
      </c>
      <c r="B5486" t="s">
        <v>201</v>
      </c>
      <c r="C5486" s="135" t="s">
        <v>141</v>
      </c>
      <c r="D5486">
        <v>0</v>
      </c>
      <c r="E5486">
        <v>1</v>
      </c>
      <c r="I5486">
        <v>0</v>
      </c>
      <c r="J5486">
        <v>1</v>
      </c>
      <c r="M5486" t="s">
        <v>5610</v>
      </c>
    </row>
    <row r="5487" spans="1:13" ht="15" customHeight="1">
      <c r="A5487" s="10">
        <v>46188</v>
      </c>
      <c r="B5487" t="s">
        <v>201</v>
      </c>
      <c r="C5487" s="135" t="s">
        <v>143</v>
      </c>
      <c r="D5487">
        <v>0</v>
      </c>
      <c r="E5487">
        <v>42</v>
      </c>
      <c r="I5487">
        <v>0</v>
      </c>
      <c r="J5487">
        <v>34</v>
      </c>
      <c r="M5487" t="s">
        <v>5611</v>
      </c>
    </row>
    <row r="5488" spans="1:13" ht="15" customHeight="1">
      <c r="A5488" s="10">
        <v>46188</v>
      </c>
      <c r="B5488" t="s">
        <v>201</v>
      </c>
      <c r="C5488" s="135" t="s">
        <v>145</v>
      </c>
      <c r="D5488">
        <v>0</v>
      </c>
      <c r="E5488">
        <v>14</v>
      </c>
      <c r="I5488">
        <v>0</v>
      </c>
      <c r="J5488">
        <v>10</v>
      </c>
      <c r="M5488" t="s">
        <v>5612</v>
      </c>
    </row>
    <row r="5489" spans="1:13" ht="15" customHeight="1">
      <c r="A5489" s="10">
        <v>46188</v>
      </c>
      <c r="B5489" t="s">
        <v>201</v>
      </c>
      <c r="C5489" s="135" t="s">
        <v>147</v>
      </c>
      <c r="D5489">
        <v>0</v>
      </c>
      <c r="E5489">
        <v>31</v>
      </c>
      <c r="I5489">
        <v>0</v>
      </c>
      <c r="J5489">
        <v>31</v>
      </c>
      <c r="M5489" t="s">
        <v>5613</v>
      </c>
    </row>
    <row r="5490" spans="1:13" ht="15" customHeight="1">
      <c r="A5490" s="10">
        <v>46188</v>
      </c>
      <c r="B5490" t="s">
        <v>201</v>
      </c>
      <c r="C5490" t="s">
        <v>302</v>
      </c>
      <c r="D5490">
        <v>1</v>
      </c>
      <c r="E5490">
        <v>2</v>
      </c>
      <c r="I5490">
        <v>1</v>
      </c>
      <c r="M5490" t="s">
        <v>5614</v>
      </c>
    </row>
    <row r="5491" spans="1:13" ht="15" customHeight="1">
      <c r="A5491" s="10">
        <v>46188</v>
      </c>
      <c r="B5491" t="s">
        <v>201</v>
      </c>
      <c r="C5491" t="s">
        <v>150</v>
      </c>
      <c r="D5491">
        <v>3</v>
      </c>
      <c r="E5491">
        <v>0</v>
      </c>
      <c r="I5491">
        <v>3</v>
      </c>
      <c r="M5491" t="s">
        <v>5615</v>
      </c>
    </row>
    <row r="5492" spans="1:13" ht="15" customHeight="1">
      <c r="A5492" s="10">
        <v>46188</v>
      </c>
      <c r="B5492" t="s">
        <v>201</v>
      </c>
      <c r="C5492" t="s">
        <v>151</v>
      </c>
      <c r="D5492">
        <v>2</v>
      </c>
      <c r="E5492">
        <v>0</v>
      </c>
      <c r="I5492">
        <v>2</v>
      </c>
      <c r="M5492" t="s">
        <v>5616</v>
      </c>
    </row>
    <row r="5493" spans="1:13" ht="15" customHeight="1">
      <c r="A5493" s="10">
        <v>46188</v>
      </c>
      <c r="B5493" t="s">
        <v>201</v>
      </c>
      <c r="C5493" t="s">
        <v>152</v>
      </c>
      <c r="D5493">
        <v>1</v>
      </c>
      <c r="E5493">
        <v>0</v>
      </c>
      <c r="I5493">
        <v>1</v>
      </c>
      <c r="M5493" t="s">
        <v>5617</v>
      </c>
    </row>
    <row r="5494" spans="1:13" ht="15" customHeight="1">
      <c r="A5494" s="10">
        <v>46188</v>
      </c>
      <c r="B5494" t="s">
        <v>201</v>
      </c>
      <c r="C5494" t="s">
        <v>153</v>
      </c>
      <c r="D5494">
        <v>3</v>
      </c>
      <c r="E5494">
        <v>0</v>
      </c>
      <c r="I5494">
        <v>3</v>
      </c>
      <c r="M5494" t="s">
        <v>5618</v>
      </c>
    </row>
    <row r="5495" spans="1:13" ht="15" customHeight="1">
      <c r="A5495" s="10">
        <v>46188</v>
      </c>
      <c r="B5495" t="s">
        <v>201</v>
      </c>
      <c r="C5495" t="s">
        <v>308</v>
      </c>
      <c r="D5495">
        <v>0</v>
      </c>
      <c r="E5495">
        <v>3</v>
      </c>
      <c r="I5495">
        <v>0</v>
      </c>
      <c r="J5495">
        <v>3</v>
      </c>
      <c r="M5495" t="s">
        <v>5619</v>
      </c>
    </row>
    <row r="5496" spans="1:13" ht="15" customHeight="1">
      <c r="A5496" s="10">
        <v>46188</v>
      </c>
      <c r="B5496" t="s">
        <v>201</v>
      </c>
      <c r="C5496" t="s">
        <v>310</v>
      </c>
      <c r="D5496">
        <v>0</v>
      </c>
      <c r="E5496">
        <v>2</v>
      </c>
      <c r="I5496">
        <v>0</v>
      </c>
      <c r="J5496">
        <v>2</v>
      </c>
      <c r="M5496" t="s">
        <v>5620</v>
      </c>
    </row>
    <row r="5497" spans="1:13" ht="15" customHeight="1">
      <c r="A5497" s="10">
        <v>46188</v>
      </c>
      <c r="B5497" t="s">
        <v>201</v>
      </c>
      <c r="C5497" t="s">
        <v>312</v>
      </c>
      <c r="D5497">
        <v>0</v>
      </c>
      <c r="E5497">
        <v>3</v>
      </c>
      <c r="I5497">
        <v>0</v>
      </c>
      <c r="J5497">
        <v>3</v>
      </c>
      <c r="M5497" t="s">
        <v>5621</v>
      </c>
    </row>
    <row r="5498" spans="1:13" ht="15" customHeight="1">
      <c r="A5498" s="10">
        <v>46188</v>
      </c>
      <c r="B5498" t="s">
        <v>201</v>
      </c>
      <c r="C5498" t="s">
        <v>314</v>
      </c>
      <c r="D5498">
        <v>1</v>
      </c>
      <c r="E5498">
        <v>0</v>
      </c>
      <c r="I5498">
        <v>1</v>
      </c>
      <c r="M5498" t="s">
        <v>5622</v>
      </c>
    </row>
    <row r="5499" spans="1:13" ht="15" customHeight="1">
      <c r="A5499" s="10">
        <v>46188</v>
      </c>
      <c r="B5499" t="s">
        <v>201</v>
      </c>
      <c r="C5499" t="s">
        <v>316</v>
      </c>
      <c r="D5499">
        <v>1</v>
      </c>
      <c r="E5499">
        <v>0</v>
      </c>
      <c r="I5499">
        <v>1</v>
      </c>
      <c r="M5499" t="s">
        <v>5623</v>
      </c>
    </row>
    <row r="5500" spans="1:13" ht="15" customHeight="1">
      <c r="A5500" s="10">
        <v>46188</v>
      </c>
      <c r="B5500" t="s">
        <v>201</v>
      </c>
      <c r="C5500" t="s">
        <v>318</v>
      </c>
      <c r="D5500">
        <v>4</v>
      </c>
      <c r="E5500">
        <v>0</v>
      </c>
      <c r="I5500">
        <v>2</v>
      </c>
      <c r="M5500" t="s">
        <v>5624</v>
      </c>
    </row>
    <row r="5501" spans="1:13" ht="15" customHeight="1">
      <c r="A5501" s="10">
        <v>46188</v>
      </c>
      <c r="B5501" t="s">
        <v>201</v>
      </c>
      <c r="C5501" t="s">
        <v>320</v>
      </c>
      <c r="D5501">
        <v>1</v>
      </c>
      <c r="E5501">
        <v>0</v>
      </c>
      <c r="I5501">
        <v>1</v>
      </c>
      <c r="M5501" t="s">
        <v>5625</v>
      </c>
    </row>
    <row r="5502" spans="1:13" ht="15" customHeight="1">
      <c r="A5502" s="10">
        <v>46188</v>
      </c>
      <c r="B5502" t="s">
        <v>201</v>
      </c>
      <c r="C5502" t="s">
        <v>322</v>
      </c>
      <c r="D5502">
        <v>2</v>
      </c>
      <c r="E5502">
        <v>0</v>
      </c>
      <c r="I5502">
        <v>2</v>
      </c>
      <c r="M5502" t="s">
        <v>5626</v>
      </c>
    </row>
    <row r="5503" spans="1:13" ht="15" customHeight="1">
      <c r="A5503" s="10">
        <v>46188</v>
      </c>
      <c r="B5503" t="s">
        <v>201</v>
      </c>
      <c r="C5503" s="135" t="s">
        <v>168</v>
      </c>
      <c r="D5503">
        <v>0</v>
      </c>
      <c r="E5503">
        <v>0</v>
      </c>
      <c r="I5503">
        <v>0</v>
      </c>
      <c r="M5503" t="s">
        <v>5627</v>
      </c>
    </row>
    <row r="5504" spans="1:13" ht="15" customHeight="1">
      <c r="A5504" s="10">
        <v>46188</v>
      </c>
      <c r="B5504" t="s">
        <v>201</v>
      </c>
      <c r="C5504" s="135" t="s">
        <v>170</v>
      </c>
      <c r="D5504">
        <v>1</v>
      </c>
      <c r="E5504">
        <v>0</v>
      </c>
      <c r="I5504">
        <v>1</v>
      </c>
      <c r="M5504" t="s">
        <v>5628</v>
      </c>
    </row>
    <row r="5505" spans="1:13" ht="15" customHeight="1">
      <c r="A5505" s="10">
        <v>46188</v>
      </c>
      <c r="B5505" t="s">
        <v>201</v>
      </c>
      <c r="C5505" s="135" t="s">
        <v>171</v>
      </c>
      <c r="D5505">
        <v>3</v>
      </c>
      <c r="E5505">
        <v>0</v>
      </c>
      <c r="I5505">
        <v>3</v>
      </c>
      <c r="M5505" t="s">
        <v>5629</v>
      </c>
    </row>
    <row r="5506" spans="1:13" ht="15" customHeight="1">
      <c r="A5506" s="10">
        <v>46188</v>
      </c>
      <c r="B5506" t="s">
        <v>201</v>
      </c>
      <c r="C5506" s="135" t="s">
        <v>172</v>
      </c>
      <c r="D5506">
        <v>0</v>
      </c>
      <c r="E5506">
        <v>0</v>
      </c>
      <c r="I5506">
        <v>0</v>
      </c>
      <c r="M5506" t="s">
        <v>5630</v>
      </c>
    </row>
    <row r="5507" spans="1:13" ht="15" customHeight="1">
      <c r="A5507" s="10">
        <v>46188</v>
      </c>
      <c r="B5507" t="s">
        <v>201</v>
      </c>
      <c r="C5507" s="135" t="s">
        <v>173</v>
      </c>
      <c r="D5507">
        <v>0</v>
      </c>
      <c r="E5507">
        <v>0</v>
      </c>
      <c r="I5507">
        <v>0</v>
      </c>
      <c r="M5507" t="s">
        <v>5631</v>
      </c>
    </row>
    <row r="5508" spans="1:13" ht="15" customHeight="1">
      <c r="A5508" s="10">
        <v>46188</v>
      </c>
      <c r="B5508" t="s">
        <v>201</v>
      </c>
      <c r="C5508" t="s">
        <v>176</v>
      </c>
      <c r="D5508">
        <v>0</v>
      </c>
      <c r="E5508">
        <v>22</v>
      </c>
      <c r="I5508">
        <v>0</v>
      </c>
      <c r="J5508">
        <v>22</v>
      </c>
      <c r="M5508" t="s">
        <v>5632</v>
      </c>
    </row>
    <row r="5509" spans="1:13" ht="15" customHeight="1">
      <c r="A5509" s="10">
        <v>46188</v>
      </c>
      <c r="B5509" t="s">
        <v>201</v>
      </c>
      <c r="C5509" t="s">
        <v>178</v>
      </c>
      <c r="D5509">
        <v>0</v>
      </c>
      <c r="E5509">
        <v>25</v>
      </c>
      <c r="I5509">
        <v>0</v>
      </c>
      <c r="J5509">
        <v>25</v>
      </c>
      <c r="M5509" t="s">
        <v>5633</v>
      </c>
    </row>
    <row r="5510" spans="1:13" ht="15" customHeight="1">
      <c r="A5510" s="10">
        <v>46188</v>
      </c>
      <c r="B5510" t="s">
        <v>201</v>
      </c>
      <c r="C5510" t="s">
        <v>179</v>
      </c>
      <c r="D5510">
        <v>0</v>
      </c>
      <c r="E5510">
        <v>18</v>
      </c>
      <c r="I5510">
        <v>0</v>
      </c>
      <c r="J5510">
        <v>18</v>
      </c>
      <c r="M5510" t="s">
        <v>5634</v>
      </c>
    </row>
    <row r="5511" spans="1:13" ht="15" customHeight="1">
      <c r="A5511" s="10">
        <v>46188</v>
      </c>
      <c r="B5511" t="s">
        <v>201</v>
      </c>
      <c r="C5511" t="s">
        <v>180</v>
      </c>
      <c r="D5511">
        <v>0</v>
      </c>
      <c r="E5511">
        <v>22</v>
      </c>
      <c r="H5511">
        <v>2</v>
      </c>
      <c r="I5511">
        <v>0</v>
      </c>
      <c r="J5511">
        <v>20</v>
      </c>
      <c r="M5511" t="s">
        <v>5635</v>
      </c>
    </row>
    <row r="5512" spans="1:13" ht="15" customHeight="1">
      <c r="A5512" s="10">
        <v>46188</v>
      </c>
      <c r="B5512" t="s">
        <v>201</v>
      </c>
      <c r="C5512" s="135" t="s">
        <v>182</v>
      </c>
      <c r="D5512">
        <v>1</v>
      </c>
      <c r="E5512">
        <v>158</v>
      </c>
      <c r="I5512">
        <v>1</v>
      </c>
      <c r="J5512">
        <v>158</v>
      </c>
      <c r="M5512" t="s">
        <v>5636</v>
      </c>
    </row>
    <row r="5513" spans="1:13" ht="15" customHeight="1">
      <c r="A5513" s="10">
        <v>46188</v>
      </c>
      <c r="B5513" t="s">
        <v>201</v>
      </c>
      <c r="C5513" s="135" t="s">
        <v>184</v>
      </c>
      <c r="D5513">
        <v>1</v>
      </c>
      <c r="E5513">
        <v>40</v>
      </c>
      <c r="I5513">
        <v>1</v>
      </c>
      <c r="J5513">
        <v>33</v>
      </c>
      <c r="M5513" t="s">
        <v>5637</v>
      </c>
    </row>
    <row r="5514" spans="1:13" ht="15" customHeight="1">
      <c r="A5514" s="10">
        <v>46188</v>
      </c>
      <c r="B5514" t="s">
        <v>201</v>
      </c>
      <c r="C5514" s="135" t="s">
        <v>185</v>
      </c>
      <c r="D5514">
        <v>1</v>
      </c>
      <c r="E5514">
        <v>36</v>
      </c>
      <c r="I5514">
        <v>1</v>
      </c>
      <c r="J5514">
        <v>36</v>
      </c>
      <c r="M5514" t="s">
        <v>5638</v>
      </c>
    </row>
    <row r="5515" spans="1:13" ht="15" customHeight="1">
      <c r="A5515" s="10">
        <v>46188</v>
      </c>
      <c r="B5515" t="s">
        <v>201</v>
      </c>
      <c r="C5515" s="135" t="s">
        <v>186</v>
      </c>
      <c r="D5515">
        <v>1</v>
      </c>
      <c r="E5515">
        <v>600</v>
      </c>
      <c r="I5515">
        <v>1</v>
      </c>
      <c r="J5515">
        <v>600</v>
      </c>
      <c r="M5515" t="s">
        <v>5639</v>
      </c>
    </row>
    <row r="5516" spans="1:13" ht="15" customHeight="1">
      <c r="A5516" s="10">
        <v>46188</v>
      </c>
      <c r="B5516" t="s">
        <v>201</v>
      </c>
      <c r="C5516" t="s">
        <v>337</v>
      </c>
      <c r="D5516">
        <v>1</v>
      </c>
      <c r="E5516">
        <v>304</v>
      </c>
      <c r="I5516">
        <v>1</v>
      </c>
      <c r="J5516">
        <v>304</v>
      </c>
      <c r="M5516" t="s">
        <v>5640</v>
      </c>
    </row>
    <row r="5517" spans="1:13" ht="15" customHeight="1">
      <c r="A5517" s="10">
        <v>46188</v>
      </c>
      <c r="B5517" t="s">
        <v>201</v>
      </c>
      <c r="C5517" t="s">
        <v>339</v>
      </c>
      <c r="D5517">
        <v>0</v>
      </c>
      <c r="E5517">
        <v>0</v>
      </c>
      <c r="I5517">
        <v>0</v>
      </c>
      <c r="J5517">
        <v>0</v>
      </c>
      <c r="M5517" t="s">
        <v>5641</v>
      </c>
    </row>
    <row r="5518" spans="1:13" ht="15" customHeight="1">
      <c r="A5518" s="10">
        <v>46188</v>
      </c>
      <c r="B5518" t="s">
        <v>201</v>
      </c>
      <c r="C5518" s="135" t="s">
        <v>191</v>
      </c>
      <c r="D5518">
        <v>0</v>
      </c>
      <c r="E5518">
        <v>724</v>
      </c>
      <c r="I5518">
        <v>0</v>
      </c>
      <c r="J5518">
        <v>724</v>
      </c>
      <c r="M5518" t="s">
        <v>5642</v>
      </c>
    </row>
    <row r="5519" spans="1:13" ht="15" customHeight="1">
      <c r="A5519" s="10">
        <v>46188</v>
      </c>
      <c r="B5519" t="s">
        <v>201</v>
      </c>
      <c r="C5519" s="135" t="s">
        <v>193</v>
      </c>
      <c r="D5519">
        <v>1</v>
      </c>
      <c r="E5519">
        <v>374</v>
      </c>
      <c r="I5519">
        <v>1</v>
      </c>
      <c r="J5519">
        <v>346</v>
      </c>
      <c r="M5519" t="s">
        <v>5643</v>
      </c>
    </row>
    <row r="5520" spans="1:13" ht="15" customHeight="1">
      <c r="A5520" s="10">
        <v>46188</v>
      </c>
      <c r="B5520" t="s">
        <v>201</v>
      </c>
      <c r="C5520" s="135" t="s">
        <v>194</v>
      </c>
      <c r="D5520">
        <v>0</v>
      </c>
      <c r="E5520">
        <v>30</v>
      </c>
      <c r="I5520">
        <v>0</v>
      </c>
      <c r="J5520">
        <v>24</v>
      </c>
      <c r="M5520" t="s">
        <v>5644</v>
      </c>
    </row>
    <row r="5521" spans="1:13" ht="15" customHeight="1">
      <c r="A5521" s="10">
        <v>46188</v>
      </c>
      <c r="B5521" t="s">
        <v>201</v>
      </c>
      <c r="C5521" s="135" t="s">
        <v>196</v>
      </c>
      <c r="D5521">
        <v>0</v>
      </c>
      <c r="E5521">
        <v>534</v>
      </c>
      <c r="I5521">
        <v>0</v>
      </c>
      <c r="J5521">
        <v>504</v>
      </c>
      <c r="M5521" t="s">
        <v>5645</v>
      </c>
    </row>
    <row r="5522" spans="1:13" ht="15" customHeight="1">
      <c r="A5522" s="10">
        <v>46188</v>
      </c>
      <c r="B5522" t="s">
        <v>201</v>
      </c>
      <c r="C5522" s="135" t="s">
        <v>199</v>
      </c>
      <c r="D5522">
        <v>0</v>
      </c>
      <c r="E5522">
        <v>262</v>
      </c>
      <c r="I5522">
        <v>0</v>
      </c>
      <c r="J5522">
        <v>225</v>
      </c>
      <c r="M5522" t="s">
        <v>5646</v>
      </c>
    </row>
    <row r="5523" spans="1:13" ht="15" customHeight="1">
      <c r="A5523" s="10">
        <v>46188</v>
      </c>
      <c r="B5523" t="s">
        <v>201</v>
      </c>
      <c r="C5523" s="135" t="s">
        <v>200</v>
      </c>
      <c r="D5523">
        <v>0</v>
      </c>
      <c r="E5523">
        <v>967</v>
      </c>
      <c r="I5523">
        <v>0</v>
      </c>
      <c r="J5523">
        <v>933</v>
      </c>
      <c r="M5523" t="s">
        <v>5647</v>
      </c>
    </row>
    <row r="5524" spans="1:13" ht="15" customHeight="1">
      <c r="A5524" s="10">
        <v>46188</v>
      </c>
      <c r="B5524" t="s">
        <v>201</v>
      </c>
      <c r="C5524" s="135" t="s">
        <v>202</v>
      </c>
      <c r="D5524">
        <v>0</v>
      </c>
      <c r="E5524">
        <v>768</v>
      </c>
      <c r="I5524">
        <v>0</v>
      </c>
      <c r="J5524">
        <v>747</v>
      </c>
      <c r="M5524" t="s">
        <v>5648</v>
      </c>
    </row>
    <row r="5525" spans="1:13" ht="15" customHeight="1">
      <c r="A5525" s="10">
        <v>46189</v>
      </c>
      <c r="B5525" t="s">
        <v>201</v>
      </c>
      <c r="C5525" t="s">
        <v>23</v>
      </c>
      <c r="D5525">
        <v>6</v>
      </c>
      <c r="E5525">
        <v>1164</v>
      </c>
      <c r="I5525">
        <v>5</v>
      </c>
      <c r="J5525">
        <v>1330</v>
      </c>
      <c r="M5525" t="s">
        <v>5649</v>
      </c>
    </row>
    <row r="5526" spans="1:13" ht="15" customHeight="1">
      <c r="A5526" s="10">
        <v>46189</v>
      </c>
      <c r="B5526" t="s">
        <v>201</v>
      </c>
      <c r="C5526" t="s">
        <v>26</v>
      </c>
      <c r="D5526">
        <v>0</v>
      </c>
      <c r="E5526">
        <v>1203</v>
      </c>
      <c r="I5526">
        <v>0</v>
      </c>
      <c r="J5526">
        <v>859</v>
      </c>
      <c r="M5526" t="s">
        <v>5650</v>
      </c>
    </row>
    <row r="5527" spans="1:13" ht="15" customHeight="1">
      <c r="A5527" s="10">
        <v>46189</v>
      </c>
      <c r="B5527" t="s">
        <v>201</v>
      </c>
      <c r="C5527" t="s">
        <v>27</v>
      </c>
      <c r="D5527">
        <v>0</v>
      </c>
      <c r="E5527">
        <v>0</v>
      </c>
      <c r="I5527">
        <v>0</v>
      </c>
      <c r="J5527">
        <v>0</v>
      </c>
      <c r="M5527" t="s">
        <v>5651</v>
      </c>
    </row>
    <row r="5528" spans="1:13" ht="15" customHeight="1">
      <c r="A5528" s="10">
        <v>46189</v>
      </c>
      <c r="B5528" t="s">
        <v>201</v>
      </c>
      <c r="C5528" t="s">
        <v>28</v>
      </c>
      <c r="D5528">
        <v>0</v>
      </c>
      <c r="E5528">
        <v>0</v>
      </c>
      <c r="I5528">
        <v>0</v>
      </c>
      <c r="J5528">
        <v>0</v>
      </c>
      <c r="M5528" t="s">
        <v>5652</v>
      </c>
    </row>
    <row r="5529" spans="1:13" ht="15" customHeight="1">
      <c r="A5529" s="10">
        <v>46189</v>
      </c>
      <c r="B5529" t="s">
        <v>201</v>
      </c>
      <c r="C5529" t="s">
        <v>29</v>
      </c>
      <c r="D5529">
        <v>0</v>
      </c>
      <c r="E5529">
        <v>807</v>
      </c>
      <c r="I5529">
        <v>0</v>
      </c>
      <c r="J5529">
        <v>470</v>
      </c>
      <c r="M5529" t="s">
        <v>5653</v>
      </c>
    </row>
    <row r="5530" spans="1:13" ht="15" customHeight="1">
      <c r="A5530" s="10">
        <v>46189</v>
      </c>
      <c r="B5530" t="s">
        <v>201</v>
      </c>
      <c r="C5530" t="s">
        <v>30</v>
      </c>
      <c r="D5530">
        <v>2</v>
      </c>
      <c r="E5530">
        <v>391</v>
      </c>
      <c r="I5530">
        <v>2</v>
      </c>
      <c r="J5530">
        <v>381</v>
      </c>
      <c r="M5530" t="s">
        <v>5654</v>
      </c>
    </row>
    <row r="5531" spans="1:13" ht="15" customHeight="1">
      <c r="A5531" s="10">
        <v>46189</v>
      </c>
      <c r="B5531" t="s">
        <v>201</v>
      </c>
      <c r="C5531" t="s">
        <v>31</v>
      </c>
      <c r="D5531">
        <v>0</v>
      </c>
      <c r="E5531">
        <v>229</v>
      </c>
      <c r="I5531">
        <v>0</v>
      </c>
      <c r="J5531">
        <v>172</v>
      </c>
      <c r="M5531" t="s">
        <v>5655</v>
      </c>
    </row>
    <row r="5532" spans="1:13" ht="15" customHeight="1">
      <c r="A5532" s="10">
        <v>46189</v>
      </c>
      <c r="B5532" t="s">
        <v>201</v>
      </c>
      <c r="C5532" t="s">
        <v>32</v>
      </c>
      <c r="D5532">
        <v>1</v>
      </c>
      <c r="E5532">
        <v>316</v>
      </c>
      <c r="I5532">
        <v>1</v>
      </c>
      <c r="J5532">
        <v>215</v>
      </c>
      <c r="M5532" t="s">
        <v>5656</v>
      </c>
    </row>
    <row r="5533" spans="1:13" ht="15" customHeight="1">
      <c r="A5533" s="10">
        <v>46189</v>
      </c>
      <c r="B5533" t="s">
        <v>201</v>
      </c>
      <c r="C5533" t="s">
        <v>223</v>
      </c>
      <c r="D5533">
        <v>5</v>
      </c>
      <c r="E5533">
        <v>940</v>
      </c>
      <c r="I5533">
        <v>4</v>
      </c>
      <c r="J5533">
        <v>686</v>
      </c>
      <c r="M5533" t="s">
        <v>5657</v>
      </c>
    </row>
    <row r="5534" spans="1:13" ht="15" customHeight="1">
      <c r="A5534" s="10">
        <v>46189</v>
      </c>
      <c r="B5534" t="s">
        <v>201</v>
      </c>
      <c r="C5534" t="s">
        <v>35</v>
      </c>
      <c r="D5534">
        <v>6</v>
      </c>
      <c r="E5534">
        <v>0</v>
      </c>
      <c r="H5534">
        <v>1</v>
      </c>
      <c r="I5534">
        <v>5</v>
      </c>
      <c r="M5534" t="s">
        <v>5658</v>
      </c>
    </row>
    <row r="5535" spans="1:13" ht="15" customHeight="1">
      <c r="A5535" s="10">
        <v>46189</v>
      </c>
      <c r="B5535" t="s">
        <v>201</v>
      </c>
      <c r="C5535" t="s">
        <v>37</v>
      </c>
      <c r="D5535">
        <v>0</v>
      </c>
      <c r="E5535">
        <v>0</v>
      </c>
      <c r="I5535">
        <v>0</v>
      </c>
      <c r="M5535" t="s">
        <v>5659</v>
      </c>
    </row>
    <row r="5536" spans="1:13" ht="15" customHeight="1">
      <c r="A5536" s="10">
        <v>46189</v>
      </c>
      <c r="B5536" t="s">
        <v>201</v>
      </c>
      <c r="C5536" t="s">
        <v>39</v>
      </c>
      <c r="D5536">
        <v>3</v>
      </c>
      <c r="E5536">
        <v>0</v>
      </c>
      <c r="I5536">
        <v>3</v>
      </c>
      <c r="M5536" t="s">
        <v>5660</v>
      </c>
    </row>
    <row r="5537" spans="1:13" ht="15" customHeight="1">
      <c r="A5537" s="10">
        <v>46189</v>
      </c>
      <c r="B5537" t="s">
        <v>201</v>
      </c>
      <c r="C5537" t="s">
        <v>41</v>
      </c>
      <c r="D5537">
        <v>22</v>
      </c>
      <c r="E5537">
        <v>0</v>
      </c>
      <c r="I5537">
        <v>22</v>
      </c>
      <c r="M5537" t="s">
        <v>5661</v>
      </c>
    </row>
    <row r="5538" spans="1:13" ht="15" customHeight="1">
      <c r="A5538" s="10">
        <v>46189</v>
      </c>
      <c r="B5538" t="s">
        <v>201</v>
      </c>
      <c r="C5538" s="135" t="s">
        <v>44</v>
      </c>
      <c r="D5538">
        <v>4</v>
      </c>
      <c r="E5538">
        <v>7566</v>
      </c>
      <c r="I5538">
        <v>3</v>
      </c>
      <c r="J5538">
        <v>8455</v>
      </c>
      <c r="M5538" t="s">
        <v>5662</v>
      </c>
    </row>
    <row r="5539" spans="1:13" ht="15" customHeight="1">
      <c r="A5539" s="10">
        <v>46189</v>
      </c>
      <c r="B5539" t="s">
        <v>201</v>
      </c>
      <c r="C5539" t="s">
        <v>230</v>
      </c>
      <c r="D5539">
        <v>1</v>
      </c>
      <c r="E5539">
        <v>108</v>
      </c>
      <c r="I5539">
        <v>1</v>
      </c>
      <c r="J5539">
        <v>108</v>
      </c>
      <c r="M5539" t="s">
        <v>5663</v>
      </c>
    </row>
    <row r="5540" spans="1:13" ht="15" customHeight="1">
      <c r="A5540" s="10">
        <v>46189</v>
      </c>
      <c r="B5540" t="s">
        <v>201</v>
      </c>
      <c r="C5540" t="s">
        <v>232</v>
      </c>
      <c r="D5540">
        <v>11</v>
      </c>
      <c r="E5540">
        <v>0</v>
      </c>
      <c r="I5540">
        <v>11</v>
      </c>
      <c r="M5540" t="s">
        <v>5664</v>
      </c>
    </row>
    <row r="5541" spans="1:13" ht="15" customHeight="1">
      <c r="A5541" s="10">
        <v>46189</v>
      </c>
      <c r="B5541" t="s">
        <v>201</v>
      </c>
      <c r="C5541" t="s">
        <v>234</v>
      </c>
      <c r="D5541">
        <v>48</v>
      </c>
      <c r="E5541">
        <v>0</v>
      </c>
      <c r="H5541">
        <v>9</v>
      </c>
      <c r="I5541">
        <v>39</v>
      </c>
      <c r="M5541" t="s">
        <v>5665</v>
      </c>
    </row>
    <row r="5542" spans="1:13" ht="15" customHeight="1">
      <c r="A5542" s="10">
        <v>46189</v>
      </c>
      <c r="B5542" t="s">
        <v>201</v>
      </c>
      <c r="C5542" t="s">
        <v>54</v>
      </c>
      <c r="D5542">
        <v>0</v>
      </c>
      <c r="E5542">
        <v>0</v>
      </c>
      <c r="I5542">
        <v>0</v>
      </c>
      <c r="M5542" t="s">
        <v>5666</v>
      </c>
    </row>
    <row r="5543" spans="1:13" ht="15" customHeight="1">
      <c r="A5543" s="10">
        <v>46189</v>
      </c>
      <c r="B5543" t="s">
        <v>201</v>
      </c>
      <c r="C5543" t="s">
        <v>237</v>
      </c>
      <c r="D5543">
        <v>8</v>
      </c>
      <c r="E5543">
        <v>0</v>
      </c>
      <c r="H5543">
        <v>1</v>
      </c>
      <c r="I5543">
        <v>7</v>
      </c>
      <c r="M5543" t="s">
        <v>5667</v>
      </c>
    </row>
    <row r="5544" spans="1:13" ht="15" customHeight="1">
      <c r="A5544" s="10">
        <v>46189</v>
      </c>
      <c r="B5544" t="s">
        <v>201</v>
      </c>
      <c r="C5544" s="135" t="s">
        <v>58</v>
      </c>
      <c r="D5544">
        <v>5</v>
      </c>
      <c r="E5544">
        <v>0</v>
      </c>
      <c r="H5544">
        <v>1</v>
      </c>
      <c r="I5544">
        <v>4</v>
      </c>
      <c r="M5544" t="s">
        <v>5668</v>
      </c>
    </row>
    <row r="5545" spans="1:13" ht="15" customHeight="1">
      <c r="A5545" s="10">
        <v>46189</v>
      </c>
      <c r="B5545" t="s">
        <v>201</v>
      </c>
      <c r="C5545" s="135" t="s">
        <v>60</v>
      </c>
      <c r="D5545">
        <v>7</v>
      </c>
      <c r="E5545">
        <v>0</v>
      </c>
      <c r="H5545">
        <v>1</v>
      </c>
      <c r="I5545">
        <v>6</v>
      </c>
      <c r="M5545" t="s">
        <v>5669</v>
      </c>
    </row>
    <row r="5546" spans="1:13" ht="15" customHeight="1">
      <c r="A5546" s="10">
        <v>46189</v>
      </c>
      <c r="B5546" t="s">
        <v>201</v>
      </c>
      <c r="C5546" s="135" t="s">
        <v>61</v>
      </c>
      <c r="D5546">
        <v>0</v>
      </c>
      <c r="E5546">
        <v>0</v>
      </c>
      <c r="I5546">
        <v>0</v>
      </c>
      <c r="M5546" t="s">
        <v>5670</v>
      </c>
    </row>
    <row r="5547" spans="1:13" ht="15" customHeight="1">
      <c r="A5547" s="10">
        <v>46189</v>
      </c>
      <c r="B5547" t="s">
        <v>201</v>
      </c>
      <c r="C5547" s="135" t="s">
        <v>62</v>
      </c>
      <c r="D5547">
        <v>6</v>
      </c>
      <c r="E5547">
        <v>0</v>
      </c>
      <c r="I5547">
        <v>6</v>
      </c>
      <c r="M5547" t="s">
        <v>5671</v>
      </c>
    </row>
    <row r="5548" spans="1:13" ht="15" customHeight="1">
      <c r="A5548" s="10">
        <v>46189</v>
      </c>
      <c r="B5548" t="s">
        <v>201</v>
      </c>
      <c r="C5548" s="135" t="s">
        <v>63</v>
      </c>
      <c r="D5548">
        <v>12</v>
      </c>
      <c r="E5548">
        <v>0</v>
      </c>
      <c r="I5548">
        <v>12</v>
      </c>
      <c r="M5548" t="s">
        <v>5672</v>
      </c>
    </row>
    <row r="5549" spans="1:13" ht="15" customHeight="1">
      <c r="A5549" s="10">
        <v>46189</v>
      </c>
      <c r="B5549" t="s">
        <v>201</v>
      </c>
      <c r="C5549" s="135" t="s">
        <v>64</v>
      </c>
      <c r="D5549">
        <v>2</v>
      </c>
      <c r="E5549">
        <v>0</v>
      </c>
      <c r="I5549">
        <v>2</v>
      </c>
      <c r="M5549" t="s">
        <v>5673</v>
      </c>
    </row>
    <row r="5550" spans="1:13" ht="15" customHeight="1">
      <c r="A5550" s="10">
        <v>46189</v>
      </c>
      <c r="B5550" t="s">
        <v>201</v>
      </c>
      <c r="C5550" t="s">
        <v>66</v>
      </c>
      <c r="D5550">
        <v>4</v>
      </c>
      <c r="E5550">
        <v>0</v>
      </c>
      <c r="I5550">
        <v>4</v>
      </c>
      <c r="M5550" t="s">
        <v>5674</v>
      </c>
    </row>
    <row r="5551" spans="1:13" ht="15" customHeight="1">
      <c r="A5551" s="10">
        <v>46189</v>
      </c>
      <c r="B5551" t="s">
        <v>201</v>
      </c>
      <c r="C5551" t="s">
        <v>67</v>
      </c>
      <c r="D5551">
        <v>4</v>
      </c>
      <c r="E5551">
        <v>0</v>
      </c>
      <c r="I5551">
        <v>4</v>
      </c>
      <c r="M5551" t="s">
        <v>5675</v>
      </c>
    </row>
    <row r="5552" spans="1:13" ht="15" customHeight="1">
      <c r="A5552" s="10">
        <v>46189</v>
      </c>
      <c r="B5552" t="s">
        <v>201</v>
      </c>
      <c r="C5552" t="s">
        <v>68</v>
      </c>
      <c r="D5552">
        <v>5</v>
      </c>
      <c r="E5552">
        <v>0</v>
      </c>
      <c r="I5552">
        <v>5</v>
      </c>
      <c r="M5552" t="s">
        <v>5676</v>
      </c>
    </row>
    <row r="5553" spans="1:13" ht="15" customHeight="1">
      <c r="A5553" s="10">
        <v>46189</v>
      </c>
      <c r="B5553" t="s">
        <v>201</v>
      </c>
      <c r="C5553" t="s">
        <v>71</v>
      </c>
      <c r="D5553">
        <v>1</v>
      </c>
      <c r="E5553">
        <v>600</v>
      </c>
      <c r="I5553">
        <v>1</v>
      </c>
      <c r="J5553">
        <v>494</v>
      </c>
      <c r="M5553" t="s">
        <v>5677</v>
      </c>
    </row>
    <row r="5554" spans="1:13" ht="15" customHeight="1">
      <c r="A5554" s="10">
        <v>46189</v>
      </c>
      <c r="B5554" t="s">
        <v>201</v>
      </c>
      <c r="C5554" t="s">
        <v>73</v>
      </c>
      <c r="D5554">
        <v>2</v>
      </c>
      <c r="E5554">
        <v>187</v>
      </c>
      <c r="I5554">
        <v>2</v>
      </c>
      <c r="J5554">
        <v>143</v>
      </c>
      <c r="M5554" t="s">
        <v>5678</v>
      </c>
    </row>
    <row r="5555" spans="1:13" ht="15" customHeight="1">
      <c r="A5555" s="10">
        <v>46189</v>
      </c>
      <c r="B5555" t="s">
        <v>201</v>
      </c>
      <c r="C5555" t="s">
        <v>75</v>
      </c>
      <c r="D5555">
        <v>0</v>
      </c>
      <c r="E5555">
        <v>182</v>
      </c>
      <c r="I5555">
        <v>0</v>
      </c>
      <c r="J5555">
        <v>151</v>
      </c>
      <c r="M5555" t="s">
        <v>5679</v>
      </c>
    </row>
    <row r="5556" spans="1:13" ht="15" customHeight="1">
      <c r="A5556" s="10">
        <v>46189</v>
      </c>
      <c r="B5556" t="s">
        <v>201</v>
      </c>
      <c r="C5556" t="s">
        <v>77</v>
      </c>
      <c r="D5556">
        <v>0</v>
      </c>
      <c r="E5556">
        <v>394</v>
      </c>
      <c r="I5556">
        <v>0</v>
      </c>
      <c r="J5556">
        <v>394</v>
      </c>
      <c r="M5556" t="s">
        <v>5680</v>
      </c>
    </row>
    <row r="5557" spans="1:13" ht="15" customHeight="1">
      <c r="A5557" s="10">
        <v>46189</v>
      </c>
      <c r="B5557" t="s">
        <v>201</v>
      </c>
      <c r="C5557" t="s">
        <v>79</v>
      </c>
      <c r="D5557">
        <v>1</v>
      </c>
      <c r="E5557">
        <v>1085</v>
      </c>
      <c r="I5557">
        <v>1</v>
      </c>
      <c r="J5557">
        <v>1049</v>
      </c>
      <c r="M5557" t="s">
        <v>5681</v>
      </c>
    </row>
    <row r="5558" spans="1:13" ht="15" customHeight="1">
      <c r="A5558" s="10">
        <v>46189</v>
      </c>
      <c r="B5558" t="s">
        <v>201</v>
      </c>
      <c r="C5558" t="s">
        <v>81</v>
      </c>
      <c r="D5558">
        <v>1</v>
      </c>
      <c r="E5558">
        <v>418</v>
      </c>
      <c r="I5558">
        <v>1</v>
      </c>
      <c r="J5558">
        <v>418</v>
      </c>
      <c r="M5558" t="s">
        <v>5682</v>
      </c>
    </row>
    <row r="5559" spans="1:13" ht="15" customHeight="1">
      <c r="A5559" s="10">
        <v>46189</v>
      </c>
      <c r="B5559" t="s">
        <v>201</v>
      </c>
      <c r="C5559" t="s">
        <v>83</v>
      </c>
      <c r="D5559">
        <v>1</v>
      </c>
      <c r="E5559">
        <v>60</v>
      </c>
      <c r="I5559">
        <v>1</v>
      </c>
      <c r="J5559">
        <v>60</v>
      </c>
      <c r="M5559" t="s">
        <v>5683</v>
      </c>
    </row>
    <row r="5560" spans="1:13" ht="15" customHeight="1">
      <c r="A5560" s="10">
        <v>46189</v>
      </c>
      <c r="B5560" t="s">
        <v>201</v>
      </c>
      <c r="C5560" t="s">
        <v>84</v>
      </c>
      <c r="D5560">
        <v>1</v>
      </c>
      <c r="E5560">
        <v>348</v>
      </c>
      <c r="I5560">
        <v>1</v>
      </c>
      <c r="J5560">
        <v>348</v>
      </c>
      <c r="M5560" t="s">
        <v>5684</v>
      </c>
    </row>
    <row r="5561" spans="1:13" ht="15" customHeight="1">
      <c r="A5561" s="10">
        <v>46189</v>
      </c>
      <c r="B5561" t="s">
        <v>201</v>
      </c>
      <c r="C5561" t="s">
        <v>85</v>
      </c>
      <c r="D5561">
        <v>0</v>
      </c>
      <c r="E5561">
        <v>214</v>
      </c>
      <c r="I5561">
        <v>0</v>
      </c>
      <c r="J5561">
        <v>214</v>
      </c>
      <c r="M5561" t="s">
        <v>5685</v>
      </c>
    </row>
    <row r="5562" spans="1:13" ht="15" customHeight="1">
      <c r="A5562" s="10">
        <v>46189</v>
      </c>
      <c r="B5562" t="s">
        <v>201</v>
      </c>
      <c r="C5562" t="s">
        <v>87</v>
      </c>
      <c r="D5562">
        <v>2</v>
      </c>
      <c r="E5562">
        <v>285</v>
      </c>
      <c r="I5562">
        <v>2</v>
      </c>
      <c r="J5562">
        <v>241</v>
      </c>
      <c r="M5562" t="s">
        <v>5686</v>
      </c>
    </row>
    <row r="5563" spans="1:13" ht="15" customHeight="1">
      <c r="A5563" s="10">
        <v>46189</v>
      </c>
      <c r="B5563" t="s">
        <v>201</v>
      </c>
      <c r="C5563" t="s">
        <v>88</v>
      </c>
      <c r="D5563">
        <v>1</v>
      </c>
      <c r="E5563">
        <v>295</v>
      </c>
      <c r="I5563">
        <v>1</v>
      </c>
      <c r="J5563">
        <v>293</v>
      </c>
      <c r="M5563" t="s">
        <v>5687</v>
      </c>
    </row>
    <row r="5564" spans="1:13" ht="15" customHeight="1">
      <c r="A5564" s="10">
        <v>46189</v>
      </c>
      <c r="B5564" t="s">
        <v>201</v>
      </c>
      <c r="C5564" t="s">
        <v>89</v>
      </c>
      <c r="D5564">
        <v>1</v>
      </c>
      <c r="E5564">
        <v>302</v>
      </c>
      <c r="I5564">
        <v>1</v>
      </c>
      <c r="J5564">
        <v>299</v>
      </c>
      <c r="M5564" t="s">
        <v>5688</v>
      </c>
    </row>
    <row r="5565" spans="1:13" ht="15" customHeight="1">
      <c r="A5565" s="10">
        <v>46189</v>
      </c>
      <c r="B5565" t="s">
        <v>201</v>
      </c>
      <c r="C5565" t="s">
        <v>90</v>
      </c>
      <c r="D5565">
        <v>1</v>
      </c>
      <c r="E5565">
        <v>834</v>
      </c>
      <c r="I5565">
        <v>1</v>
      </c>
      <c r="J5565">
        <v>693</v>
      </c>
      <c r="M5565" t="s">
        <v>5689</v>
      </c>
    </row>
    <row r="5566" spans="1:13" ht="15" customHeight="1">
      <c r="A5566" s="10">
        <v>46189</v>
      </c>
      <c r="B5566" t="s">
        <v>201</v>
      </c>
      <c r="C5566" t="s">
        <v>92</v>
      </c>
      <c r="D5566">
        <v>1</v>
      </c>
      <c r="E5566">
        <v>799</v>
      </c>
      <c r="I5566">
        <v>1</v>
      </c>
      <c r="J5566">
        <v>699</v>
      </c>
      <c r="M5566" t="s">
        <v>5690</v>
      </c>
    </row>
    <row r="5567" spans="1:13" ht="15" customHeight="1">
      <c r="A5567" s="10">
        <v>46189</v>
      </c>
      <c r="B5567" t="s">
        <v>201</v>
      </c>
      <c r="C5567" t="s">
        <v>94</v>
      </c>
      <c r="D5567">
        <v>2</v>
      </c>
      <c r="E5567">
        <v>364</v>
      </c>
      <c r="I5567">
        <v>0</v>
      </c>
      <c r="J5567">
        <v>628</v>
      </c>
      <c r="M5567" t="s">
        <v>5691</v>
      </c>
    </row>
    <row r="5568" spans="1:13" ht="15" customHeight="1">
      <c r="A5568" s="10">
        <v>46189</v>
      </c>
      <c r="B5568" t="s">
        <v>201</v>
      </c>
      <c r="C5568" t="s">
        <v>96</v>
      </c>
      <c r="D5568">
        <v>0</v>
      </c>
      <c r="E5568">
        <v>0</v>
      </c>
      <c r="I5568">
        <v>0</v>
      </c>
      <c r="J5568">
        <v>0</v>
      </c>
      <c r="M5568" t="s">
        <v>5692</v>
      </c>
    </row>
    <row r="5569" spans="1:13" ht="15" customHeight="1">
      <c r="A5569" s="10">
        <v>46189</v>
      </c>
      <c r="B5569" t="s">
        <v>201</v>
      </c>
      <c r="C5569" t="s">
        <v>98</v>
      </c>
      <c r="D5569">
        <v>0</v>
      </c>
      <c r="E5569">
        <v>719</v>
      </c>
      <c r="I5569">
        <v>0</v>
      </c>
      <c r="J5569">
        <v>336</v>
      </c>
      <c r="M5569" t="s">
        <v>5693</v>
      </c>
    </row>
    <row r="5570" spans="1:13" ht="15" customHeight="1">
      <c r="A5570" s="10">
        <v>46189</v>
      </c>
      <c r="B5570" t="s">
        <v>201</v>
      </c>
      <c r="C5570" t="s">
        <v>203</v>
      </c>
      <c r="D5570">
        <v>0</v>
      </c>
      <c r="E5570">
        <v>0</v>
      </c>
      <c r="I5570">
        <v>0</v>
      </c>
      <c r="J5570">
        <v>0</v>
      </c>
      <c r="M5570" t="s">
        <v>5694</v>
      </c>
    </row>
    <row r="5571" spans="1:13" ht="15" customHeight="1">
      <c r="A5571" s="10">
        <v>46189</v>
      </c>
      <c r="B5571" t="s">
        <v>201</v>
      </c>
      <c r="C5571" t="s">
        <v>100</v>
      </c>
      <c r="D5571">
        <v>0</v>
      </c>
      <c r="E5571">
        <v>0</v>
      </c>
      <c r="I5571">
        <v>0</v>
      </c>
      <c r="J5571">
        <v>0</v>
      </c>
      <c r="M5571" t="s">
        <v>5695</v>
      </c>
    </row>
    <row r="5572" spans="1:13" ht="15" customHeight="1">
      <c r="A5572" s="10">
        <v>46189</v>
      </c>
      <c r="B5572" t="s">
        <v>201</v>
      </c>
      <c r="C5572" t="s">
        <v>101</v>
      </c>
      <c r="D5572">
        <v>1</v>
      </c>
      <c r="E5572">
        <v>218</v>
      </c>
      <c r="I5572">
        <v>1</v>
      </c>
      <c r="J5572">
        <v>210</v>
      </c>
      <c r="M5572" t="s">
        <v>5696</v>
      </c>
    </row>
    <row r="5573" spans="1:13" ht="15" customHeight="1">
      <c r="A5573" s="10">
        <v>46189</v>
      </c>
      <c r="B5573" t="s">
        <v>201</v>
      </c>
      <c r="C5573" t="s">
        <v>103</v>
      </c>
      <c r="D5573">
        <v>0</v>
      </c>
      <c r="E5573">
        <v>7</v>
      </c>
      <c r="I5573">
        <v>0</v>
      </c>
      <c r="J5573">
        <v>6</v>
      </c>
      <c r="M5573" t="s">
        <v>5697</v>
      </c>
    </row>
    <row r="5574" spans="1:13" ht="15" customHeight="1">
      <c r="A5574" s="10">
        <v>46189</v>
      </c>
      <c r="B5574" t="s">
        <v>201</v>
      </c>
      <c r="C5574" t="s">
        <v>106</v>
      </c>
      <c r="D5574">
        <v>1</v>
      </c>
      <c r="E5574">
        <v>335</v>
      </c>
      <c r="I5574">
        <v>1</v>
      </c>
      <c r="J5574">
        <v>275</v>
      </c>
      <c r="M5574" t="s">
        <v>5698</v>
      </c>
    </row>
    <row r="5575" spans="1:13" ht="15" customHeight="1">
      <c r="A5575" s="10">
        <v>46189</v>
      </c>
      <c r="B5575" t="s">
        <v>201</v>
      </c>
      <c r="C5575" t="s">
        <v>108</v>
      </c>
      <c r="D5575">
        <v>1</v>
      </c>
      <c r="E5575">
        <v>1217</v>
      </c>
      <c r="I5575">
        <v>1</v>
      </c>
      <c r="J5575">
        <v>1159</v>
      </c>
      <c r="M5575" t="s">
        <v>5699</v>
      </c>
    </row>
    <row r="5576" spans="1:13" ht="15" customHeight="1">
      <c r="A5576" s="10">
        <v>46189</v>
      </c>
      <c r="B5576" t="s">
        <v>201</v>
      </c>
      <c r="C5576" t="s">
        <v>109</v>
      </c>
      <c r="D5576">
        <v>1</v>
      </c>
      <c r="E5576">
        <v>424</v>
      </c>
      <c r="I5576">
        <v>1</v>
      </c>
      <c r="J5576">
        <v>340</v>
      </c>
      <c r="M5576" t="s">
        <v>5700</v>
      </c>
    </row>
    <row r="5577" spans="1:13" ht="15" customHeight="1">
      <c r="A5577" s="10">
        <v>46189</v>
      </c>
      <c r="B5577" t="s">
        <v>201</v>
      </c>
      <c r="C5577" t="s">
        <v>112</v>
      </c>
      <c r="D5577">
        <v>0</v>
      </c>
      <c r="E5577">
        <v>43</v>
      </c>
      <c r="I5577">
        <v>0</v>
      </c>
      <c r="J5577">
        <v>35</v>
      </c>
      <c r="M5577" t="s">
        <v>5701</v>
      </c>
    </row>
    <row r="5578" spans="1:13" ht="15" customHeight="1">
      <c r="A5578" s="10">
        <v>46189</v>
      </c>
      <c r="B5578" t="s">
        <v>201</v>
      </c>
      <c r="C5578" t="s">
        <v>114</v>
      </c>
      <c r="D5578">
        <v>2</v>
      </c>
      <c r="E5578">
        <v>25</v>
      </c>
      <c r="I5578">
        <v>2</v>
      </c>
      <c r="J5578">
        <v>14</v>
      </c>
      <c r="M5578" t="s">
        <v>5702</v>
      </c>
    </row>
    <row r="5579" spans="1:13" ht="15" customHeight="1">
      <c r="A5579" s="10">
        <v>46189</v>
      </c>
      <c r="B5579" t="s">
        <v>201</v>
      </c>
      <c r="C5579" t="s">
        <v>115</v>
      </c>
      <c r="D5579">
        <v>0</v>
      </c>
      <c r="E5579">
        <v>48</v>
      </c>
      <c r="I5579">
        <v>0</v>
      </c>
      <c r="J5579">
        <v>47</v>
      </c>
      <c r="M5579" t="s">
        <v>5703</v>
      </c>
    </row>
    <row r="5580" spans="1:13" ht="15" customHeight="1">
      <c r="A5580" s="10">
        <v>46189</v>
      </c>
      <c r="B5580" t="s">
        <v>201</v>
      </c>
      <c r="C5580" t="s">
        <v>116</v>
      </c>
      <c r="D5580">
        <v>2</v>
      </c>
      <c r="E5580">
        <v>46</v>
      </c>
      <c r="I5580">
        <v>2</v>
      </c>
      <c r="J5580">
        <v>34</v>
      </c>
      <c r="M5580" t="s">
        <v>5704</v>
      </c>
    </row>
    <row r="5581" spans="1:13" ht="15" customHeight="1">
      <c r="A5581" s="10">
        <v>46189</v>
      </c>
      <c r="B5581" t="s">
        <v>201</v>
      </c>
      <c r="C5581" t="s">
        <v>119</v>
      </c>
      <c r="D5581">
        <v>1</v>
      </c>
      <c r="E5581">
        <v>0</v>
      </c>
      <c r="I5581">
        <v>1</v>
      </c>
      <c r="M5581" t="s">
        <v>5705</v>
      </c>
    </row>
    <row r="5582" spans="1:13" ht="15" customHeight="1">
      <c r="A5582" s="10">
        <v>46189</v>
      </c>
      <c r="B5582" t="s">
        <v>201</v>
      </c>
      <c r="C5582" t="s">
        <v>120</v>
      </c>
      <c r="D5582">
        <v>2</v>
      </c>
      <c r="E5582">
        <v>0</v>
      </c>
      <c r="I5582">
        <v>2</v>
      </c>
      <c r="M5582" t="s">
        <v>5706</v>
      </c>
    </row>
    <row r="5583" spans="1:13" ht="15" customHeight="1">
      <c r="A5583" s="10">
        <v>46189</v>
      </c>
      <c r="B5583" t="s">
        <v>201</v>
      </c>
      <c r="C5583" t="s">
        <v>121</v>
      </c>
      <c r="D5583">
        <v>1</v>
      </c>
      <c r="E5583">
        <v>0</v>
      </c>
      <c r="I5583">
        <v>1</v>
      </c>
      <c r="M5583" t="s">
        <v>5707</v>
      </c>
    </row>
    <row r="5584" spans="1:13" ht="15" customHeight="1">
      <c r="A5584" s="10">
        <v>46189</v>
      </c>
      <c r="B5584" t="s">
        <v>201</v>
      </c>
      <c r="C5584" t="s">
        <v>123</v>
      </c>
      <c r="D5584">
        <v>2</v>
      </c>
      <c r="E5584">
        <v>0</v>
      </c>
      <c r="I5584">
        <v>1</v>
      </c>
      <c r="M5584" t="s">
        <v>5708</v>
      </c>
    </row>
    <row r="5585" spans="1:13" ht="15" customHeight="1">
      <c r="A5585" s="10">
        <v>46189</v>
      </c>
      <c r="B5585" t="s">
        <v>201</v>
      </c>
      <c r="C5585" t="s">
        <v>124</v>
      </c>
      <c r="D5585">
        <v>0</v>
      </c>
      <c r="E5585">
        <v>0</v>
      </c>
      <c r="I5585">
        <v>0</v>
      </c>
      <c r="M5585" t="s">
        <v>5709</v>
      </c>
    </row>
    <row r="5586" spans="1:13" ht="15" customHeight="1">
      <c r="A5586" s="10">
        <v>46189</v>
      </c>
      <c r="B5586" t="s">
        <v>201</v>
      </c>
      <c r="C5586" t="s">
        <v>125</v>
      </c>
      <c r="D5586">
        <v>1</v>
      </c>
      <c r="E5586">
        <v>0</v>
      </c>
      <c r="I5586">
        <v>1</v>
      </c>
      <c r="M5586" t="s">
        <v>5710</v>
      </c>
    </row>
    <row r="5587" spans="1:13" ht="15" customHeight="1">
      <c r="A5587" s="10">
        <v>46189</v>
      </c>
      <c r="B5587" t="s">
        <v>201</v>
      </c>
      <c r="C5587" t="s">
        <v>126</v>
      </c>
      <c r="D5587">
        <v>1</v>
      </c>
      <c r="E5587">
        <v>0</v>
      </c>
      <c r="I5587">
        <v>1</v>
      </c>
      <c r="M5587" t="s">
        <v>5711</v>
      </c>
    </row>
    <row r="5588" spans="1:13" ht="15" customHeight="1">
      <c r="A5588" s="10">
        <v>46189</v>
      </c>
      <c r="B5588" t="s">
        <v>201</v>
      </c>
      <c r="C5588" t="s">
        <v>128</v>
      </c>
      <c r="D5588">
        <v>2</v>
      </c>
      <c r="E5588">
        <v>0</v>
      </c>
      <c r="I5588">
        <v>2</v>
      </c>
      <c r="M5588" t="s">
        <v>5712</v>
      </c>
    </row>
    <row r="5589" spans="1:13" ht="15" customHeight="1">
      <c r="A5589" s="10">
        <v>46189</v>
      </c>
      <c r="B5589" t="s">
        <v>201</v>
      </c>
      <c r="C5589" t="s">
        <v>130</v>
      </c>
      <c r="D5589">
        <v>3</v>
      </c>
      <c r="E5589">
        <v>0</v>
      </c>
      <c r="I5589">
        <v>3</v>
      </c>
      <c r="M5589" t="s">
        <v>5713</v>
      </c>
    </row>
    <row r="5590" spans="1:13" ht="15" customHeight="1">
      <c r="A5590" s="10">
        <v>46189</v>
      </c>
      <c r="B5590" t="s">
        <v>201</v>
      </c>
      <c r="C5590" t="s">
        <v>285</v>
      </c>
      <c r="D5590">
        <v>2</v>
      </c>
      <c r="E5590">
        <v>0</v>
      </c>
      <c r="I5590">
        <v>2</v>
      </c>
      <c r="M5590" t="s">
        <v>5714</v>
      </c>
    </row>
    <row r="5591" spans="1:13" ht="15" customHeight="1">
      <c r="A5591" s="10">
        <v>46189</v>
      </c>
      <c r="B5591" t="s">
        <v>201</v>
      </c>
      <c r="C5591" t="s">
        <v>287</v>
      </c>
      <c r="D5591">
        <v>2</v>
      </c>
      <c r="E5591">
        <v>0</v>
      </c>
      <c r="I5591">
        <v>2</v>
      </c>
      <c r="M5591" t="s">
        <v>5715</v>
      </c>
    </row>
    <row r="5592" spans="1:13" ht="15" customHeight="1">
      <c r="A5592" s="10">
        <v>46189</v>
      </c>
      <c r="B5592" t="s">
        <v>201</v>
      </c>
      <c r="C5592" t="s">
        <v>289</v>
      </c>
      <c r="D5592">
        <v>2</v>
      </c>
      <c r="E5592">
        <v>0</v>
      </c>
      <c r="I5592">
        <v>2</v>
      </c>
      <c r="M5592" t="s">
        <v>5716</v>
      </c>
    </row>
    <row r="5593" spans="1:13" ht="15" customHeight="1">
      <c r="A5593" s="10">
        <v>46189</v>
      </c>
      <c r="B5593" t="s">
        <v>201</v>
      </c>
      <c r="C5593" t="s">
        <v>291</v>
      </c>
      <c r="D5593">
        <v>2</v>
      </c>
      <c r="E5593">
        <v>0</v>
      </c>
      <c r="I5593">
        <v>2</v>
      </c>
      <c r="M5593" t="s">
        <v>5717</v>
      </c>
    </row>
    <row r="5594" spans="1:13" ht="15" customHeight="1">
      <c r="A5594" s="10">
        <v>46189</v>
      </c>
      <c r="B5594" t="s">
        <v>201</v>
      </c>
      <c r="C5594" t="s">
        <v>293</v>
      </c>
      <c r="D5594">
        <v>3</v>
      </c>
      <c r="E5594">
        <v>0</v>
      </c>
      <c r="I5594">
        <v>3</v>
      </c>
      <c r="M5594" t="s">
        <v>5718</v>
      </c>
    </row>
    <row r="5595" spans="1:13" ht="15" customHeight="1">
      <c r="A5595" s="10">
        <v>46189</v>
      </c>
      <c r="B5595" t="s">
        <v>201</v>
      </c>
      <c r="C5595" s="135" t="s">
        <v>138</v>
      </c>
      <c r="D5595">
        <v>0</v>
      </c>
      <c r="E5595">
        <v>61</v>
      </c>
      <c r="I5595">
        <v>0</v>
      </c>
      <c r="J5595">
        <v>58</v>
      </c>
      <c r="M5595" t="s">
        <v>5719</v>
      </c>
    </row>
    <row r="5596" spans="1:13" ht="15" customHeight="1">
      <c r="A5596" s="10">
        <v>46189</v>
      </c>
      <c r="B5596" t="s">
        <v>201</v>
      </c>
      <c r="C5596" s="135" t="s">
        <v>139</v>
      </c>
      <c r="D5596">
        <v>0</v>
      </c>
      <c r="E5596">
        <v>20</v>
      </c>
      <c r="I5596">
        <v>0</v>
      </c>
      <c r="J5596">
        <v>19</v>
      </c>
      <c r="M5596" t="s">
        <v>5720</v>
      </c>
    </row>
    <row r="5597" spans="1:13" ht="15" customHeight="1">
      <c r="A5597" s="10">
        <v>46189</v>
      </c>
      <c r="B5597" t="s">
        <v>201</v>
      </c>
      <c r="C5597" s="135" t="s">
        <v>140</v>
      </c>
      <c r="D5597">
        <v>0</v>
      </c>
      <c r="E5597">
        <v>32</v>
      </c>
      <c r="I5597">
        <v>0</v>
      </c>
      <c r="J5597">
        <v>32</v>
      </c>
      <c r="M5597" t="s">
        <v>5721</v>
      </c>
    </row>
    <row r="5598" spans="1:13" ht="15" customHeight="1">
      <c r="A5598" s="10">
        <v>46189</v>
      </c>
      <c r="B5598" t="s">
        <v>201</v>
      </c>
      <c r="C5598" s="135" t="s">
        <v>141</v>
      </c>
      <c r="D5598">
        <v>0</v>
      </c>
      <c r="E5598">
        <v>1</v>
      </c>
      <c r="I5598">
        <v>0</v>
      </c>
      <c r="J5598">
        <v>1</v>
      </c>
      <c r="M5598" t="s">
        <v>5722</v>
      </c>
    </row>
    <row r="5599" spans="1:13" ht="15" customHeight="1">
      <c r="A5599" s="10">
        <v>46189</v>
      </c>
      <c r="B5599" t="s">
        <v>201</v>
      </c>
      <c r="C5599" s="135" t="s">
        <v>143</v>
      </c>
      <c r="D5599">
        <v>0</v>
      </c>
      <c r="E5599">
        <v>34</v>
      </c>
      <c r="I5599">
        <v>0</v>
      </c>
      <c r="J5599">
        <v>28</v>
      </c>
      <c r="M5599" t="s">
        <v>5723</v>
      </c>
    </row>
    <row r="5600" spans="1:13" ht="15" customHeight="1">
      <c r="A5600" s="10">
        <v>46189</v>
      </c>
      <c r="B5600" t="s">
        <v>201</v>
      </c>
      <c r="C5600" s="135" t="s">
        <v>145</v>
      </c>
      <c r="D5600">
        <v>0</v>
      </c>
      <c r="E5600">
        <v>10</v>
      </c>
      <c r="I5600">
        <v>0</v>
      </c>
      <c r="J5600">
        <v>8</v>
      </c>
      <c r="M5600" t="s">
        <v>5724</v>
      </c>
    </row>
    <row r="5601" spans="1:13" ht="15" customHeight="1">
      <c r="A5601" s="10">
        <v>46189</v>
      </c>
      <c r="B5601" t="s">
        <v>201</v>
      </c>
      <c r="C5601" s="135" t="s">
        <v>147</v>
      </c>
      <c r="D5601">
        <v>0</v>
      </c>
      <c r="E5601">
        <v>31</v>
      </c>
      <c r="I5601">
        <v>0</v>
      </c>
      <c r="J5601">
        <v>30</v>
      </c>
      <c r="M5601" t="s">
        <v>5725</v>
      </c>
    </row>
    <row r="5602" spans="1:13" ht="15" customHeight="1">
      <c r="A5602" s="10">
        <v>46189</v>
      </c>
      <c r="B5602" t="s">
        <v>201</v>
      </c>
      <c r="C5602" t="s">
        <v>302</v>
      </c>
      <c r="D5602">
        <v>1</v>
      </c>
      <c r="E5602">
        <v>2</v>
      </c>
      <c r="I5602">
        <v>1</v>
      </c>
      <c r="M5602" t="s">
        <v>5726</v>
      </c>
    </row>
    <row r="5603" spans="1:13" ht="15" customHeight="1">
      <c r="A5603" s="10">
        <v>46189</v>
      </c>
      <c r="B5603" t="s">
        <v>201</v>
      </c>
      <c r="C5603" t="s">
        <v>150</v>
      </c>
      <c r="D5603">
        <v>3</v>
      </c>
      <c r="E5603">
        <v>0</v>
      </c>
      <c r="I5603">
        <v>2</v>
      </c>
      <c r="M5603" t="s">
        <v>5727</v>
      </c>
    </row>
    <row r="5604" spans="1:13" ht="15" customHeight="1">
      <c r="A5604" s="10">
        <v>46189</v>
      </c>
      <c r="B5604" t="s">
        <v>201</v>
      </c>
      <c r="C5604" t="s">
        <v>151</v>
      </c>
      <c r="D5604">
        <v>2</v>
      </c>
      <c r="E5604">
        <v>0</v>
      </c>
      <c r="I5604">
        <v>2</v>
      </c>
      <c r="M5604" t="s">
        <v>5728</v>
      </c>
    </row>
    <row r="5605" spans="1:13" ht="15" customHeight="1">
      <c r="A5605" s="10">
        <v>46189</v>
      </c>
      <c r="B5605" t="s">
        <v>201</v>
      </c>
      <c r="C5605" t="s">
        <v>152</v>
      </c>
      <c r="D5605">
        <v>1</v>
      </c>
      <c r="E5605">
        <v>0</v>
      </c>
      <c r="I5605">
        <v>1</v>
      </c>
      <c r="M5605" t="s">
        <v>5729</v>
      </c>
    </row>
    <row r="5606" spans="1:13" ht="15" customHeight="1">
      <c r="A5606" s="10">
        <v>46189</v>
      </c>
      <c r="B5606" t="s">
        <v>201</v>
      </c>
      <c r="C5606" t="s">
        <v>153</v>
      </c>
      <c r="D5606">
        <v>3</v>
      </c>
      <c r="E5606">
        <v>0</v>
      </c>
      <c r="I5606">
        <v>2</v>
      </c>
      <c r="M5606" t="s">
        <v>5730</v>
      </c>
    </row>
    <row r="5607" spans="1:13" ht="15" customHeight="1">
      <c r="A5607" s="10">
        <v>46189</v>
      </c>
      <c r="B5607" t="s">
        <v>201</v>
      </c>
      <c r="C5607" t="s">
        <v>308</v>
      </c>
      <c r="D5607">
        <v>0</v>
      </c>
      <c r="E5607">
        <v>3</v>
      </c>
      <c r="I5607">
        <v>0</v>
      </c>
      <c r="J5607">
        <v>2</v>
      </c>
      <c r="M5607" t="s">
        <v>5731</v>
      </c>
    </row>
    <row r="5608" spans="1:13" ht="15" customHeight="1">
      <c r="A5608" s="10">
        <v>46189</v>
      </c>
      <c r="B5608" t="s">
        <v>201</v>
      </c>
      <c r="C5608" t="s">
        <v>310</v>
      </c>
      <c r="D5608">
        <v>0</v>
      </c>
      <c r="E5608">
        <v>2</v>
      </c>
      <c r="I5608">
        <v>0</v>
      </c>
      <c r="J5608">
        <v>2</v>
      </c>
      <c r="M5608" t="s">
        <v>5732</v>
      </c>
    </row>
    <row r="5609" spans="1:13" ht="15" customHeight="1">
      <c r="A5609" s="10">
        <v>46189</v>
      </c>
      <c r="B5609" t="s">
        <v>201</v>
      </c>
      <c r="C5609" t="s">
        <v>312</v>
      </c>
      <c r="D5609">
        <v>0</v>
      </c>
      <c r="E5609">
        <v>3</v>
      </c>
      <c r="I5609">
        <v>0</v>
      </c>
      <c r="J5609">
        <v>3</v>
      </c>
      <c r="M5609" t="s">
        <v>5733</v>
      </c>
    </row>
    <row r="5610" spans="1:13" ht="15" customHeight="1">
      <c r="A5610" s="10">
        <v>46189</v>
      </c>
      <c r="B5610" t="s">
        <v>201</v>
      </c>
      <c r="C5610" t="s">
        <v>314</v>
      </c>
      <c r="D5610">
        <v>1</v>
      </c>
      <c r="E5610">
        <v>0</v>
      </c>
      <c r="I5610">
        <v>1</v>
      </c>
      <c r="M5610" t="s">
        <v>5734</v>
      </c>
    </row>
    <row r="5611" spans="1:13" ht="15" customHeight="1">
      <c r="A5611" s="10">
        <v>46189</v>
      </c>
      <c r="B5611" t="s">
        <v>201</v>
      </c>
      <c r="C5611" t="s">
        <v>316</v>
      </c>
      <c r="D5611">
        <v>1</v>
      </c>
      <c r="E5611">
        <v>0</v>
      </c>
      <c r="I5611">
        <v>1</v>
      </c>
      <c r="M5611" t="s">
        <v>5735</v>
      </c>
    </row>
    <row r="5612" spans="1:13" ht="15" customHeight="1">
      <c r="A5612" s="10">
        <v>46189</v>
      </c>
      <c r="B5612" t="s">
        <v>201</v>
      </c>
      <c r="C5612" t="s">
        <v>318</v>
      </c>
      <c r="D5612">
        <v>2</v>
      </c>
      <c r="E5612">
        <v>0</v>
      </c>
      <c r="I5612">
        <v>3</v>
      </c>
      <c r="M5612" t="s">
        <v>5736</v>
      </c>
    </row>
    <row r="5613" spans="1:13" ht="15" customHeight="1">
      <c r="A5613" s="10">
        <v>46189</v>
      </c>
      <c r="B5613" t="s">
        <v>201</v>
      </c>
      <c r="C5613" t="s">
        <v>320</v>
      </c>
      <c r="D5613">
        <v>1</v>
      </c>
      <c r="E5613">
        <v>0</v>
      </c>
      <c r="I5613">
        <v>1</v>
      </c>
      <c r="M5613" t="s">
        <v>5737</v>
      </c>
    </row>
    <row r="5614" spans="1:13" ht="15" customHeight="1">
      <c r="A5614" s="10">
        <v>46189</v>
      </c>
      <c r="B5614" t="s">
        <v>201</v>
      </c>
      <c r="C5614" t="s">
        <v>322</v>
      </c>
      <c r="D5614">
        <v>2</v>
      </c>
      <c r="E5614">
        <v>0</v>
      </c>
      <c r="I5614">
        <v>2</v>
      </c>
      <c r="M5614" t="s">
        <v>5738</v>
      </c>
    </row>
    <row r="5615" spans="1:13" ht="15" customHeight="1">
      <c r="A5615" s="10">
        <v>46189</v>
      </c>
      <c r="B5615" t="s">
        <v>201</v>
      </c>
      <c r="C5615" s="135" t="s">
        <v>168</v>
      </c>
      <c r="D5615">
        <v>0</v>
      </c>
      <c r="E5615">
        <v>0</v>
      </c>
      <c r="I5615">
        <v>0</v>
      </c>
      <c r="M5615" t="s">
        <v>5739</v>
      </c>
    </row>
    <row r="5616" spans="1:13" ht="15" customHeight="1">
      <c r="A5616" s="10">
        <v>46189</v>
      </c>
      <c r="B5616" t="s">
        <v>201</v>
      </c>
      <c r="C5616" s="135" t="s">
        <v>170</v>
      </c>
      <c r="D5616">
        <v>1</v>
      </c>
      <c r="E5616">
        <v>0</v>
      </c>
      <c r="I5616">
        <v>1</v>
      </c>
      <c r="M5616" t="s">
        <v>5740</v>
      </c>
    </row>
    <row r="5617" spans="1:13" ht="15" customHeight="1">
      <c r="A5617" s="10">
        <v>46189</v>
      </c>
      <c r="B5617" t="s">
        <v>201</v>
      </c>
      <c r="C5617" s="135" t="s">
        <v>171</v>
      </c>
      <c r="D5617">
        <v>3</v>
      </c>
      <c r="E5617">
        <v>0</v>
      </c>
      <c r="I5617">
        <v>3</v>
      </c>
      <c r="M5617" t="s">
        <v>5741</v>
      </c>
    </row>
    <row r="5618" spans="1:13" ht="15" customHeight="1">
      <c r="A5618" s="10">
        <v>46189</v>
      </c>
      <c r="B5618" t="s">
        <v>201</v>
      </c>
      <c r="C5618" s="135" t="s">
        <v>172</v>
      </c>
      <c r="D5618">
        <v>0</v>
      </c>
      <c r="E5618">
        <v>0</v>
      </c>
      <c r="I5618">
        <v>0</v>
      </c>
      <c r="M5618" t="s">
        <v>5742</v>
      </c>
    </row>
    <row r="5619" spans="1:13" ht="15" customHeight="1">
      <c r="A5619" s="10">
        <v>46189</v>
      </c>
      <c r="B5619" t="s">
        <v>201</v>
      </c>
      <c r="C5619" s="135" t="s">
        <v>173</v>
      </c>
      <c r="D5619">
        <v>0</v>
      </c>
      <c r="E5619">
        <v>0</v>
      </c>
      <c r="I5619">
        <v>0</v>
      </c>
      <c r="M5619" t="s">
        <v>5743</v>
      </c>
    </row>
    <row r="5620" spans="1:13" ht="15" customHeight="1">
      <c r="A5620" s="10">
        <v>46189</v>
      </c>
      <c r="B5620" t="s">
        <v>201</v>
      </c>
      <c r="C5620" t="s">
        <v>176</v>
      </c>
      <c r="D5620">
        <v>0</v>
      </c>
      <c r="E5620">
        <v>22</v>
      </c>
      <c r="H5620">
        <v>1</v>
      </c>
      <c r="I5620">
        <v>0</v>
      </c>
      <c r="J5620">
        <v>21</v>
      </c>
      <c r="M5620" t="s">
        <v>5744</v>
      </c>
    </row>
    <row r="5621" spans="1:13" ht="15" customHeight="1">
      <c r="A5621" s="10">
        <v>46189</v>
      </c>
      <c r="B5621" t="s">
        <v>201</v>
      </c>
      <c r="C5621" t="s">
        <v>178</v>
      </c>
      <c r="D5621">
        <v>0</v>
      </c>
      <c r="E5621">
        <v>25</v>
      </c>
      <c r="I5621">
        <v>0</v>
      </c>
      <c r="J5621">
        <v>25</v>
      </c>
      <c r="M5621" t="s">
        <v>5745</v>
      </c>
    </row>
    <row r="5622" spans="1:13" ht="15" customHeight="1">
      <c r="A5622" s="10">
        <v>46189</v>
      </c>
      <c r="B5622" t="s">
        <v>201</v>
      </c>
      <c r="C5622" t="s">
        <v>179</v>
      </c>
      <c r="D5622">
        <v>0</v>
      </c>
      <c r="E5622">
        <v>18</v>
      </c>
      <c r="I5622">
        <v>0</v>
      </c>
      <c r="J5622">
        <v>188</v>
      </c>
      <c r="M5622" t="s">
        <v>5746</v>
      </c>
    </row>
    <row r="5623" spans="1:13" ht="15" customHeight="1">
      <c r="A5623" s="10">
        <v>46189</v>
      </c>
      <c r="B5623" t="s">
        <v>201</v>
      </c>
      <c r="C5623" t="s">
        <v>180</v>
      </c>
      <c r="D5623">
        <v>0</v>
      </c>
      <c r="E5623">
        <v>20</v>
      </c>
      <c r="H5623">
        <v>2</v>
      </c>
      <c r="I5623">
        <v>0</v>
      </c>
      <c r="J5623">
        <v>18</v>
      </c>
      <c r="M5623" t="s">
        <v>5747</v>
      </c>
    </row>
    <row r="5624" spans="1:13" ht="15" customHeight="1">
      <c r="A5624" s="10">
        <v>46189</v>
      </c>
      <c r="B5624" t="s">
        <v>201</v>
      </c>
      <c r="C5624" s="135" t="s">
        <v>182</v>
      </c>
      <c r="D5624">
        <v>1</v>
      </c>
      <c r="E5624">
        <v>158</v>
      </c>
      <c r="I5624">
        <v>1</v>
      </c>
      <c r="J5624">
        <v>150</v>
      </c>
      <c r="M5624" t="s">
        <v>5748</v>
      </c>
    </row>
    <row r="5625" spans="1:13" ht="15" customHeight="1">
      <c r="A5625" s="10">
        <v>46189</v>
      </c>
      <c r="B5625" t="s">
        <v>201</v>
      </c>
      <c r="C5625" s="135" t="s">
        <v>184</v>
      </c>
      <c r="D5625">
        <v>1</v>
      </c>
      <c r="E5625">
        <v>33</v>
      </c>
      <c r="I5625">
        <v>1</v>
      </c>
      <c r="J5625">
        <v>27</v>
      </c>
      <c r="M5625" t="s">
        <v>5749</v>
      </c>
    </row>
    <row r="5626" spans="1:13" ht="15" customHeight="1">
      <c r="A5626" s="10">
        <v>46189</v>
      </c>
      <c r="B5626" t="s">
        <v>201</v>
      </c>
      <c r="C5626" s="135" t="s">
        <v>185</v>
      </c>
      <c r="D5626">
        <v>1</v>
      </c>
      <c r="E5626">
        <v>36</v>
      </c>
      <c r="I5626">
        <v>1</v>
      </c>
      <c r="J5626">
        <v>36</v>
      </c>
      <c r="M5626" t="s">
        <v>5750</v>
      </c>
    </row>
    <row r="5627" spans="1:13" ht="15" customHeight="1">
      <c r="A5627" s="10">
        <v>46189</v>
      </c>
      <c r="B5627" t="s">
        <v>201</v>
      </c>
      <c r="C5627" s="135" t="s">
        <v>186</v>
      </c>
      <c r="D5627">
        <v>1</v>
      </c>
      <c r="E5627">
        <v>600</v>
      </c>
      <c r="I5627">
        <v>1</v>
      </c>
      <c r="J5627">
        <v>600</v>
      </c>
      <c r="M5627" t="s">
        <v>5751</v>
      </c>
    </row>
    <row r="5628" spans="1:13" ht="15" customHeight="1">
      <c r="A5628" s="10">
        <v>46189</v>
      </c>
      <c r="B5628" t="s">
        <v>201</v>
      </c>
      <c r="C5628" t="s">
        <v>337</v>
      </c>
      <c r="D5628">
        <v>1</v>
      </c>
      <c r="E5628">
        <v>304</v>
      </c>
      <c r="I5628">
        <v>1</v>
      </c>
      <c r="J5628">
        <v>209</v>
      </c>
      <c r="M5628" t="s">
        <v>5752</v>
      </c>
    </row>
    <row r="5629" spans="1:13" ht="15" customHeight="1">
      <c r="A5629" s="10">
        <v>46189</v>
      </c>
      <c r="B5629" t="s">
        <v>201</v>
      </c>
      <c r="C5629" t="s">
        <v>339</v>
      </c>
      <c r="D5629">
        <v>0</v>
      </c>
      <c r="E5629">
        <v>0</v>
      </c>
      <c r="I5629">
        <v>0</v>
      </c>
      <c r="J5629">
        <v>0</v>
      </c>
      <c r="M5629" t="s">
        <v>5753</v>
      </c>
    </row>
    <row r="5630" spans="1:13" ht="15" customHeight="1">
      <c r="A5630" s="10">
        <v>46189</v>
      </c>
      <c r="B5630" t="s">
        <v>201</v>
      </c>
      <c r="C5630" s="135" t="s">
        <v>191</v>
      </c>
      <c r="D5630">
        <v>0</v>
      </c>
      <c r="E5630">
        <v>724</v>
      </c>
      <c r="I5630">
        <v>0</v>
      </c>
      <c r="J5630">
        <v>655</v>
      </c>
      <c r="M5630" t="s">
        <v>5754</v>
      </c>
    </row>
    <row r="5631" spans="1:13" ht="15" customHeight="1">
      <c r="A5631" s="10">
        <v>46189</v>
      </c>
      <c r="B5631" t="s">
        <v>201</v>
      </c>
      <c r="C5631" s="135" t="s">
        <v>193</v>
      </c>
      <c r="D5631">
        <v>1</v>
      </c>
      <c r="E5631">
        <v>346</v>
      </c>
      <c r="I5631">
        <v>1</v>
      </c>
      <c r="J5631">
        <v>298</v>
      </c>
      <c r="M5631" t="s">
        <v>5755</v>
      </c>
    </row>
    <row r="5632" spans="1:13" ht="15" customHeight="1">
      <c r="A5632" s="10">
        <v>46189</v>
      </c>
      <c r="B5632" t="s">
        <v>201</v>
      </c>
      <c r="C5632" s="135" t="s">
        <v>194</v>
      </c>
      <c r="D5632">
        <v>0</v>
      </c>
      <c r="E5632">
        <v>24</v>
      </c>
      <c r="I5632">
        <v>0</v>
      </c>
      <c r="J5632">
        <v>24</v>
      </c>
      <c r="M5632" t="s">
        <v>5756</v>
      </c>
    </row>
    <row r="5633" spans="1:13" ht="15" customHeight="1">
      <c r="A5633" s="10">
        <v>46189</v>
      </c>
      <c r="B5633" t="s">
        <v>201</v>
      </c>
      <c r="C5633" s="135" t="s">
        <v>196</v>
      </c>
      <c r="D5633">
        <v>0</v>
      </c>
      <c r="E5633">
        <v>504</v>
      </c>
      <c r="I5633">
        <v>0</v>
      </c>
      <c r="J5633">
        <v>504</v>
      </c>
      <c r="M5633" t="s">
        <v>5757</v>
      </c>
    </row>
    <row r="5634" spans="1:13" ht="15" customHeight="1">
      <c r="A5634" s="10">
        <v>46189</v>
      </c>
      <c r="B5634" t="s">
        <v>201</v>
      </c>
      <c r="C5634" s="135" t="s">
        <v>199</v>
      </c>
      <c r="D5634">
        <v>0</v>
      </c>
      <c r="E5634">
        <v>225</v>
      </c>
      <c r="I5634">
        <v>0</v>
      </c>
      <c r="J5634">
        <v>205</v>
      </c>
      <c r="M5634" t="s">
        <v>5758</v>
      </c>
    </row>
    <row r="5635" spans="1:13" ht="15" customHeight="1">
      <c r="A5635" s="10">
        <v>46189</v>
      </c>
      <c r="B5635" t="s">
        <v>201</v>
      </c>
      <c r="C5635" s="135" t="s">
        <v>200</v>
      </c>
      <c r="D5635">
        <v>0</v>
      </c>
      <c r="E5635">
        <v>933</v>
      </c>
      <c r="I5635">
        <v>0</v>
      </c>
      <c r="J5635">
        <v>918</v>
      </c>
      <c r="M5635" t="s">
        <v>5759</v>
      </c>
    </row>
    <row r="5636" spans="1:13" ht="15" customHeight="1">
      <c r="A5636" s="10">
        <v>46189</v>
      </c>
      <c r="B5636" t="s">
        <v>201</v>
      </c>
      <c r="C5636" s="135" t="s">
        <v>202</v>
      </c>
      <c r="D5636">
        <v>0</v>
      </c>
      <c r="E5636">
        <v>747</v>
      </c>
      <c r="I5636">
        <v>0</v>
      </c>
      <c r="J5636">
        <v>736</v>
      </c>
      <c r="M5636" t="s">
        <v>5760</v>
      </c>
    </row>
    <row r="5637" spans="1:13" ht="15" customHeight="1">
      <c r="A5637" s="10">
        <v>46190</v>
      </c>
      <c r="B5637" t="s">
        <v>201</v>
      </c>
      <c r="C5637" t="s">
        <v>23</v>
      </c>
      <c r="D5637">
        <v>5</v>
      </c>
      <c r="E5637">
        <v>1330</v>
      </c>
      <c r="I5637">
        <v>5</v>
      </c>
      <c r="J5637">
        <v>391</v>
      </c>
      <c r="M5637" t="s">
        <v>5761</v>
      </c>
    </row>
    <row r="5638" spans="1:13" ht="15" customHeight="1">
      <c r="A5638" s="10">
        <v>46190</v>
      </c>
      <c r="B5638" t="s">
        <v>201</v>
      </c>
      <c r="C5638" t="s">
        <v>26</v>
      </c>
      <c r="D5638">
        <v>0</v>
      </c>
      <c r="E5638">
        <v>859</v>
      </c>
      <c r="F5638">
        <v>1</v>
      </c>
      <c r="G5638">
        <v>900</v>
      </c>
      <c r="I5638">
        <v>1</v>
      </c>
      <c r="J5638">
        <v>1494</v>
      </c>
      <c r="M5638" t="s">
        <v>5762</v>
      </c>
    </row>
    <row r="5639" spans="1:13" ht="15" customHeight="1">
      <c r="A5639" s="10">
        <v>46190</v>
      </c>
      <c r="B5639" t="s">
        <v>201</v>
      </c>
      <c r="C5639" t="s">
        <v>27</v>
      </c>
      <c r="D5639">
        <v>0</v>
      </c>
      <c r="E5639">
        <v>0</v>
      </c>
      <c r="F5639">
        <v>2</v>
      </c>
      <c r="I5639">
        <v>1</v>
      </c>
      <c r="J5639">
        <v>760</v>
      </c>
      <c r="M5639" t="s">
        <v>5763</v>
      </c>
    </row>
    <row r="5640" spans="1:13" ht="15" customHeight="1">
      <c r="A5640" s="10">
        <v>46190</v>
      </c>
      <c r="B5640" t="s">
        <v>201</v>
      </c>
      <c r="C5640" t="s">
        <v>28</v>
      </c>
      <c r="D5640">
        <v>0</v>
      </c>
      <c r="E5640">
        <v>0</v>
      </c>
      <c r="I5640">
        <v>0</v>
      </c>
      <c r="J5640">
        <v>0</v>
      </c>
      <c r="M5640" t="s">
        <v>5764</v>
      </c>
    </row>
    <row r="5641" spans="1:13" ht="15" customHeight="1">
      <c r="A5641" s="10">
        <v>46190</v>
      </c>
      <c r="B5641" t="s">
        <v>201</v>
      </c>
      <c r="C5641" t="s">
        <v>29</v>
      </c>
      <c r="D5641">
        <v>0</v>
      </c>
      <c r="E5641">
        <v>470</v>
      </c>
      <c r="I5641">
        <v>0</v>
      </c>
      <c r="J5641">
        <v>456</v>
      </c>
      <c r="M5641" t="s">
        <v>5765</v>
      </c>
    </row>
    <row r="5642" spans="1:13" ht="15" customHeight="1">
      <c r="A5642" s="10">
        <v>46190</v>
      </c>
      <c r="B5642" t="s">
        <v>201</v>
      </c>
      <c r="C5642" t="s">
        <v>30</v>
      </c>
      <c r="D5642">
        <v>2</v>
      </c>
      <c r="E5642">
        <v>381</v>
      </c>
      <c r="I5642">
        <v>2</v>
      </c>
      <c r="J5642">
        <v>276</v>
      </c>
      <c r="M5642" t="s">
        <v>5766</v>
      </c>
    </row>
    <row r="5643" spans="1:13" ht="15" customHeight="1">
      <c r="A5643" s="10">
        <v>46190</v>
      </c>
      <c r="B5643" t="s">
        <v>201</v>
      </c>
      <c r="C5643" t="s">
        <v>31</v>
      </c>
      <c r="D5643">
        <v>0</v>
      </c>
      <c r="E5643">
        <v>172</v>
      </c>
      <c r="F5643">
        <v>2</v>
      </c>
      <c r="I5643">
        <v>1</v>
      </c>
      <c r="J5643">
        <v>761</v>
      </c>
      <c r="M5643" t="s">
        <v>5767</v>
      </c>
    </row>
    <row r="5644" spans="1:13" ht="15" customHeight="1">
      <c r="A5644" s="10">
        <v>46190</v>
      </c>
      <c r="B5644" t="s">
        <v>201</v>
      </c>
      <c r="C5644" t="s">
        <v>32</v>
      </c>
      <c r="D5644">
        <v>1</v>
      </c>
      <c r="E5644">
        <v>215</v>
      </c>
      <c r="F5644">
        <v>1</v>
      </c>
      <c r="I5644">
        <v>2</v>
      </c>
      <c r="J5644">
        <v>0</v>
      </c>
      <c r="M5644" t="s">
        <v>5768</v>
      </c>
    </row>
    <row r="5645" spans="1:13" ht="15" customHeight="1">
      <c r="A5645" s="10">
        <v>46190</v>
      </c>
      <c r="B5645" t="s">
        <v>201</v>
      </c>
      <c r="C5645" t="s">
        <v>223</v>
      </c>
      <c r="D5645">
        <v>4</v>
      </c>
      <c r="E5645">
        <v>686</v>
      </c>
      <c r="F5645">
        <v>3</v>
      </c>
      <c r="I5645">
        <v>6</v>
      </c>
      <c r="J5645">
        <v>876</v>
      </c>
      <c r="M5645" t="s">
        <v>5769</v>
      </c>
    </row>
    <row r="5646" spans="1:13" ht="15" customHeight="1">
      <c r="A5646" s="10">
        <v>46190</v>
      </c>
      <c r="B5646" t="s">
        <v>201</v>
      </c>
      <c r="C5646" t="s">
        <v>35</v>
      </c>
      <c r="D5646">
        <v>5</v>
      </c>
      <c r="E5646">
        <v>0</v>
      </c>
      <c r="I5646">
        <v>0</v>
      </c>
      <c r="M5646" t="s">
        <v>5770</v>
      </c>
    </row>
    <row r="5647" spans="1:13" ht="15" customHeight="1">
      <c r="A5647" s="10">
        <v>46190</v>
      </c>
      <c r="B5647" t="s">
        <v>201</v>
      </c>
      <c r="C5647" t="s">
        <v>37</v>
      </c>
      <c r="D5647">
        <v>0</v>
      </c>
      <c r="E5647">
        <v>0</v>
      </c>
      <c r="F5647">
        <v>6</v>
      </c>
      <c r="I5647">
        <v>6</v>
      </c>
      <c r="M5647" t="s">
        <v>5771</v>
      </c>
    </row>
    <row r="5648" spans="1:13" ht="15" customHeight="1">
      <c r="A5648" s="10">
        <v>46190</v>
      </c>
      <c r="B5648" t="s">
        <v>201</v>
      </c>
      <c r="C5648" t="s">
        <v>39</v>
      </c>
      <c r="D5648">
        <v>3</v>
      </c>
      <c r="E5648">
        <v>0</v>
      </c>
      <c r="F5648">
        <v>20</v>
      </c>
      <c r="H5648">
        <v>2</v>
      </c>
      <c r="I5648">
        <v>21</v>
      </c>
      <c r="M5648" t="s">
        <v>5772</v>
      </c>
    </row>
    <row r="5649" spans="1:13" ht="15" customHeight="1">
      <c r="A5649" s="10">
        <v>46190</v>
      </c>
      <c r="B5649" t="s">
        <v>201</v>
      </c>
      <c r="C5649" t="s">
        <v>41</v>
      </c>
      <c r="D5649">
        <v>22</v>
      </c>
      <c r="E5649">
        <v>0</v>
      </c>
      <c r="I5649">
        <v>22</v>
      </c>
      <c r="M5649" t="s">
        <v>5773</v>
      </c>
    </row>
    <row r="5650" spans="1:13" ht="15" customHeight="1">
      <c r="A5650" s="10">
        <v>46190</v>
      </c>
      <c r="B5650" t="s">
        <v>201</v>
      </c>
      <c r="C5650" s="135" t="s">
        <v>44</v>
      </c>
      <c r="D5650">
        <v>3</v>
      </c>
      <c r="E5650">
        <v>8455</v>
      </c>
      <c r="F5650">
        <v>3</v>
      </c>
      <c r="G5650">
        <v>2300</v>
      </c>
      <c r="I5650">
        <v>6</v>
      </c>
      <c r="J5650">
        <v>9322</v>
      </c>
      <c r="M5650" t="s">
        <v>5774</v>
      </c>
    </row>
    <row r="5651" spans="1:13" ht="15" customHeight="1">
      <c r="A5651" s="10">
        <v>46190</v>
      </c>
      <c r="B5651" t="s">
        <v>201</v>
      </c>
      <c r="C5651" t="s">
        <v>230</v>
      </c>
      <c r="D5651">
        <v>1</v>
      </c>
      <c r="E5651">
        <v>108</v>
      </c>
      <c r="I5651">
        <v>1</v>
      </c>
      <c r="J5651">
        <v>98</v>
      </c>
      <c r="M5651" t="s">
        <v>5775</v>
      </c>
    </row>
    <row r="5652" spans="1:13" ht="15" customHeight="1">
      <c r="A5652" s="10">
        <v>46190</v>
      </c>
      <c r="B5652" t="s">
        <v>201</v>
      </c>
      <c r="C5652" t="s">
        <v>232</v>
      </c>
      <c r="D5652">
        <v>11</v>
      </c>
      <c r="E5652">
        <v>0</v>
      </c>
      <c r="I5652">
        <v>11</v>
      </c>
      <c r="M5652" t="s">
        <v>5776</v>
      </c>
    </row>
    <row r="5653" spans="1:13" ht="15" customHeight="1">
      <c r="A5653" s="10">
        <v>46190</v>
      </c>
      <c r="B5653" t="s">
        <v>201</v>
      </c>
      <c r="C5653" t="s">
        <v>234</v>
      </c>
      <c r="D5653">
        <v>39</v>
      </c>
      <c r="E5653">
        <v>0</v>
      </c>
      <c r="H5653">
        <v>12</v>
      </c>
      <c r="I5653">
        <v>92</v>
      </c>
      <c r="M5653" t="s">
        <v>5777</v>
      </c>
    </row>
    <row r="5654" spans="1:13" ht="15" customHeight="1">
      <c r="A5654" s="10">
        <v>46190</v>
      </c>
      <c r="B5654" t="s">
        <v>201</v>
      </c>
      <c r="C5654" t="s">
        <v>54</v>
      </c>
      <c r="D5654">
        <v>0</v>
      </c>
      <c r="E5654">
        <v>0</v>
      </c>
      <c r="I5654">
        <v>0</v>
      </c>
      <c r="M5654" t="s">
        <v>5778</v>
      </c>
    </row>
    <row r="5655" spans="1:13" ht="15" customHeight="1">
      <c r="A5655" s="10">
        <v>46190</v>
      </c>
      <c r="B5655" t="s">
        <v>201</v>
      </c>
      <c r="C5655" t="s">
        <v>237</v>
      </c>
      <c r="D5655">
        <v>7</v>
      </c>
      <c r="E5655">
        <v>0</v>
      </c>
      <c r="I5655">
        <v>7</v>
      </c>
      <c r="M5655" t="s">
        <v>5779</v>
      </c>
    </row>
    <row r="5656" spans="1:13" ht="15" customHeight="1">
      <c r="A5656" s="10">
        <v>46190</v>
      </c>
      <c r="B5656" t="s">
        <v>201</v>
      </c>
      <c r="C5656" s="135" t="s">
        <v>58</v>
      </c>
      <c r="D5656">
        <v>4</v>
      </c>
      <c r="E5656">
        <v>0</v>
      </c>
      <c r="F5656">
        <v>15</v>
      </c>
      <c r="H5656">
        <v>2</v>
      </c>
      <c r="I5656">
        <v>17</v>
      </c>
      <c r="M5656" t="s">
        <v>5780</v>
      </c>
    </row>
    <row r="5657" spans="1:13" ht="15" customHeight="1">
      <c r="A5657" s="10">
        <v>46190</v>
      </c>
      <c r="B5657" t="s">
        <v>201</v>
      </c>
      <c r="C5657" s="135" t="s">
        <v>60</v>
      </c>
      <c r="D5657">
        <v>6</v>
      </c>
      <c r="E5657">
        <v>0</v>
      </c>
      <c r="F5657">
        <v>15</v>
      </c>
      <c r="I5657">
        <v>21</v>
      </c>
      <c r="M5657" t="s">
        <v>5781</v>
      </c>
    </row>
    <row r="5658" spans="1:13" ht="15" customHeight="1">
      <c r="A5658" s="10">
        <v>46190</v>
      </c>
      <c r="B5658" t="s">
        <v>201</v>
      </c>
      <c r="C5658" s="135" t="s">
        <v>61</v>
      </c>
      <c r="D5658">
        <v>0</v>
      </c>
      <c r="E5658">
        <v>0</v>
      </c>
      <c r="F5658">
        <v>20</v>
      </c>
      <c r="H5658">
        <v>2</v>
      </c>
      <c r="I5658">
        <v>18</v>
      </c>
      <c r="M5658" t="s">
        <v>5782</v>
      </c>
    </row>
    <row r="5659" spans="1:13" ht="15" customHeight="1">
      <c r="A5659" s="10">
        <v>46190</v>
      </c>
      <c r="B5659" t="s">
        <v>201</v>
      </c>
      <c r="C5659" s="135" t="s">
        <v>62</v>
      </c>
      <c r="D5659">
        <v>6</v>
      </c>
      <c r="E5659">
        <v>0</v>
      </c>
      <c r="F5659">
        <v>15</v>
      </c>
      <c r="I5659">
        <v>21</v>
      </c>
      <c r="M5659" t="s">
        <v>5783</v>
      </c>
    </row>
    <row r="5660" spans="1:13" ht="15" customHeight="1">
      <c r="A5660" s="10">
        <v>46190</v>
      </c>
      <c r="B5660" t="s">
        <v>201</v>
      </c>
      <c r="C5660" s="135" t="s">
        <v>63</v>
      </c>
      <c r="D5660">
        <v>12</v>
      </c>
      <c r="E5660">
        <v>0</v>
      </c>
      <c r="F5660">
        <v>10</v>
      </c>
      <c r="I5660">
        <v>22</v>
      </c>
      <c r="M5660" t="s">
        <v>5784</v>
      </c>
    </row>
    <row r="5661" spans="1:13" ht="15" customHeight="1">
      <c r="A5661" s="10">
        <v>46190</v>
      </c>
      <c r="B5661" t="s">
        <v>201</v>
      </c>
      <c r="C5661" s="135" t="s">
        <v>64</v>
      </c>
      <c r="D5661">
        <v>2</v>
      </c>
      <c r="E5661">
        <v>0</v>
      </c>
      <c r="F5661">
        <v>10</v>
      </c>
      <c r="I5661">
        <v>12</v>
      </c>
      <c r="M5661" t="s">
        <v>5785</v>
      </c>
    </row>
    <row r="5662" spans="1:13" ht="15" customHeight="1">
      <c r="A5662" s="10">
        <v>46190</v>
      </c>
      <c r="B5662" t="s">
        <v>201</v>
      </c>
      <c r="C5662" t="s">
        <v>66</v>
      </c>
      <c r="D5662">
        <v>4</v>
      </c>
      <c r="E5662">
        <v>0</v>
      </c>
      <c r="I5662">
        <v>4</v>
      </c>
      <c r="M5662" t="s">
        <v>5786</v>
      </c>
    </row>
    <row r="5663" spans="1:13" ht="15" customHeight="1">
      <c r="A5663" s="10">
        <v>46190</v>
      </c>
      <c r="B5663" t="s">
        <v>201</v>
      </c>
      <c r="C5663" t="s">
        <v>67</v>
      </c>
      <c r="D5663">
        <v>4</v>
      </c>
      <c r="E5663">
        <v>0</v>
      </c>
      <c r="I5663">
        <v>4</v>
      </c>
      <c r="M5663" t="s">
        <v>5787</v>
      </c>
    </row>
    <row r="5664" spans="1:13" ht="15" customHeight="1">
      <c r="A5664" s="10">
        <v>46190</v>
      </c>
      <c r="B5664" t="s">
        <v>201</v>
      </c>
      <c r="C5664" t="s">
        <v>68</v>
      </c>
      <c r="D5664">
        <v>5</v>
      </c>
      <c r="E5664">
        <v>0</v>
      </c>
      <c r="I5664">
        <v>5</v>
      </c>
      <c r="M5664" t="s">
        <v>5788</v>
      </c>
    </row>
    <row r="5665" spans="1:13" ht="15" customHeight="1">
      <c r="A5665" s="10">
        <v>46190</v>
      </c>
      <c r="B5665" t="s">
        <v>201</v>
      </c>
      <c r="C5665" t="s">
        <v>71</v>
      </c>
      <c r="D5665">
        <v>1</v>
      </c>
      <c r="E5665">
        <v>494</v>
      </c>
      <c r="F5665">
        <v>1</v>
      </c>
      <c r="I5665">
        <v>2</v>
      </c>
      <c r="J5665">
        <v>435</v>
      </c>
      <c r="M5665" t="s">
        <v>5789</v>
      </c>
    </row>
    <row r="5666" spans="1:13" ht="15" customHeight="1">
      <c r="A5666" s="10">
        <v>46190</v>
      </c>
      <c r="B5666" t="s">
        <v>201</v>
      </c>
      <c r="C5666" t="s">
        <v>73</v>
      </c>
      <c r="D5666">
        <v>2</v>
      </c>
      <c r="E5666">
        <v>143</v>
      </c>
      <c r="I5666">
        <v>2</v>
      </c>
      <c r="J5666">
        <v>82</v>
      </c>
      <c r="M5666" t="s">
        <v>5790</v>
      </c>
    </row>
    <row r="5667" spans="1:13" ht="15" customHeight="1">
      <c r="A5667" s="10">
        <v>46190</v>
      </c>
      <c r="B5667" t="s">
        <v>201</v>
      </c>
      <c r="C5667" t="s">
        <v>75</v>
      </c>
      <c r="D5667">
        <v>0</v>
      </c>
      <c r="E5667">
        <v>151</v>
      </c>
      <c r="F5667">
        <v>1</v>
      </c>
      <c r="I5667">
        <v>1</v>
      </c>
      <c r="J5667">
        <v>151</v>
      </c>
      <c r="M5667" t="s">
        <v>5791</v>
      </c>
    </row>
    <row r="5668" spans="1:13" ht="15" customHeight="1">
      <c r="A5668" s="10">
        <v>46190</v>
      </c>
      <c r="B5668" t="s">
        <v>201</v>
      </c>
      <c r="C5668" t="s">
        <v>77</v>
      </c>
      <c r="D5668">
        <v>0</v>
      </c>
      <c r="E5668">
        <v>394</v>
      </c>
      <c r="F5668">
        <v>1</v>
      </c>
      <c r="I5668">
        <v>1</v>
      </c>
      <c r="J5668">
        <v>394</v>
      </c>
      <c r="M5668" t="s">
        <v>5792</v>
      </c>
    </row>
    <row r="5669" spans="1:13" ht="15" customHeight="1">
      <c r="A5669" s="10">
        <v>46190</v>
      </c>
      <c r="B5669" t="s">
        <v>201</v>
      </c>
      <c r="C5669" t="s">
        <v>79</v>
      </c>
      <c r="D5669">
        <v>1</v>
      </c>
      <c r="E5669">
        <v>1049</v>
      </c>
      <c r="I5669">
        <v>1</v>
      </c>
      <c r="J5669">
        <v>827</v>
      </c>
      <c r="M5669" t="s">
        <v>5793</v>
      </c>
    </row>
    <row r="5670" spans="1:13" ht="15" customHeight="1">
      <c r="A5670" s="10">
        <v>46190</v>
      </c>
      <c r="B5670" t="s">
        <v>201</v>
      </c>
      <c r="C5670" t="s">
        <v>81</v>
      </c>
      <c r="D5670">
        <v>1</v>
      </c>
      <c r="E5670">
        <v>418</v>
      </c>
      <c r="I5670">
        <v>1</v>
      </c>
      <c r="J5670">
        <v>400</v>
      </c>
      <c r="M5670" t="s">
        <v>5794</v>
      </c>
    </row>
    <row r="5671" spans="1:13" ht="15" customHeight="1">
      <c r="A5671" s="10">
        <v>46190</v>
      </c>
      <c r="B5671" t="s">
        <v>201</v>
      </c>
      <c r="C5671" t="s">
        <v>83</v>
      </c>
      <c r="D5671">
        <v>1</v>
      </c>
      <c r="E5671">
        <v>60</v>
      </c>
      <c r="I5671">
        <v>1</v>
      </c>
      <c r="J5671">
        <v>60</v>
      </c>
      <c r="M5671" t="s">
        <v>5795</v>
      </c>
    </row>
    <row r="5672" spans="1:13" ht="15" customHeight="1">
      <c r="A5672" s="10">
        <v>46190</v>
      </c>
      <c r="B5672" t="s">
        <v>201</v>
      </c>
      <c r="C5672" t="s">
        <v>84</v>
      </c>
      <c r="D5672">
        <v>1</v>
      </c>
      <c r="E5672">
        <v>348</v>
      </c>
      <c r="I5672">
        <v>1</v>
      </c>
      <c r="J5672">
        <v>329</v>
      </c>
      <c r="M5672" t="s">
        <v>5796</v>
      </c>
    </row>
    <row r="5673" spans="1:13" ht="15" customHeight="1">
      <c r="A5673" s="10">
        <v>46190</v>
      </c>
      <c r="B5673" t="s">
        <v>201</v>
      </c>
      <c r="C5673" t="s">
        <v>85</v>
      </c>
      <c r="D5673">
        <v>0</v>
      </c>
      <c r="E5673">
        <v>214</v>
      </c>
      <c r="I5673">
        <v>0</v>
      </c>
      <c r="J5673">
        <v>200</v>
      </c>
      <c r="M5673" t="s">
        <v>5797</v>
      </c>
    </row>
    <row r="5674" spans="1:13" ht="15" customHeight="1">
      <c r="A5674" s="10">
        <v>46190</v>
      </c>
      <c r="B5674" t="s">
        <v>201</v>
      </c>
      <c r="C5674" t="s">
        <v>87</v>
      </c>
      <c r="D5674">
        <v>2</v>
      </c>
      <c r="E5674">
        <v>241</v>
      </c>
      <c r="I5674">
        <v>2</v>
      </c>
      <c r="J5674">
        <v>229</v>
      </c>
      <c r="M5674" t="s">
        <v>5798</v>
      </c>
    </row>
    <row r="5675" spans="1:13" ht="15" customHeight="1">
      <c r="A5675" s="10">
        <v>46190</v>
      </c>
      <c r="B5675" t="s">
        <v>201</v>
      </c>
      <c r="C5675" t="s">
        <v>88</v>
      </c>
      <c r="D5675">
        <v>1</v>
      </c>
      <c r="E5675">
        <v>293</v>
      </c>
      <c r="I5675">
        <v>2</v>
      </c>
      <c r="J5675">
        <v>291</v>
      </c>
      <c r="M5675" t="s">
        <v>5799</v>
      </c>
    </row>
    <row r="5676" spans="1:13" ht="15" customHeight="1">
      <c r="A5676" s="10">
        <v>46190</v>
      </c>
      <c r="B5676" t="s">
        <v>201</v>
      </c>
      <c r="C5676" t="s">
        <v>89</v>
      </c>
      <c r="D5676">
        <v>1</v>
      </c>
      <c r="E5676">
        <v>299</v>
      </c>
      <c r="I5676">
        <v>1</v>
      </c>
      <c r="J5676">
        <v>299</v>
      </c>
      <c r="M5676" t="s">
        <v>5800</v>
      </c>
    </row>
    <row r="5677" spans="1:13" ht="15" customHeight="1">
      <c r="A5677" s="10">
        <v>46190</v>
      </c>
      <c r="B5677" t="s">
        <v>201</v>
      </c>
      <c r="C5677" t="s">
        <v>90</v>
      </c>
      <c r="D5677">
        <v>1</v>
      </c>
      <c r="E5677">
        <v>693</v>
      </c>
      <c r="I5677">
        <v>1</v>
      </c>
      <c r="J5677">
        <v>613</v>
      </c>
      <c r="M5677" t="s">
        <v>5801</v>
      </c>
    </row>
    <row r="5678" spans="1:13" ht="15" customHeight="1">
      <c r="A5678" s="10">
        <v>46190</v>
      </c>
      <c r="B5678" t="s">
        <v>201</v>
      </c>
      <c r="C5678" t="s">
        <v>92</v>
      </c>
      <c r="D5678">
        <v>1</v>
      </c>
      <c r="E5678">
        <v>699</v>
      </c>
      <c r="I5678">
        <v>1</v>
      </c>
      <c r="J5678">
        <v>588</v>
      </c>
      <c r="M5678" t="s">
        <v>5802</v>
      </c>
    </row>
    <row r="5679" spans="1:13" ht="15" customHeight="1">
      <c r="A5679" s="10">
        <v>46190</v>
      </c>
      <c r="B5679" t="s">
        <v>201</v>
      </c>
      <c r="C5679" t="s">
        <v>94</v>
      </c>
      <c r="D5679">
        <v>0</v>
      </c>
      <c r="E5679">
        <v>628</v>
      </c>
      <c r="F5679">
        <v>4</v>
      </c>
      <c r="I5679">
        <v>4</v>
      </c>
      <c r="J5679">
        <v>417</v>
      </c>
      <c r="M5679" t="s">
        <v>5803</v>
      </c>
    </row>
    <row r="5680" spans="1:13" ht="15" customHeight="1">
      <c r="A5680" s="10">
        <v>46190</v>
      </c>
      <c r="B5680" t="s">
        <v>201</v>
      </c>
      <c r="C5680" t="s">
        <v>96</v>
      </c>
      <c r="D5680">
        <v>0</v>
      </c>
      <c r="E5680">
        <v>0</v>
      </c>
      <c r="I5680">
        <v>0</v>
      </c>
      <c r="J5680">
        <v>0</v>
      </c>
      <c r="M5680" t="s">
        <v>5804</v>
      </c>
    </row>
    <row r="5681" spans="1:13" ht="15" customHeight="1">
      <c r="A5681" s="10">
        <v>46190</v>
      </c>
      <c r="B5681" t="s">
        <v>201</v>
      </c>
      <c r="C5681" t="s">
        <v>98</v>
      </c>
      <c r="D5681">
        <v>0</v>
      </c>
      <c r="E5681">
        <v>336</v>
      </c>
      <c r="I5681">
        <v>0</v>
      </c>
      <c r="J5681">
        <v>153</v>
      </c>
      <c r="M5681" t="s">
        <v>5805</v>
      </c>
    </row>
    <row r="5682" spans="1:13" ht="15" customHeight="1">
      <c r="A5682" s="10">
        <v>46190</v>
      </c>
      <c r="B5682" t="s">
        <v>201</v>
      </c>
      <c r="C5682" t="s">
        <v>203</v>
      </c>
      <c r="D5682">
        <v>0</v>
      </c>
      <c r="E5682">
        <v>0</v>
      </c>
      <c r="I5682">
        <v>0</v>
      </c>
      <c r="J5682">
        <v>0</v>
      </c>
      <c r="M5682" t="s">
        <v>5806</v>
      </c>
    </row>
    <row r="5683" spans="1:13" ht="15" customHeight="1">
      <c r="A5683" s="10">
        <v>46190</v>
      </c>
      <c r="B5683" t="s">
        <v>201</v>
      </c>
      <c r="C5683" t="s">
        <v>100</v>
      </c>
      <c r="D5683">
        <v>0</v>
      </c>
      <c r="E5683">
        <v>0</v>
      </c>
      <c r="F5683">
        <v>1</v>
      </c>
      <c r="I5683">
        <v>1</v>
      </c>
      <c r="J5683">
        <v>0</v>
      </c>
      <c r="M5683" t="s">
        <v>5807</v>
      </c>
    </row>
    <row r="5684" spans="1:13" ht="15" customHeight="1">
      <c r="A5684" s="10">
        <v>46190</v>
      </c>
      <c r="B5684" t="s">
        <v>201</v>
      </c>
      <c r="C5684" t="s">
        <v>101</v>
      </c>
      <c r="D5684">
        <v>1</v>
      </c>
      <c r="E5684">
        <v>210</v>
      </c>
      <c r="I5684">
        <v>1</v>
      </c>
      <c r="J5684">
        <v>199</v>
      </c>
      <c r="M5684" t="s">
        <v>5808</v>
      </c>
    </row>
    <row r="5685" spans="1:13" ht="15" customHeight="1">
      <c r="A5685" s="10">
        <v>46190</v>
      </c>
      <c r="B5685" t="s">
        <v>201</v>
      </c>
      <c r="C5685" t="s">
        <v>103</v>
      </c>
      <c r="D5685">
        <v>0</v>
      </c>
      <c r="E5685">
        <v>6</v>
      </c>
      <c r="I5685">
        <v>0</v>
      </c>
      <c r="J5685">
        <v>5</v>
      </c>
      <c r="M5685" t="s">
        <v>5809</v>
      </c>
    </row>
    <row r="5686" spans="1:13" ht="15" customHeight="1">
      <c r="A5686" s="10">
        <v>46190</v>
      </c>
      <c r="B5686" t="s">
        <v>201</v>
      </c>
      <c r="C5686" t="s">
        <v>106</v>
      </c>
      <c r="D5686">
        <v>1</v>
      </c>
      <c r="E5686">
        <v>275</v>
      </c>
      <c r="F5686">
        <v>1</v>
      </c>
      <c r="I5686">
        <v>2</v>
      </c>
      <c r="J5686">
        <v>154</v>
      </c>
      <c r="M5686" t="s">
        <v>5810</v>
      </c>
    </row>
    <row r="5687" spans="1:13" ht="15" customHeight="1">
      <c r="A5687" s="10">
        <v>46190</v>
      </c>
      <c r="B5687" t="s">
        <v>201</v>
      </c>
      <c r="C5687" t="s">
        <v>108</v>
      </c>
      <c r="D5687">
        <v>1</v>
      </c>
      <c r="E5687">
        <v>1159</v>
      </c>
      <c r="I5687">
        <v>1</v>
      </c>
      <c r="J5687">
        <v>1159</v>
      </c>
      <c r="M5687" t="s">
        <v>5811</v>
      </c>
    </row>
    <row r="5688" spans="1:13" ht="15" customHeight="1">
      <c r="A5688" s="10">
        <v>46190</v>
      </c>
      <c r="B5688" t="s">
        <v>201</v>
      </c>
      <c r="C5688" t="s">
        <v>109</v>
      </c>
      <c r="D5688">
        <v>1</v>
      </c>
      <c r="E5688">
        <v>340</v>
      </c>
      <c r="F5688">
        <v>1</v>
      </c>
      <c r="I5688">
        <v>2</v>
      </c>
      <c r="J5688">
        <v>288</v>
      </c>
      <c r="M5688" t="s">
        <v>5812</v>
      </c>
    </row>
    <row r="5689" spans="1:13" ht="15" customHeight="1">
      <c r="A5689" s="10">
        <v>46190</v>
      </c>
      <c r="B5689" t="s">
        <v>201</v>
      </c>
      <c r="C5689" t="s">
        <v>112</v>
      </c>
      <c r="D5689">
        <v>0</v>
      </c>
      <c r="E5689">
        <v>35</v>
      </c>
      <c r="F5689">
        <v>1</v>
      </c>
      <c r="I5689">
        <v>1</v>
      </c>
      <c r="J5689">
        <v>31</v>
      </c>
      <c r="M5689" t="s">
        <v>5813</v>
      </c>
    </row>
    <row r="5690" spans="1:13" ht="15" customHeight="1">
      <c r="A5690" s="10">
        <v>46190</v>
      </c>
      <c r="B5690" t="s">
        <v>201</v>
      </c>
      <c r="C5690" t="s">
        <v>114</v>
      </c>
      <c r="D5690">
        <v>2</v>
      </c>
      <c r="E5690">
        <v>14</v>
      </c>
      <c r="F5690">
        <v>1</v>
      </c>
      <c r="I5690">
        <v>2</v>
      </c>
      <c r="J5690">
        <v>49</v>
      </c>
      <c r="M5690" t="s">
        <v>5814</v>
      </c>
    </row>
    <row r="5691" spans="1:13" ht="15" customHeight="1">
      <c r="A5691" s="10">
        <v>46190</v>
      </c>
      <c r="B5691" t="s">
        <v>201</v>
      </c>
      <c r="C5691" t="s">
        <v>115</v>
      </c>
      <c r="D5691">
        <v>0</v>
      </c>
      <c r="E5691">
        <v>47</v>
      </c>
      <c r="F5691">
        <v>1</v>
      </c>
      <c r="I5691">
        <v>1</v>
      </c>
      <c r="J5691">
        <v>41</v>
      </c>
      <c r="M5691" t="s">
        <v>5815</v>
      </c>
    </row>
    <row r="5692" spans="1:13" ht="15" customHeight="1">
      <c r="A5692" s="10">
        <v>46190</v>
      </c>
      <c r="B5692" t="s">
        <v>201</v>
      </c>
      <c r="C5692" t="s">
        <v>116</v>
      </c>
      <c r="D5692">
        <v>2</v>
      </c>
      <c r="E5692">
        <v>34</v>
      </c>
      <c r="I5692">
        <v>2</v>
      </c>
      <c r="J5692">
        <v>21</v>
      </c>
      <c r="M5692" t="s">
        <v>5816</v>
      </c>
    </row>
    <row r="5693" spans="1:13" ht="15" customHeight="1">
      <c r="A5693" s="10">
        <v>46190</v>
      </c>
      <c r="B5693" t="s">
        <v>201</v>
      </c>
      <c r="C5693" t="s">
        <v>119</v>
      </c>
      <c r="D5693">
        <v>1</v>
      </c>
      <c r="E5693">
        <v>0</v>
      </c>
      <c r="F5693">
        <v>1</v>
      </c>
      <c r="I5693">
        <v>2</v>
      </c>
      <c r="M5693" t="s">
        <v>5817</v>
      </c>
    </row>
    <row r="5694" spans="1:13" ht="15" customHeight="1">
      <c r="A5694" s="10">
        <v>46190</v>
      </c>
      <c r="B5694" t="s">
        <v>201</v>
      </c>
      <c r="C5694" t="s">
        <v>120</v>
      </c>
      <c r="D5694">
        <v>2</v>
      </c>
      <c r="E5694">
        <v>0</v>
      </c>
      <c r="I5694">
        <v>2</v>
      </c>
      <c r="M5694" t="s">
        <v>5818</v>
      </c>
    </row>
    <row r="5695" spans="1:13" ht="15" customHeight="1">
      <c r="A5695" s="10">
        <v>46190</v>
      </c>
      <c r="B5695" t="s">
        <v>201</v>
      </c>
      <c r="C5695" t="s">
        <v>121</v>
      </c>
      <c r="D5695">
        <v>1</v>
      </c>
      <c r="E5695">
        <v>0</v>
      </c>
      <c r="F5695">
        <v>1</v>
      </c>
      <c r="I5695">
        <v>2</v>
      </c>
      <c r="M5695" t="s">
        <v>5819</v>
      </c>
    </row>
    <row r="5696" spans="1:13" ht="15" customHeight="1">
      <c r="A5696" s="10">
        <v>46190</v>
      </c>
      <c r="B5696" t="s">
        <v>201</v>
      </c>
      <c r="C5696" t="s">
        <v>123</v>
      </c>
      <c r="D5696">
        <v>1</v>
      </c>
      <c r="E5696">
        <v>0</v>
      </c>
      <c r="I5696">
        <v>1</v>
      </c>
      <c r="M5696" t="s">
        <v>5820</v>
      </c>
    </row>
    <row r="5697" spans="1:13" ht="15" customHeight="1">
      <c r="A5697" s="10">
        <v>46190</v>
      </c>
      <c r="B5697" t="s">
        <v>201</v>
      </c>
      <c r="C5697" t="s">
        <v>124</v>
      </c>
      <c r="D5697">
        <v>0</v>
      </c>
      <c r="E5697">
        <v>0</v>
      </c>
      <c r="F5697">
        <v>1</v>
      </c>
      <c r="I5697">
        <v>1</v>
      </c>
      <c r="M5697" t="s">
        <v>5821</v>
      </c>
    </row>
    <row r="5698" spans="1:13" ht="15" customHeight="1">
      <c r="A5698" s="10">
        <v>46190</v>
      </c>
      <c r="B5698" t="s">
        <v>201</v>
      </c>
      <c r="C5698" t="s">
        <v>125</v>
      </c>
      <c r="D5698">
        <v>1</v>
      </c>
      <c r="E5698">
        <v>0</v>
      </c>
      <c r="F5698">
        <v>1</v>
      </c>
      <c r="I5698">
        <v>2</v>
      </c>
      <c r="M5698" t="s">
        <v>5822</v>
      </c>
    </row>
    <row r="5699" spans="1:13" ht="15" customHeight="1">
      <c r="A5699" s="10">
        <v>46190</v>
      </c>
      <c r="B5699" t="s">
        <v>201</v>
      </c>
      <c r="C5699" t="s">
        <v>126</v>
      </c>
      <c r="D5699">
        <v>1</v>
      </c>
      <c r="E5699">
        <v>0</v>
      </c>
      <c r="F5699">
        <v>1</v>
      </c>
      <c r="I5699">
        <v>2</v>
      </c>
      <c r="M5699" t="s">
        <v>5823</v>
      </c>
    </row>
    <row r="5700" spans="1:13" ht="15" customHeight="1">
      <c r="A5700" s="10">
        <v>46190</v>
      </c>
      <c r="B5700" t="s">
        <v>201</v>
      </c>
      <c r="C5700" t="s">
        <v>128</v>
      </c>
      <c r="D5700">
        <v>2</v>
      </c>
      <c r="E5700">
        <v>0</v>
      </c>
      <c r="I5700">
        <v>2</v>
      </c>
      <c r="M5700" t="s">
        <v>5824</v>
      </c>
    </row>
    <row r="5701" spans="1:13" ht="15" customHeight="1">
      <c r="A5701" s="10">
        <v>46190</v>
      </c>
      <c r="B5701" t="s">
        <v>201</v>
      </c>
      <c r="C5701" t="s">
        <v>130</v>
      </c>
      <c r="D5701">
        <v>3</v>
      </c>
      <c r="E5701">
        <v>0</v>
      </c>
      <c r="I5701">
        <v>3</v>
      </c>
      <c r="M5701" t="s">
        <v>5825</v>
      </c>
    </row>
    <row r="5702" spans="1:13" ht="15" customHeight="1">
      <c r="A5702" s="10">
        <v>46190</v>
      </c>
      <c r="B5702" t="s">
        <v>201</v>
      </c>
      <c r="C5702" t="s">
        <v>285</v>
      </c>
      <c r="D5702">
        <v>2</v>
      </c>
      <c r="E5702">
        <v>0</v>
      </c>
      <c r="I5702">
        <v>2</v>
      </c>
      <c r="M5702" t="s">
        <v>5826</v>
      </c>
    </row>
    <row r="5703" spans="1:13" ht="15" customHeight="1">
      <c r="A5703" s="10">
        <v>46190</v>
      </c>
      <c r="B5703" t="s">
        <v>201</v>
      </c>
      <c r="C5703" t="s">
        <v>287</v>
      </c>
      <c r="D5703">
        <v>2</v>
      </c>
      <c r="E5703">
        <v>0</v>
      </c>
      <c r="F5703">
        <v>3</v>
      </c>
      <c r="I5703">
        <v>5</v>
      </c>
      <c r="M5703" t="s">
        <v>5827</v>
      </c>
    </row>
    <row r="5704" spans="1:13" ht="15" customHeight="1">
      <c r="A5704" s="10">
        <v>46190</v>
      </c>
      <c r="B5704" t="s">
        <v>201</v>
      </c>
      <c r="C5704" t="s">
        <v>289</v>
      </c>
      <c r="D5704">
        <v>2</v>
      </c>
      <c r="E5704">
        <v>0</v>
      </c>
      <c r="I5704">
        <v>2</v>
      </c>
      <c r="M5704" t="s">
        <v>5828</v>
      </c>
    </row>
    <row r="5705" spans="1:13" ht="15" customHeight="1">
      <c r="A5705" s="10">
        <v>46190</v>
      </c>
      <c r="B5705" t="s">
        <v>201</v>
      </c>
      <c r="C5705" t="s">
        <v>291</v>
      </c>
      <c r="D5705">
        <v>2</v>
      </c>
      <c r="E5705">
        <v>0</v>
      </c>
      <c r="I5705">
        <v>2</v>
      </c>
      <c r="M5705" t="s">
        <v>5829</v>
      </c>
    </row>
    <row r="5706" spans="1:13" ht="15" customHeight="1">
      <c r="A5706" s="10">
        <v>46190</v>
      </c>
      <c r="B5706" t="s">
        <v>201</v>
      </c>
      <c r="C5706" t="s">
        <v>293</v>
      </c>
      <c r="D5706">
        <v>3</v>
      </c>
      <c r="E5706">
        <v>0</v>
      </c>
      <c r="I5706">
        <v>3</v>
      </c>
      <c r="M5706" t="s">
        <v>5830</v>
      </c>
    </row>
    <row r="5707" spans="1:13" ht="15" customHeight="1">
      <c r="A5707" s="10">
        <v>46190</v>
      </c>
      <c r="B5707" t="s">
        <v>201</v>
      </c>
      <c r="C5707" s="135" t="s">
        <v>138</v>
      </c>
      <c r="D5707">
        <v>0</v>
      </c>
      <c r="E5707">
        <v>58</v>
      </c>
      <c r="I5707">
        <v>0</v>
      </c>
      <c r="J5707">
        <v>53</v>
      </c>
      <c r="M5707" t="s">
        <v>5831</v>
      </c>
    </row>
    <row r="5708" spans="1:13" ht="15" customHeight="1">
      <c r="A5708" s="10">
        <v>46190</v>
      </c>
      <c r="B5708" t="s">
        <v>201</v>
      </c>
      <c r="C5708" s="135" t="s">
        <v>139</v>
      </c>
      <c r="D5708">
        <v>0</v>
      </c>
      <c r="E5708">
        <v>19</v>
      </c>
      <c r="G5708">
        <v>30</v>
      </c>
      <c r="I5708">
        <v>0</v>
      </c>
      <c r="J5708">
        <v>48</v>
      </c>
      <c r="M5708" t="s">
        <v>5832</v>
      </c>
    </row>
    <row r="5709" spans="1:13" ht="15" customHeight="1">
      <c r="A5709" s="10">
        <v>46190</v>
      </c>
      <c r="B5709" t="s">
        <v>201</v>
      </c>
      <c r="C5709" s="135" t="s">
        <v>140</v>
      </c>
      <c r="D5709">
        <v>0</v>
      </c>
      <c r="E5709">
        <v>32</v>
      </c>
      <c r="I5709">
        <v>0</v>
      </c>
      <c r="J5709">
        <v>31</v>
      </c>
      <c r="M5709" t="s">
        <v>5833</v>
      </c>
    </row>
    <row r="5710" spans="1:13" ht="15" customHeight="1">
      <c r="A5710" s="10">
        <v>46190</v>
      </c>
      <c r="B5710" t="s">
        <v>201</v>
      </c>
      <c r="C5710" s="135" t="s">
        <v>141</v>
      </c>
      <c r="D5710">
        <v>0</v>
      </c>
      <c r="E5710">
        <v>1</v>
      </c>
      <c r="I5710">
        <v>0</v>
      </c>
      <c r="J5710">
        <v>1</v>
      </c>
      <c r="M5710" t="s">
        <v>5834</v>
      </c>
    </row>
    <row r="5711" spans="1:13" ht="15" customHeight="1">
      <c r="A5711" s="10">
        <v>46190</v>
      </c>
      <c r="B5711" t="s">
        <v>201</v>
      </c>
      <c r="C5711" s="135" t="s">
        <v>143</v>
      </c>
      <c r="D5711">
        <v>0</v>
      </c>
      <c r="E5711">
        <v>28</v>
      </c>
      <c r="G5711">
        <v>20</v>
      </c>
      <c r="I5711">
        <v>0</v>
      </c>
      <c r="J5711">
        <v>41</v>
      </c>
      <c r="M5711" t="s">
        <v>5835</v>
      </c>
    </row>
    <row r="5712" spans="1:13" ht="15" customHeight="1">
      <c r="A5712" s="10">
        <v>46190</v>
      </c>
      <c r="B5712" t="s">
        <v>201</v>
      </c>
      <c r="C5712" s="135" t="s">
        <v>145</v>
      </c>
      <c r="D5712">
        <v>0</v>
      </c>
      <c r="E5712">
        <v>8</v>
      </c>
      <c r="G5712">
        <v>30</v>
      </c>
      <c r="I5712">
        <v>0</v>
      </c>
      <c r="J5712">
        <v>33</v>
      </c>
      <c r="M5712" t="s">
        <v>5836</v>
      </c>
    </row>
    <row r="5713" spans="1:13" ht="15" customHeight="1">
      <c r="A5713" s="10">
        <v>46190</v>
      </c>
      <c r="B5713" t="s">
        <v>201</v>
      </c>
      <c r="C5713" s="135" t="s">
        <v>147</v>
      </c>
      <c r="D5713">
        <v>0</v>
      </c>
      <c r="E5713">
        <v>30</v>
      </c>
      <c r="I5713">
        <v>0</v>
      </c>
      <c r="J5713">
        <v>30</v>
      </c>
      <c r="M5713" t="s">
        <v>5837</v>
      </c>
    </row>
    <row r="5714" spans="1:13" ht="15" customHeight="1">
      <c r="A5714" s="10">
        <v>46190</v>
      </c>
      <c r="B5714" t="s">
        <v>201</v>
      </c>
      <c r="C5714" t="s">
        <v>302</v>
      </c>
      <c r="D5714">
        <v>1</v>
      </c>
      <c r="E5714">
        <v>2</v>
      </c>
      <c r="I5714">
        <v>1</v>
      </c>
      <c r="M5714" t="s">
        <v>5838</v>
      </c>
    </row>
    <row r="5715" spans="1:13" ht="15" customHeight="1">
      <c r="A5715" s="10">
        <v>46190</v>
      </c>
      <c r="B5715" t="s">
        <v>201</v>
      </c>
      <c r="C5715" t="s">
        <v>150</v>
      </c>
      <c r="D5715">
        <v>2</v>
      </c>
      <c r="E5715">
        <v>0</v>
      </c>
      <c r="I5715">
        <v>1</v>
      </c>
      <c r="M5715" t="s">
        <v>5839</v>
      </c>
    </row>
    <row r="5716" spans="1:13" ht="15" customHeight="1">
      <c r="A5716" s="10">
        <v>46190</v>
      </c>
      <c r="B5716" t="s">
        <v>201</v>
      </c>
      <c r="C5716" t="s">
        <v>151</v>
      </c>
      <c r="D5716">
        <v>2</v>
      </c>
      <c r="E5716">
        <v>0</v>
      </c>
      <c r="I5716">
        <v>1</v>
      </c>
      <c r="M5716" t="s">
        <v>5840</v>
      </c>
    </row>
    <row r="5717" spans="1:13" ht="15" customHeight="1">
      <c r="A5717" s="10">
        <v>46190</v>
      </c>
      <c r="B5717" t="s">
        <v>201</v>
      </c>
      <c r="C5717" t="s">
        <v>152</v>
      </c>
      <c r="D5717">
        <v>1</v>
      </c>
      <c r="E5717">
        <v>0</v>
      </c>
      <c r="I5717">
        <v>2</v>
      </c>
      <c r="M5717" t="s">
        <v>5841</v>
      </c>
    </row>
    <row r="5718" spans="1:13" ht="15" customHeight="1">
      <c r="A5718" s="10">
        <v>46190</v>
      </c>
      <c r="B5718" t="s">
        <v>201</v>
      </c>
      <c r="C5718" t="s">
        <v>153</v>
      </c>
      <c r="D5718">
        <v>2</v>
      </c>
      <c r="E5718">
        <v>0</v>
      </c>
      <c r="I5718">
        <v>3</v>
      </c>
      <c r="M5718" t="s">
        <v>5842</v>
      </c>
    </row>
    <row r="5719" spans="1:13" ht="15" customHeight="1">
      <c r="A5719" s="10">
        <v>46190</v>
      </c>
      <c r="B5719" t="s">
        <v>201</v>
      </c>
      <c r="C5719" t="s">
        <v>308</v>
      </c>
      <c r="D5719">
        <v>0</v>
      </c>
      <c r="E5719">
        <v>2</v>
      </c>
      <c r="G5719">
        <v>2</v>
      </c>
      <c r="I5719">
        <v>0</v>
      </c>
      <c r="J5719">
        <v>4</v>
      </c>
      <c r="M5719" t="s">
        <v>5843</v>
      </c>
    </row>
    <row r="5720" spans="1:13" ht="15" customHeight="1">
      <c r="A5720" s="10">
        <v>46190</v>
      </c>
      <c r="B5720" t="s">
        <v>201</v>
      </c>
      <c r="C5720" t="s">
        <v>310</v>
      </c>
      <c r="D5720">
        <v>0</v>
      </c>
      <c r="E5720">
        <v>2</v>
      </c>
      <c r="I5720">
        <v>0</v>
      </c>
      <c r="J5720">
        <v>2</v>
      </c>
      <c r="M5720" t="s">
        <v>5844</v>
      </c>
    </row>
    <row r="5721" spans="1:13" ht="15" customHeight="1">
      <c r="A5721" s="10">
        <v>46190</v>
      </c>
      <c r="B5721" t="s">
        <v>201</v>
      </c>
      <c r="C5721" t="s">
        <v>312</v>
      </c>
      <c r="D5721">
        <v>0</v>
      </c>
      <c r="E5721">
        <v>3</v>
      </c>
      <c r="G5721">
        <v>2</v>
      </c>
      <c r="I5721">
        <v>0</v>
      </c>
      <c r="J5721">
        <v>4</v>
      </c>
      <c r="M5721" t="s">
        <v>5845</v>
      </c>
    </row>
    <row r="5722" spans="1:13" ht="15" customHeight="1">
      <c r="A5722" s="10">
        <v>46190</v>
      </c>
      <c r="B5722" t="s">
        <v>201</v>
      </c>
      <c r="C5722" t="s">
        <v>314</v>
      </c>
      <c r="D5722">
        <v>1</v>
      </c>
      <c r="E5722">
        <v>0</v>
      </c>
      <c r="I5722">
        <v>1</v>
      </c>
      <c r="M5722" t="s">
        <v>5846</v>
      </c>
    </row>
    <row r="5723" spans="1:13" ht="15" customHeight="1">
      <c r="A5723" s="10">
        <v>46190</v>
      </c>
      <c r="B5723" t="s">
        <v>201</v>
      </c>
      <c r="C5723" t="s">
        <v>316</v>
      </c>
      <c r="D5723">
        <v>1</v>
      </c>
      <c r="E5723">
        <v>0</v>
      </c>
      <c r="I5723">
        <v>1</v>
      </c>
      <c r="M5723" t="s">
        <v>5847</v>
      </c>
    </row>
    <row r="5724" spans="1:13" ht="15" customHeight="1">
      <c r="A5724" s="10">
        <v>46190</v>
      </c>
      <c r="B5724" t="s">
        <v>201</v>
      </c>
      <c r="C5724" t="s">
        <v>318</v>
      </c>
      <c r="D5724">
        <v>3</v>
      </c>
      <c r="E5724">
        <v>0</v>
      </c>
      <c r="F5724">
        <v>2</v>
      </c>
      <c r="I5724">
        <v>4</v>
      </c>
      <c r="M5724" t="s">
        <v>5848</v>
      </c>
    </row>
    <row r="5725" spans="1:13" ht="15" customHeight="1">
      <c r="A5725" s="10">
        <v>46190</v>
      </c>
      <c r="B5725" t="s">
        <v>201</v>
      </c>
      <c r="C5725" t="s">
        <v>320</v>
      </c>
      <c r="D5725">
        <v>1</v>
      </c>
      <c r="E5725">
        <v>0</v>
      </c>
      <c r="F5725">
        <v>1</v>
      </c>
      <c r="I5725">
        <v>2</v>
      </c>
      <c r="M5725" t="s">
        <v>5849</v>
      </c>
    </row>
    <row r="5726" spans="1:13" ht="15" customHeight="1">
      <c r="A5726" s="10">
        <v>46190</v>
      </c>
      <c r="B5726" t="s">
        <v>201</v>
      </c>
      <c r="C5726" t="s">
        <v>322</v>
      </c>
      <c r="D5726">
        <v>2</v>
      </c>
      <c r="E5726">
        <v>0</v>
      </c>
      <c r="I5726">
        <v>2</v>
      </c>
      <c r="M5726" t="s">
        <v>5850</v>
      </c>
    </row>
    <row r="5727" spans="1:13" ht="15" customHeight="1">
      <c r="A5727" s="10">
        <v>46190</v>
      </c>
      <c r="B5727" t="s">
        <v>201</v>
      </c>
      <c r="C5727" s="135" t="s">
        <v>168</v>
      </c>
      <c r="D5727">
        <v>0</v>
      </c>
      <c r="E5727">
        <v>0</v>
      </c>
      <c r="I5727">
        <v>1</v>
      </c>
      <c r="M5727" t="s">
        <v>5851</v>
      </c>
    </row>
    <row r="5728" spans="1:13" ht="15" customHeight="1">
      <c r="A5728" s="10">
        <v>46190</v>
      </c>
      <c r="B5728" t="s">
        <v>201</v>
      </c>
      <c r="C5728" s="135" t="s">
        <v>170</v>
      </c>
      <c r="D5728">
        <v>1</v>
      </c>
      <c r="E5728">
        <v>0</v>
      </c>
      <c r="I5728">
        <v>1</v>
      </c>
      <c r="M5728" t="s">
        <v>5852</v>
      </c>
    </row>
    <row r="5729" spans="1:13" ht="15" customHeight="1">
      <c r="A5729" s="10">
        <v>46190</v>
      </c>
      <c r="B5729" t="s">
        <v>201</v>
      </c>
      <c r="C5729" s="135" t="s">
        <v>171</v>
      </c>
      <c r="D5729">
        <v>3</v>
      </c>
      <c r="E5729">
        <v>0</v>
      </c>
      <c r="I5729">
        <v>3</v>
      </c>
      <c r="M5729" t="s">
        <v>5853</v>
      </c>
    </row>
    <row r="5730" spans="1:13" ht="15" customHeight="1">
      <c r="A5730" s="10">
        <v>46190</v>
      </c>
      <c r="B5730" t="s">
        <v>201</v>
      </c>
      <c r="C5730" s="135" t="s">
        <v>172</v>
      </c>
      <c r="D5730">
        <v>0</v>
      </c>
      <c r="E5730">
        <v>0</v>
      </c>
      <c r="I5730">
        <v>1</v>
      </c>
      <c r="M5730" t="s">
        <v>5854</v>
      </c>
    </row>
    <row r="5731" spans="1:13" ht="15" customHeight="1">
      <c r="A5731" s="10">
        <v>46190</v>
      </c>
      <c r="B5731" t="s">
        <v>201</v>
      </c>
      <c r="C5731" s="135" t="s">
        <v>173</v>
      </c>
      <c r="D5731">
        <v>0</v>
      </c>
      <c r="E5731">
        <v>0</v>
      </c>
      <c r="I5731">
        <v>0</v>
      </c>
      <c r="M5731" t="s">
        <v>5855</v>
      </c>
    </row>
    <row r="5732" spans="1:13" ht="15" customHeight="1">
      <c r="A5732" s="10">
        <v>46190</v>
      </c>
      <c r="B5732" t="s">
        <v>201</v>
      </c>
      <c r="C5732" t="s">
        <v>176</v>
      </c>
      <c r="D5732">
        <v>0</v>
      </c>
      <c r="E5732">
        <v>21</v>
      </c>
      <c r="I5732">
        <v>0</v>
      </c>
      <c r="J5732">
        <v>21</v>
      </c>
      <c r="M5732" t="s">
        <v>5856</v>
      </c>
    </row>
    <row r="5733" spans="1:13" ht="15" customHeight="1">
      <c r="A5733" s="10">
        <v>46190</v>
      </c>
      <c r="B5733" t="s">
        <v>201</v>
      </c>
      <c r="C5733" t="s">
        <v>178</v>
      </c>
      <c r="D5733">
        <v>0</v>
      </c>
      <c r="E5733">
        <v>25</v>
      </c>
      <c r="I5733">
        <v>0</v>
      </c>
      <c r="J5733">
        <v>25</v>
      </c>
      <c r="M5733" t="s">
        <v>5857</v>
      </c>
    </row>
    <row r="5734" spans="1:13" ht="15" customHeight="1">
      <c r="A5734" s="10">
        <v>46190</v>
      </c>
      <c r="B5734" t="s">
        <v>201</v>
      </c>
      <c r="C5734" t="s">
        <v>179</v>
      </c>
      <c r="D5734">
        <v>0</v>
      </c>
      <c r="E5734">
        <v>188</v>
      </c>
      <c r="H5734">
        <v>1</v>
      </c>
      <c r="I5734">
        <v>0</v>
      </c>
      <c r="J5734">
        <v>17</v>
      </c>
      <c r="M5734" t="s">
        <v>5858</v>
      </c>
    </row>
    <row r="5735" spans="1:13" ht="15" customHeight="1">
      <c r="A5735" s="10">
        <v>46190</v>
      </c>
      <c r="B5735" t="s">
        <v>201</v>
      </c>
      <c r="C5735" t="s">
        <v>180</v>
      </c>
      <c r="D5735">
        <v>0</v>
      </c>
      <c r="E5735">
        <v>18</v>
      </c>
      <c r="I5735">
        <v>0</v>
      </c>
      <c r="J5735">
        <v>18</v>
      </c>
      <c r="M5735" t="s">
        <v>5859</v>
      </c>
    </row>
    <row r="5736" spans="1:13" ht="15" customHeight="1">
      <c r="A5736" s="10">
        <v>46190</v>
      </c>
      <c r="B5736" t="s">
        <v>201</v>
      </c>
      <c r="C5736" s="135" t="s">
        <v>182</v>
      </c>
      <c r="D5736">
        <v>1</v>
      </c>
      <c r="E5736">
        <v>150</v>
      </c>
      <c r="I5736">
        <v>1</v>
      </c>
      <c r="J5736">
        <v>150</v>
      </c>
      <c r="M5736" t="s">
        <v>5860</v>
      </c>
    </row>
    <row r="5737" spans="1:13" ht="15" customHeight="1">
      <c r="A5737" s="10">
        <v>46190</v>
      </c>
      <c r="B5737" t="s">
        <v>201</v>
      </c>
      <c r="C5737" s="135" t="s">
        <v>184</v>
      </c>
      <c r="D5737">
        <v>1</v>
      </c>
      <c r="E5737">
        <v>27</v>
      </c>
      <c r="I5737">
        <v>1</v>
      </c>
      <c r="J5737">
        <v>25</v>
      </c>
      <c r="M5737" t="s">
        <v>5861</v>
      </c>
    </row>
    <row r="5738" spans="1:13" ht="15" customHeight="1">
      <c r="A5738" s="10">
        <v>46190</v>
      </c>
      <c r="B5738" t="s">
        <v>201</v>
      </c>
      <c r="C5738" s="135" t="s">
        <v>185</v>
      </c>
      <c r="D5738">
        <v>1</v>
      </c>
      <c r="E5738">
        <v>36</v>
      </c>
      <c r="I5738">
        <v>1</v>
      </c>
      <c r="J5738">
        <v>30</v>
      </c>
      <c r="M5738" t="s">
        <v>5862</v>
      </c>
    </row>
    <row r="5739" spans="1:13" ht="15" customHeight="1">
      <c r="A5739" s="10">
        <v>46190</v>
      </c>
      <c r="B5739" t="s">
        <v>201</v>
      </c>
      <c r="C5739" s="135" t="s">
        <v>186</v>
      </c>
      <c r="D5739">
        <v>1</v>
      </c>
      <c r="E5739">
        <v>600</v>
      </c>
      <c r="I5739">
        <v>1</v>
      </c>
      <c r="J5739">
        <v>600</v>
      </c>
      <c r="M5739" t="s">
        <v>5863</v>
      </c>
    </row>
    <row r="5740" spans="1:13" ht="15" customHeight="1">
      <c r="A5740" s="10">
        <v>46190</v>
      </c>
      <c r="B5740" t="s">
        <v>201</v>
      </c>
      <c r="C5740" t="s">
        <v>337</v>
      </c>
      <c r="D5740">
        <v>1</v>
      </c>
      <c r="E5740">
        <v>209</v>
      </c>
      <c r="F5740">
        <v>1</v>
      </c>
      <c r="I5740">
        <v>2</v>
      </c>
      <c r="J5740">
        <v>152</v>
      </c>
      <c r="M5740" t="s">
        <v>5864</v>
      </c>
    </row>
    <row r="5741" spans="1:13" ht="15" customHeight="1">
      <c r="A5741" s="10">
        <v>46190</v>
      </c>
      <c r="B5741" t="s">
        <v>201</v>
      </c>
      <c r="C5741" t="s">
        <v>339</v>
      </c>
      <c r="D5741">
        <v>0</v>
      </c>
      <c r="E5741">
        <v>0</v>
      </c>
      <c r="I5741">
        <v>0</v>
      </c>
      <c r="J5741">
        <v>0</v>
      </c>
      <c r="M5741" t="s">
        <v>5865</v>
      </c>
    </row>
    <row r="5742" spans="1:13" ht="15" customHeight="1">
      <c r="A5742" s="10">
        <v>46190</v>
      </c>
      <c r="B5742" t="s">
        <v>201</v>
      </c>
      <c r="C5742" s="135" t="s">
        <v>191</v>
      </c>
      <c r="D5742">
        <v>0</v>
      </c>
      <c r="E5742">
        <v>655</v>
      </c>
      <c r="I5742">
        <v>0</v>
      </c>
      <c r="J5742">
        <v>611</v>
      </c>
      <c r="M5742" t="s">
        <v>5866</v>
      </c>
    </row>
    <row r="5743" spans="1:13" ht="15" customHeight="1">
      <c r="A5743" s="10">
        <v>46190</v>
      </c>
      <c r="B5743" t="s">
        <v>201</v>
      </c>
      <c r="C5743" s="135" t="s">
        <v>193</v>
      </c>
      <c r="D5743">
        <v>1</v>
      </c>
      <c r="E5743">
        <v>298</v>
      </c>
      <c r="I5743">
        <v>1</v>
      </c>
      <c r="J5743">
        <v>236</v>
      </c>
      <c r="M5743" t="s">
        <v>5867</v>
      </c>
    </row>
    <row r="5744" spans="1:13" ht="15" customHeight="1">
      <c r="A5744" s="10">
        <v>46190</v>
      </c>
      <c r="B5744" t="s">
        <v>201</v>
      </c>
      <c r="C5744" s="135" t="s">
        <v>194</v>
      </c>
      <c r="D5744">
        <v>0</v>
      </c>
      <c r="E5744">
        <v>24</v>
      </c>
      <c r="F5744">
        <v>1</v>
      </c>
      <c r="I5744">
        <v>1</v>
      </c>
      <c r="J5744">
        <v>24</v>
      </c>
      <c r="M5744" t="s">
        <v>5868</v>
      </c>
    </row>
    <row r="5745" spans="1:13" ht="15" customHeight="1">
      <c r="A5745" s="10">
        <v>46190</v>
      </c>
      <c r="B5745" t="s">
        <v>201</v>
      </c>
      <c r="C5745" s="135" t="s">
        <v>196</v>
      </c>
      <c r="D5745">
        <v>0</v>
      </c>
      <c r="E5745">
        <v>504</v>
      </c>
      <c r="I5745">
        <v>0</v>
      </c>
      <c r="J5745">
        <v>504</v>
      </c>
      <c r="M5745" t="s">
        <v>5869</v>
      </c>
    </row>
    <row r="5746" spans="1:13" ht="15" customHeight="1">
      <c r="A5746" s="10">
        <v>46190</v>
      </c>
      <c r="B5746" t="s">
        <v>201</v>
      </c>
      <c r="C5746" s="135" t="s">
        <v>199</v>
      </c>
      <c r="D5746">
        <v>0</v>
      </c>
      <c r="E5746">
        <v>205</v>
      </c>
      <c r="G5746">
        <v>400</v>
      </c>
      <c r="I5746">
        <v>0</v>
      </c>
      <c r="J5746">
        <v>205</v>
      </c>
      <c r="M5746" t="s">
        <v>5870</v>
      </c>
    </row>
    <row r="5747" spans="1:13" ht="15" customHeight="1">
      <c r="A5747" s="10">
        <v>46190</v>
      </c>
      <c r="B5747" t="s">
        <v>201</v>
      </c>
      <c r="C5747" s="135" t="s">
        <v>200</v>
      </c>
      <c r="D5747">
        <v>0</v>
      </c>
      <c r="E5747">
        <v>918</v>
      </c>
      <c r="I5747">
        <v>0</v>
      </c>
      <c r="J5747">
        <v>915</v>
      </c>
      <c r="M5747" t="s">
        <v>5871</v>
      </c>
    </row>
    <row r="5748" spans="1:13" ht="15" customHeight="1">
      <c r="A5748" s="10">
        <v>46190</v>
      </c>
      <c r="B5748" t="s">
        <v>201</v>
      </c>
      <c r="C5748" s="135" t="s">
        <v>202</v>
      </c>
      <c r="D5748">
        <v>0</v>
      </c>
      <c r="E5748">
        <v>736</v>
      </c>
      <c r="I5748">
        <v>0</v>
      </c>
      <c r="J5748">
        <v>732</v>
      </c>
      <c r="M5748" t="s">
        <v>5872</v>
      </c>
    </row>
    <row r="5749" spans="1:13" ht="15" customHeight="1">
      <c r="A5749" s="10">
        <v>46191</v>
      </c>
      <c r="B5749" t="s">
        <v>201</v>
      </c>
      <c r="C5749" t="s">
        <v>23</v>
      </c>
      <c r="D5749">
        <v>5</v>
      </c>
      <c r="E5749">
        <v>391</v>
      </c>
      <c r="F5749">
        <v>3</v>
      </c>
      <c r="I5749">
        <v>7</v>
      </c>
      <c r="J5749">
        <v>146</v>
      </c>
      <c r="M5749" t="s">
        <v>5873</v>
      </c>
    </row>
    <row r="5750" spans="1:13" ht="15" customHeight="1">
      <c r="A5750" s="10">
        <v>46191</v>
      </c>
      <c r="B5750" t="s">
        <v>201</v>
      </c>
      <c r="C5750" t="s">
        <v>26</v>
      </c>
      <c r="D5750">
        <v>1</v>
      </c>
      <c r="E5750">
        <v>1494</v>
      </c>
      <c r="I5750">
        <v>2</v>
      </c>
      <c r="J5750">
        <v>1533</v>
      </c>
      <c r="M5750" t="s">
        <v>5874</v>
      </c>
    </row>
    <row r="5751" spans="1:13" ht="15" customHeight="1">
      <c r="A5751" s="10">
        <v>46191</v>
      </c>
      <c r="B5751" t="s">
        <v>201</v>
      </c>
      <c r="C5751" t="s">
        <v>27</v>
      </c>
      <c r="D5751">
        <v>1</v>
      </c>
      <c r="E5751">
        <v>760</v>
      </c>
      <c r="I5751">
        <v>1</v>
      </c>
      <c r="J5751">
        <v>320</v>
      </c>
      <c r="M5751" t="s">
        <v>5875</v>
      </c>
    </row>
    <row r="5752" spans="1:13" ht="15" customHeight="1">
      <c r="A5752" s="10">
        <v>46191</v>
      </c>
      <c r="B5752" t="s">
        <v>201</v>
      </c>
      <c r="C5752" t="s">
        <v>28</v>
      </c>
      <c r="D5752">
        <v>0</v>
      </c>
      <c r="E5752">
        <v>0</v>
      </c>
      <c r="I5752">
        <v>0</v>
      </c>
      <c r="J5752">
        <v>0</v>
      </c>
      <c r="M5752" t="s">
        <v>5876</v>
      </c>
    </row>
    <row r="5753" spans="1:13" ht="15" customHeight="1">
      <c r="A5753" s="10">
        <v>46191</v>
      </c>
      <c r="B5753" t="s">
        <v>201</v>
      </c>
      <c r="C5753" t="s">
        <v>29</v>
      </c>
      <c r="D5753">
        <v>0</v>
      </c>
      <c r="E5753">
        <v>456</v>
      </c>
      <c r="I5753">
        <v>0</v>
      </c>
      <c r="J5753">
        <v>236</v>
      </c>
      <c r="M5753" t="s">
        <v>5877</v>
      </c>
    </row>
    <row r="5754" spans="1:13" ht="15" customHeight="1">
      <c r="A5754" s="10">
        <v>46191</v>
      </c>
      <c r="B5754" t="s">
        <v>201</v>
      </c>
      <c r="C5754" t="s">
        <v>30</v>
      </c>
      <c r="D5754">
        <v>2</v>
      </c>
      <c r="E5754">
        <v>276</v>
      </c>
      <c r="I5754">
        <v>2</v>
      </c>
      <c r="J5754">
        <v>0</v>
      </c>
      <c r="M5754" t="s">
        <v>5878</v>
      </c>
    </row>
    <row r="5755" spans="1:13" ht="15" customHeight="1">
      <c r="A5755" s="10">
        <v>46191</v>
      </c>
      <c r="B5755" t="s">
        <v>201</v>
      </c>
      <c r="C5755" t="s">
        <v>31</v>
      </c>
      <c r="D5755">
        <v>1</v>
      </c>
      <c r="E5755">
        <v>761</v>
      </c>
      <c r="I5755">
        <v>1</v>
      </c>
      <c r="J5755">
        <v>583</v>
      </c>
      <c r="M5755" t="s">
        <v>5879</v>
      </c>
    </row>
    <row r="5756" spans="1:13" ht="15" customHeight="1">
      <c r="A5756" s="10">
        <v>46191</v>
      </c>
      <c r="B5756" t="s">
        <v>201</v>
      </c>
      <c r="C5756" t="s">
        <v>32</v>
      </c>
      <c r="D5756">
        <v>2</v>
      </c>
      <c r="E5756">
        <v>0</v>
      </c>
      <c r="I5756">
        <v>1</v>
      </c>
      <c r="J5756">
        <v>320</v>
      </c>
      <c r="M5756" t="s">
        <v>5880</v>
      </c>
    </row>
    <row r="5757" spans="1:13" ht="15" customHeight="1">
      <c r="A5757" s="10">
        <v>46191</v>
      </c>
      <c r="B5757" t="s">
        <v>201</v>
      </c>
      <c r="C5757" t="s">
        <v>223</v>
      </c>
      <c r="D5757">
        <v>6</v>
      </c>
      <c r="E5757">
        <v>876</v>
      </c>
      <c r="I5757">
        <v>5</v>
      </c>
      <c r="J5757">
        <v>940</v>
      </c>
      <c r="M5757" t="s">
        <v>5881</v>
      </c>
    </row>
    <row r="5758" spans="1:13" ht="15" customHeight="1">
      <c r="A5758" s="10">
        <v>46191</v>
      </c>
      <c r="B5758" t="s">
        <v>201</v>
      </c>
      <c r="C5758" t="s">
        <v>35</v>
      </c>
      <c r="D5758">
        <v>0</v>
      </c>
      <c r="E5758">
        <v>0</v>
      </c>
      <c r="F5758">
        <v>15</v>
      </c>
      <c r="H5758">
        <v>1</v>
      </c>
      <c r="I5758">
        <v>14</v>
      </c>
      <c r="M5758" t="s">
        <v>5882</v>
      </c>
    </row>
    <row r="5759" spans="1:13" ht="15" customHeight="1">
      <c r="A5759" s="10">
        <v>46191</v>
      </c>
      <c r="B5759" t="s">
        <v>201</v>
      </c>
      <c r="C5759" t="s">
        <v>37</v>
      </c>
      <c r="D5759">
        <v>6</v>
      </c>
      <c r="E5759">
        <v>0</v>
      </c>
      <c r="H5759">
        <v>0</v>
      </c>
      <c r="I5759">
        <v>6</v>
      </c>
      <c r="M5759" t="s">
        <v>5883</v>
      </c>
    </row>
    <row r="5760" spans="1:13" ht="15" customHeight="1">
      <c r="A5760" s="10">
        <v>46191</v>
      </c>
      <c r="B5760" t="s">
        <v>201</v>
      </c>
      <c r="C5760" t="s">
        <v>39</v>
      </c>
      <c r="D5760">
        <v>21</v>
      </c>
      <c r="E5760">
        <v>0</v>
      </c>
      <c r="H5760">
        <v>2</v>
      </c>
      <c r="I5760">
        <v>9</v>
      </c>
      <c r="M5760" t="s">
        <v>5884</v>
      </c>
    </row>
    <row r="5761" spans="1:13" ht="15" customHeight="1">
      <c r="A5761" s="10">
        <v>46191</v>
      </c>
      <c r="B5761" t="s">
        <v>201</v>
      </c>
      <c r="C5761" t="s">
        <v>41</v>
      </c>
      <c r="D5761">
        <v>22</v>
      </c>
      <c r="E5761">
        <v>0</v>
      </c>
      <c r="H5761">
        <v>0</v>
      </c>
      <c r="I5761">
        <v>22</v>
      </c>
      <c r="M5761" t="s">
        <v>5885</v>
      </c>
    </row>
    <row r="5762" spans="1:13" ht="15" customHeight="1">
      <c r="A5762" s="10">
        <v>46191</v>
      </c>
      <c r="B5762" t="s">
        <v>201</v>
      </c>
      <c r="C5762" s="135" t="s">
        <v>44</v>
      </c>
      <c r="D5762">
        <v>6</v>
      </c>
      <c r="E5762">
        <v>9322</v>
      </c>
      <c r="I5762">
        <v>6</v>
      </c>
      <c r="J5762">
        <v>7904</v>
      </c>
      <c r="M5762" t="s">
        <v>5886</v>
      </c>
    </row>
    <row r="5763" spans="1:13" ht="15" customHeight="1">
      <c r="A5763" s="10">
        <v>46191</v>
      </c>
      <c r="B5763" t="s">
        <v>201</v>
      </c>
      <c r="C5763" t="s">
        <v>230</v>
      </c>
      <c r="D5763">
        <v>1</v>
      </c>
      <c r="E5763">
        <v>98</v>
      </c>
      <c r="I5763">
        <v>0</v>
      </c>
      <c r="J5763">
        <v>755</v>
      </c>
      <c r="M5763" t="s">
        <v>5887</v>
      </c>
    </row>
    <row r="5764" spans="1:13" ht="15" customHeight="1">
      <c r="A5764" s="10">
        <v>46191</v>
      </c>
      <c r="B5764" t="s">
        <v>201</v>
      </c>
      <c r="C5764" t="s">
        <v>232</v>
      </c>
      <c r="D5764">
        <v>11</v>
      </c>
      <c r="E5764">
        <v>0</v>
      </c>
      <c r="H5764">
        <v>0</v>
      </c>
      <c r="I5764">
        <v>11</v>
      </c>
      <c r="M5764" t="s">
        <v>5888</v>
      </c>
    </row>
    <row r="5765" spans="1:13" ht="15" customHeight="1">
      <c r="A5765" s="10">
        <v>46191</v>
      </c>
      <c r="B5765" t="s">
        <v>201</v>
      </c>
      <c r="C5765" t="s">
        <v>234</v>
      </c>
      <c r="D5765">
        <v>92</v>
      </c>
      <c r="E5765">
        <v>0</v>
      </c>
      <c r="H5765">
        <v>3</v>
      </c>
      <c r="I5765">
        <v>89</v>
      </c>
      <c r="M5765" t="s">
        <v>5889</v>
      </c>
    </row>
    <row r="5766" spans="1:13" ht="15" customHeight="1">
      <c r="A5766" s="10">
        <v>46191</v>
      </c>
      <c r="B5766" t="s">
        <v>201</v>
      </c>
      <c r="C5766" t="s">
        <v>54</v>
      </c>
      <c r="D5766">
        <v>0</v>
      </c>
      <c r="E5766">
        <v>0</v>
      </c>
      <c r="I5766">
        <v>0</v>
      </c>
      <c r="M5766" t="s">
        <v>5890</v>
      </c>
    </row>
    <row r="5767" spans="1:13" ht="15" customHeight="1">
      <c r="A5767" s="10">
        <v>46191</v>
      </c>
      <c r="B5767" t="s">
        <v>201</v>
      </c>
      <c r="C5767" t="s">
        <v>237</v>
      </c>
      <c r="D5767">
        <v>7</v>
      </c>
      <c r="E5767">
        <v>0</v>
      </c>
      <c r="F5767">
        <v>12</v>
      </c>
      <c r="I5767">
        <v>19</v>
      </c>
      <c r="M5767" t="s">
        <v>5891</v>
      </c>
    </row>
    <row r="5768" spans="1:13" ht="15" customHeight="1">
      <c r="A5768" s="10">
        <v>46191</v>
      </c>
      <c r="B5768" t="s">
        <v>201</v>
      </c>
      <c r="C5768" s="135" t="s">
        <v>58</v>
      </c>
      <c r="D5768">
        <v>17</v>
      </c>
      <c r="E5768">
        <v>0</v>
      </c>
      <c r="H5768">
        <v>2</v>
      </c>
      <c r="I5768">
        <v>15</v>
      </c>
      <c r="M5768" t="s">
        <v>5892</v>
      </c>
    </row>
    <row r="5769" spans="1:13" ht="15" customHeight="1">
      <c r="A5769" s="10">
        <v>46191</v>
      </c>
      <c r="B5769" t="s">
        <v>201</v>
      </c>
      <c r="C5769" s="135" t="s">
        <v>60</v>
      </c>
      <c r="D5769">
        <v>21</v>
      </c>
      <c r="E5769">
        <v>0</v>
      </c>
      <c r="H5769">
        <v>6</v>
      </c>
      <c r="I5769">
        <v>15</v>
      </c>
      <c r="M5769" t="s">
        <v>5893</v>
      </c>
    </row>
    <row r="5770" spans="1:13" ht="15" customHeight="1">
      <c r="A5770" s="10">
        <v>46191</v>
      </c>
      <c r="B5770" t="s">
        <v>201</v>
      </c>
      <c r="C5770" s="135" t="s">
        <v>61</v>
      </c>
      <c r="D5770">
        <v>18</v>
      </c>
      <c r="E5770">
        <v>0</v>
      </c>
      <c r="H5770">
        <v>0</v>
      </c>
      <c r="I5770">
        <v>18</v>
      </c>
      <c r="M5770" t="s">
        <v>5894</v>
      </c>
    </row>
    <row r="5771" spans="1:13" ht="15" customHeight="1">
      <c r="A5771" s="10">
        <v>46191</v>
      </c>
      <c r="B5771" t="s">
        <v>201</v>
      </c>
      <c r="C5771" s="135" t="s">
        <v>62</v>
      </c>
      <c r="D5771">
        <v>21</v>
      </c>
      <c r="E5771">
        <v>0</v>
      </c>
      <c r="H5771">
        <v>2</v>
      </c>
      <c r="I5771">
        <v>19</v>
      </c>
      <c r="M5771" t="s">
        <v>5895</v>
      </c>
    </row>
    <row r="5772" spans="1:13" ht="15" customHeight="1">
      <c r="A5772" s="10">
        <v>46191</v>
      </c>
      <c r="B5772" t="s">
        <v>201</v>
      </c>
      <c r="C5772" s="135" t="s">
        <v>63</v>
      </c>
      <c r="D5772">
        <v>22</v>
      </c>
      <c r="E5772">
        <v>0</v>
      </c>
      <c r="H5772">
        <v>2</v>
      </c>
      <c r="I5772">
        <v>20</v>
      </c>
      <c r="M5772" t="s">
        <v>5896</v>
      </c>
    </row>
    <row r="5773" spans="1:13" ht="15" customHeight="1">
      <c r="A5773" s="10">
        <v>46191</v>
      </c>
      <c r="B5773" t="s">
        <v>201</v>
      </c>
      <c r="C5773" s="135" t="s">
        <v>64</v>
      </c>
      <c r="D5773">
        <v>12</v>
      </c>
      <c r="E5773">
        <v>0</v>
      </c>
      <c r="H5773">
        <v>1</v>
      </c>
      <c r="I5773">
        <v>11</v>
      </c>
      <c r="M5773" t="s">
        <v>5897</v>
      </c>
    </row>
    <row r="5774" spans="1:13" ht="15" customHeight="1">
      <c r="A5774" s="10">
        <v>46191</v>
      </c>
      <c r="B5774" t="s">
        <v>201</v>
      </c>
      <c r="C5774" t="s">
        <v>66</v>
      </c>
      <c r="D5774">
        <v>4</v>
      </c>
      <c r="E5774">
        <v>0</v>
      </c>
      <c r="I5774">
        <v>4</v>
      </c>
      <c r="M5774" t="s">
        <v>5898</v>
      </c>
    </row>
    <row r="5775" spans="1:13" ht="15" customHeight="1">
      <c r="A5775" s="10">
        <v>46191</v>
      </c>
      <c r="B5775" t="s">
        <v>201</v>
      </c>
      <c r="C5775" t="s">
        <v>67</v>
      </c>
      <c r="D5775">
        <v>4</v>
      </c>
      <c r="E5775">
        <v>0</v>
      </c>
      <c r="H5775">
        <v>1</v>
      </c>
      <c r="I5775">
        <v>3</v>
      </c>
      <c r="M5775" t="s">
        <v>5899</v>
      </c>
    </row>
    <row r="5776" spans="1:13" ht="15" customHeight="1">
      <c r="A5776" s="10">
        <v>46191</v>
      </c>
      <c r="B5776" t="s">
        <v>201</v>
      </c>
      <c r="C5776" t="s">
        <v>68</v>
      </c>
      <c r="D5776">
        <v>5</v>
      </c>
      <c r="E5776">
        <v>0</v>
      </c>
      <c r="I5776">
        <v>5</v>
      </c>
      <c r="M5776" t="s">
        <v>5900</v>
      </c>
    </row>
    <row r="5777" spans="1:13" ht="15" customHeight="1">
      <c r="A5777" s="10">
        <v>46191</v>
      </c>
      <c r="B5777" t="s">
        <v>201</v>
      </c>
      <c r="C5777" t="s">
        <v>71</v>
      </c>
      <c r="D5777">
        <v>2</v>
      </c>
      <c r="E5777">
        <v>435</v>
      </c>
      <c r="I5777">
        <v>2</v>
      </c>
      <c r="J5777">
        <v>379</v>
      </c>
      <c r="M5777" t="s">
        <v>5901</v>
      </c>
    </row>
    <row r="5778" spans="1:13" ht="15" customHeight="1">
      <c r="A5778" s="10">
        <v>46191</v>
      </c>
      <c r="B5778" t="s">
        <v>201</v>
      </c>
      <c r="C5778" t="s">
        <v>73</v>
      </c>
      <c r="D5778">
        <v>2</v>
      </c>
      <c r="E5778">
        <v>82</v>
      </c>
      <c r="I5778">
        <v>1</v>
      </c>
      <c r="J5778">
        <v>506</v>
      </c>
      <c r="M5778" t="s">
        <v>5902</v>
      </c>
    </row>
    <row r="5779" spans="1:13" ht="15" customHeight="1">
      <c r="A5779" s="10">
        <v>46191</v>
      </c>
      <c r="B5779" t="s">
        <v>201</v>
      </c>
      <c r="C5779" t="s">
        <v>75</v>
      </c>
      <c r="D5779">
        <v>1</v>
      </c>
      <c r="E5779">
        <v>151</v>
      </c>
      <c r="I5779">
        <v>1</v>
      </c>
      <c r="J5779">
        <v>146</v>
      </c>
      <c r="M5779" t="s">
        <v>5903</v>
      </c>
    </row>
    <row r="5780" spans="1:13" ht="15" customHeight="1">
      <c r="A5780" s="10">
        <v>46191</v>
      </c>
      <c r="B5780" t="s">
        <v>201</v>
      </c>
      <c r="C5780" t="s">
        <v>77</v>
      </c>
      <c r="D5780">
        <v>1</v>
      </c>
      <c r="E5780">
        <v>394</v>
      </c>
      <c r="I5780">
        <v>1</v>
      </c>
      <c r="J5780">
        <v>313</v>
      </c>
      <c r="M5780" t="s">
        <v>5904</v>
      </c>
    </row>
    <row r="5781" spans="1:13" ht="15" customHeight="1">
      <c r="A5781" s="10">
        <v>46191</v>
      </c>
      <c r="B5781" t="s">
        <v>201</v>
      </c>
      <c r="C5781" t="s">
        <v>79</v>
      </c>
      <c r="D5781">
        <v>1</v>
      </c>
      <c r="E5781">
        <v>827</v>
      </c>
      <c r="I5781">
        <v>1</v>
      </c>
      <c r="J5781">
        <v>679</v>
      </c>
      <c r="M5781" t="s">
        <v>5905</v>
      </c>
    </row>
    <row r="5782" spans="1:13" ht="15" customHeight="1">
      <c r="A5782" s="10">
        <v>46191</v>
      </c>
      <c r="B5782" t="s">
        <v>201</v>
      </c>
      <c r="C5782" t="s">
        <v>81</v>
      </c>
      <c r="D5782">
        <v>1</v>
      </c>
      <c r="E5782">
        <v>400</v>
      </c>
      <c r="I5782">
        <v>1</v>
      </c>
      <c r="J5782">
        <v>379</v>
      </c>
      <c r="M5782" t="s">
        <v>5906</v>
      </c>
    </row>
    <row r="5783" spans="1:13" ht="15" customHeight="1">
      <c r="A5783" s="10">
        <v>46191</v>
      </c>
      <c r="B5783" t="s">
        <v>201</v>
      </c>
      <c r="C5783" t="s">
        <v>83</v>
      </c>
      <c r="D5783">
        <v>1</v>
      </c>
      <c r="E5783">
        <v>60</v>
      </c>
      <c r="I5783">
        <v>1</v>
      </c>
      <c r="J5783">
        <v>60</v>
      </c>
      <c r="M5783" t="s">
        <v>5907</v>
      </c>
    </row>
    <row r="5784" spans="1:13" ht="15" customHeight="1">
      <c r="A5784" s="10">
        <v>46191</v>
      </c>
      <c r="B5784" t="s">
        <v>201</v>
      </c>
      <c r="C5784" t="s">
        <v>84</v>
      </c>
      <c r="D5784">
        <v>1</v>
      </c>
      <c r="E5784">
        <v>329</v>
      </c>
      <c r="I5784">
        <v>1</v>
      </c>
      <c r="J5784">
        <v>329</v>
      </c>
      <c r="M5784" t="s">
        <v>5908</v>
      </c>
    </row>
    <row r="5785" spans="1:13" ht="15" customHeight="1">
      <c r="A5785" s="10">
        <v>46191</v>
      </c>
      <c r="B5785" t="s">
        <v>201</v>
      </c>
      <c r="C5785" t="s">
        <v>85</v>
      </c>
      <c r="D5785">
        <v>0</v>
      </c>
      <c r="E5785">
        <v>200</v>
      </c>
      <c r="I5785">
        <v>0</v>
      </c>
      <c r="J5785">
        <v>200</v>
      </c>
      <c r="M5785" t="s">
        <v>5909</v>
      </c>
    </row>
    <row r="5786" spans="1:13" ht="15" customHeight="1">
      <c r="A5786" s="10">
        <v>46191</v>
      </c>
      <c r="B5786" t="s">
        <v>201</v>
      </c>
      <c r="C5786" t="s">
        <v>87</v>
      </c>
      <c r="D5786">
        <v>2</v>
      </c>
      <c r="E5786">
        <v>229</v>
      </c>
      <c r="I5786">
        <v>2</v>
      </c>
      <c r="J5786">
        <v>188</v>
      </c>
      <c r="M5786" t="s">
        <v>5910</v>
      </c>
    </row>
    <row r="5787" spans="1:13" ht="15" customHeight="1">
      <c r="A5787" s="10">
        <v>46191</v>
      </c>
      <c r="B5787" t="s">
        <v>201</v>
      </c>
      <c r="C5787" t="s">
        <v>88</v>
      </c>
      <c r="D5787">
        <v>2</v>
      </c>
      <c r="E5787">
        <v>291</v>
      </c>
      <c r="I5787">
        <v>2</v>
      </c>
      <c r="J5787">
        <v>290</v>
      </c>
      <c r="M5787" t="s">
        <v>5911</v>
      </c>
    </row>
    <row r="5788" spans="1:13" ht="15" customHeight="1">
      <c r="A5788" s="10">
        <v>46191</v>
      </c>
      <c r="B5788" t="s">
        <v>201</v>
      </c>
      <c r="C5788" t="s">
        <v>89</v>
      </c>
      <c r="D5788">
        <v>1</v>
      </c>
      <c r="E5788">
        <v>299</v>
      </c>
      <c r="I5788">
        <v>1</v>
      </c>
      <c r="J5788">
        <v>299</v>
      </c>
      <c r="M5788" t="s">
        <v>5912</v>
      </c>
    </row>
    <row r="5789" spans="1:13" ht="15" customHeight="1">
      <c r="A5789" s="10">
        <v>46191</v>
      </c>
      <c r="B5789" t="s">
        <v>201</v>
      </c>
      <c r="C5789" t="s">
        <v>90</v>
      </c>
      <c r="D5789">
        <v>1</v>
      </c>
      <c r="E5789">
        <v>613</v>
      </c>
      <c r="I5789">
        <v>1</v>
      </c>
      <c r="J5789">
        <v>483</v>
      </c>
      <c r="M5789" t="s">
        <v>5913</v>
      </c>
    </row>
    <row r="5790" spans="1:13" ht="15" customHeight="1">
      <c r="A5790" s="10">
        <v>46191</v>
      </c>
      <c r="B5790" t="s">
        <v>201</v>
      </c>
      <c r="C5790" t="s">
        <v>92</v>
      </c>
      <c r="D5790">
        <v>1</v>
      </c>
      <c r="E5790">
        <v>588</v>
      </c>
      <c r="I5790">
        <v>1</v>
      </c>
      <c r="J5790">
        <v>489</v>
      </c>
      <c r="M5790" t="s">
        <v>5914</v>
      </c>
    </row>
    <row r="5791" spans="1:13" ht="15" customHeight="1">
      <c r="A5791" s="10">
        <v>46191</v>
      </c>
      <c r="B5791" t="s">
        <v>201</v>
      </c>
      <c r="C5791" t="s">
        <v>94</v>
      </c>
      <c r="D5791">
        <v>4</v>
      </c>
      <c r="E5791">
        <v>417</v>
      </c>
      <c r="I5791">
        <v>3</v>
      </c>
      <c r="J5791">
        <v>562</v>
      </c>
      <c r="M5791" t="s">
        <v>5915</v>
      </c>
    </row>
    <row r="5792" spans="1:13" ht="15" customHeight="1">
      <c r="A5792" s="10">
        <v>46191</v>
      </c>
      <c r="B5792" t="s">
        <v>201</v>
      </c>
      <c r="C5792" t="s">
        <v>96</v>
      </c>
      <c r="D5792">
        <v>0</v>
      </c>
      <c r="E5792">
        <v>0</v>
      </c>
      <c r="I5792">
        <v>0</v>
      </c>
      <c r="J5792">
        <v>0</v>
      </c>
      <c r="M5792" t="s">
        <v>5916</v>
      </c>
    </row>
    <row r="5793" spans="1:13" ht="15" customHeight="1">
      <c r="A5793" s="10">
        <v>46191</v>
      </c>
      <c r="B5793" t="s">
        <v>201</v>
      </c>
      <c r="C5793" t="s">
        <v>98</v>
      </c>
      <c r="D5793">
        <v>0</v>
      </c>
      <c r="E5793">
        <v>153</v>
      </c>
      <c r="I5793">
        <v>0</v>
      </c>
      <c r="J5793">
        <v>0</v>
      </c>
      <c r="M5793" t="s">
        <v>5917</v>
      </c>
    </row>
    <row r="5794" spans="1:13" ht="15" customHeight="1">
      <c r="A5794" s="10">
        <v>46191</v>
      </c>
      <c r="B5794" t="s">
        <v>201</v>
      </c>
      <c r="C5794" t="s">
        <v>203</v>
      </c>
      <c r="D5794">
        <v>0</v>
      </c>
      <c r="E5794">
        <v>0</v>
      </c>
      <c r="I5794">
        <v>3</v>
      </c>
      <c r="J5794">
        <v>523</v>
      </c>
      <c r="M5794" t="s">
        <v>5918</v>
      </c>
    </row>
    <row r="5795" spans="1:13" ht="15" customHeight="1">
      <c r="A5795" s="10">
        <v>46191</v>
      </c>
      <c r="B5795" t="s">
        <v>201</v>
      </c>
      <c r="C5795" t="s">
        <v>100</v>
      </c>
      <c r="D5795">
        <v>1</v>
      </c>
      <c r="E5795">
        <v>0</v>
      </c>
      <c r="I5795">
        <v>0</v>
      </c>
      <c r="J5795">
        <v>0</v>
      </c>
      <c r="M5795" t="s">
        <v>5919</v>
      </c>
    </row>
    <row r="5796" spans="1:13" ht="15" customHeight="1">
      <c r="A5796" s="10">
        <v>46191</v>
      </c>
      <c r="B5796" t="s">
        <v>201</v>
      </c>
      <c r="C5796" t="s">
        <v>101</v>
      </c>
      <c r="D5796">
        <v>1</v>
      </c>
      <c r="E5796">
        <v>199</v>
      </c>
      <c r="I5796">
        <v>1</v>
      </c>
      <c r="J5796">
        <v>190</v>
      </c>
      <c r="M5796" t="s">
        <v>5920</v>
      </c>
    </row>
    <row r="5797" spans="1:13" ht="15" customHeight="1">
      <c r="A5797" s="10">
        <v>46191</v>
      </c>
      <c r="B5797" t="s">
        <v>201</v>
      </c>
      <c r="C5797" t="s">
        <v>103</v>
      </c>
      <c r="D5797">
        <v>0</v>
      </c>
      <c r="E5797">
        <v>5</v>
      </c>
      <c r="G5797">
        <v>8</v>
      </c>
      <c r="I5797">
        <v>0</v>
      </c>
      <c r="J5797">
        <v>12</v>
      </c>
      <c r="M5797" t="s">
        <v>5921</v>
      </c>
    </row>
    <row r="5798" spans="1:13" ht="15" customHeight="1">
      <c r="A5798" s="10">
        <v>46191</v>
      </c>
      <c r="B5798" t="s">
        <v>201</v>
      </c>
      <c r="C5798" t="s">
        <v>106</v>
      </c>
      <c r="D5798">
        <v>2</v>
      </c>
      <c r="E5798">
        <v>154</v>
      </c>
      <c r="I5798">
        <v>2</v>
      </c>
      <c r="J5798">
        <v>973</v>
      </c>
      <c r="M5798" t="s">
        <v>5922</v>
      </c>
    </row>
    <row r="5799" spans="1:13" ht="15" customHeight="1">
      <c r="A5799" s="10">
        <v>46191</v>
      </c>
      <c r="B5799" t="s">
        <v>201</v>
      </c>
      <c r="C5799" t="s">
        <v>108</v>
      </c>
      <c r="D5799">
        <v>1</v>
      </c>
      <c r="E5799">
        <v>1159</v>
      </c>
      <c r="I5799">
        <v>1</v>
      </c>
      <c r="J5799">
        <v>1029</v>
      </c>
      <c r="M5799" t="s">
        <v>5923</v>
      </c>
    </row>
    <row r="5800" spans="1:13" ht="15" customHeight="1">
      <c r="A5800" s="10">
        <v>46191</v>
      </c>
      <c r="B5800" t="s">
        <v>201</v>
      </c>
      <c r="C5800" t="s">
        <v>109</v>
      </c>
      <c r="D5800">
        <v>2</v>
      </c>
      <c r="E5800">
        <v>288</v>
      </c>
      <c r="I5800">
        <v>1</v>
      </c>
      <c r="J5800">
        <v>1195</v>
      </c>
      <c r="M5800" t="s">
        <v>5924</v>
      </c>
    </row>
    <row r="5801" spans="1:13" ht="15" customHeight="1">
      <c r="A5801" s="10">
        <v>46191</v>
      </c>
      <c r="B5801" t="s">
        <v>201</v>
      </c>
      <c r="C5801" t="s">
        <v>112</v>
      </c>
      <c r="D5801">
        <v>1</v>
      </c>
      <c r="E5801">
        <v>31</v>
      </c>
      <c r="I5801">
        <v>1</v>
      </c>
      <c r="J5801">
        <v>24</v>
      </c>
      <c r="M5801" t="s">
        <v>5925</v>
      </c>
    </row>
    <row r="5802" spans="1:13" ht="15" customHeight="1">
      <c r="A5802" s="10">
        <v>46191</v>
      </c>
      <c r="B5802" t="s">
        <v>201</v>
      </c>
      <c r="C5802" t="s">
        <v>114</v>
      </c>
      <c r="D5802">
        <v>2</v>
      </c>
      <c r="E5802">
        <v>49</v>
      </c>
      <c r="I5802">
        <v>2</v>
      </c>
      <c r="J5802">
        <v>30</v>
      </c>
      <c r="M5802" t="s">
        <v>5926</v>
      </c>
    </row>
    <row r="5803" spans="1:13" ht="15" customHeight="1">
      <c r="A5803" s="10">
        <v>46191</v>
      </c>
      <c r="B5803" t="s">
        <v>201</v>
      </c>
      <c r="C5803" t="s">
        <v>115</v>
      </c>
      <c r="D5803">
        <v>1</v>
      </c>
      <c r="E5803">
        <v>41</v>
      </c>
      <c r="I5803">
        <v>1</v>
      </c>
      <c r="J5803">
        <v>36</v>
      </c>
      <c r="M5803" t="s">
        <v>5927</v>
      </c>
    </row>
    <row r="5804" spans="1:13" ht="15" customHeight="1">
      <c r="A5804" s="10">
        <v>46191</v>
      </c>
      <c r="B5804" t="s">
        <v>201</v>
      </c>
      <c r="C5804" t="s">
        <v>116</v>
      </c>
      <c r="D5804">
        <v>2</v>
      </c>
      <c r="E5804">
        <v>21</v>
      </c>
      <c r="I5804">
        <v>2</v>
      </c>
      <c r="J5804">
        <v>15</v>
      </c>
      <c r="M5804" t="s">
        <v>5928</v>
      </c>
    </row>
    <row r="5805" spans="1:13" ht="15" customHeight="1">
      <c r="A5805" s="10">
        <v>46191</v>
      </c>
      <c r="B5805" t="s">
        <v>201</v>
      </c>
      <c r="C5805" t="s">
        <v>119</v>
      </c>
      <c r="D5805">
        <v>2</v>
      </c>
      <c r="E5805">
        <v>0</v>
      </c>
      <c r="I5805">
        <v>2</v>
      </c>
      <c r="M5805" t="s">
        <v>5929</v>
      </c>
    </row>
    <row r="5806" spans="1:13" ht="15" customHeight="1">
      <c r="A5806" s="10">
        <v>46191</v>
      </c>
      <c r="B5806" t="s">
        <v>201</v>
      </c>
      <c r="C5806" t="s">
        <v>120</v>
      </c>
      <c r="D5806">
        <v>2</v>
      </c>
      <c r="E5806">
        <v>0</v>
      </c>
      <c r="I5806">
        <v>2</v>
      </c>
      <c r="M5806" t="s">
        <v>5930</v>
      </c>
    </row>
    <row r="5807" spans="1:13" ht="15" customHeight="1">
      <c r="A5807" s="10">
        <v>46191</v>
      </c>
      <c r="B5807" t="s">
        <v>201</v>
      </c>
      <c r="C5807" t="s">
        <v>121</v>
      </c>
      <c r="D5807">
        <v>2</v>
      </c>
      <c r="E5807">
        <v>0</v>
      </c>
      <c r="I5807">
        <v>2</v>
      </c>
      <c r="M5807" t="s">
        <v>5931</v>
      </c>
    </row>
    <row r="5808" spans="1:13" ht="15" customHeight="1">
      <c r="A5808" s="10">
        <v>46191</v>
      </c>
      <c r="B5808" t="s">
        <v>201</v>
      </c>
      <c r="C5808" t="s">
        <v>123</v>
      </c>
      <c r="D5808">
        <v>1</v>
      </c>
      <c r="E5808">
        <v>0</v>
      </c>
      <c r="I5808">
        <v>1</v>
      </c>
      <c r="M5808" t="s">
        <v>5932</v>
      </c>
    </row>
    <row r="5809" spans="1:13" ht="15" customHeight="1">
      <c r="A5809" s="10">
        <v>46191</v>
      </c>
      <c r="B5809" t="s">
        <v>201</v>
      </c>
      <c r="C5809" t="s">
        <v>124</v>
      </c>
      <c r="D5809">
        <v>1</v>
      </c>
      <c r="E5809">
        <v>0</v>
      </c>
      <c r="I5809">
        <v>1</v>
      </c>
      <c r="M5809" t="s">
        <v>5933</v>
      </c>
    </row>
    <row r="5810" spans="1:13" ht="15" customHeight="1">
      <c r="A5810" s="10">
        <v>46191</v>
      </c>
      <c r="B5810" t="s">
        <v>201</v>
      </c>
      <c r="C5810" t="s">
        <v>125</v>
      </c>
      <c r="D5810">
        <v>2</v>
      </c>
      <c r="E5810">
        <v>0</v>
      </c>
      <c r="I5810">
        <v>2</v>
      </c>
      <c r="M5810" t="s">
        <v>5934</v>
      </c>
    </row>
    <row r="5811" spans="1:13" ht="15" customHeight="1">
      <c r="A5811" s="10">
        <v>46191</v>
      </c>
      <c r="B5811" t="s">
        <v>201</v>
      </c>
      <c r="C5811" t="s">
        <v>126</v>
      </c>
      <c r="D5811">
        <v>2</v>
      </c>
      <c r="E5811">
        <v>0</v>
      </c>
      <c r="I5811">
        <v>2</v>
      </c>
      <c r="M5811" t="s">
        <v>5935</v>
      </c>
    </row>
    <row r="5812" spans="1:13" ht="15" customHeight="1">
      <c r="A5812" s="10">
        <v>46191</v>
      </c>
      <c r="B5812" t="s">
        <v>201</v>
      </c>
      <c r="C5812" t="s">
        <v>128</v>
      </c>
      <c r="D5812">
        <v>2</v>
      </c>
      <c r="E5812">
        <v>0</v>
      </c>
      <c r="I5812">
        <v>2</v>
      </c>
      <c r="M5812" t="s">
        <v>5936</v>
      </c>
    </row>
    <row r="5813" spans="1:13" ht="15" customHeight="1">
      <c r="A5813" s="10">
        <v>46191</v>
      </c>
      <c r="B5813" t="s">
        <v>201</v>
      </c>
      <c r="C5813" t="s">
        <v>130</v>
      </c>
      <c r="D5813">
        <v>3</v>
      </c>
      <c r="E5813">
        <v>0</v>
      </c>
      <c r="I5813">
        <v>3</v>
      </c>
      <c r="M5813" t="s">
        <v>5937</v>
      </c>
    </row>
    <row r="5814" spans="1:13" ht="15" customHeight="1">
      <c r="A5814" s="10">
        <v>46191</v>
      </c>
      <c r="B5814" t="s">
        <v>201</v>
      </c>
      <c r="C5814" t="s">
        <v>285</v>
      </c>
      <c r="D5814">
        <v>2</v>
      </c>
      <c r="E5814">
        <v>0</v>
      </c>
      <c r="I5814">
        <v>2</v>
      </c>
      <c r="M5814" t="s">
        <v>5938</v>
      </c>
    </row>
    <row r="5815" spans="1:13" ht="15" customHeight="1">
      <c r="A5815" s="10">
        <v>46191</v>
      </c>
      <c r="B5815" t="s">
        <v>201</v>
      </c>
      <c r="C5815" t="s">
        <v>287</v>
      </c>
      <c r="D5815">
        <v>5</v>
      </c>
      <c r="E5815">
        <v>0</v>
      </c>
      <c r="I5815">
        <v>5</v>
      </c>
      <c r="M5815" t="s">
        <v>5939</v>
      </c>
    </row>
    <row r="5816" spans="1:13" ht="15" customHeight="1">
      <c r="A5816" s="10">
        <v>46191</v>
      </c>
      <c r="B5816" t="s">
        <v>201</v>
      </c>
      <c r="C5816" t="s">
        <v>289</v>
      </c>
      <c r="D5816">
        <v>2</v>
      </c>
      <c r="E5816">
        <v>0</v>
      </c>
      <c r="I5816">
        <v>2</v>
      </c>
      <c r="M5816" t="s">
        <v>5940</v>
      </c>
    </row>
    <row r="5817" spans="1:13" ht="15" customHeight="1">
      <c r="A5817" s="10">
        <v>46191</v>
      </c>
      <c r="B5817" t="s">
        <v>201</v>
      </c>
      <c r="C5817" t="s">
        <v>291</v>
      </c>
      <c r="D5817">
        <v>2</v>
      </c>
      <c r="E5817">
        <v>0</v>
      </c>
      <c r="I5817">
        <v>2</v>
      </c>
      <c r="M5817" t="s">
        <v>5941</v>
      </c>
    </row>
    <row r="5818" spans="1:13" ht="15" customHeight="1">
      <c r="A5818" s="10">
        <v>46191</v>
      </c>
      <c r="B5818" t="s">
        <v>201</v>
      </c>
      <c r="C5818" t="s">
        <v>293</v>
      </c>
      <c r="D5818">
        <v>3</v>
      </c>
      <c r="E5818">
        <v>0</v>
      </c>
      <c r="I5818">
        <v>3</v>
      </c>
      <c r="M5818" t="s">
        <v>5942</v>
      </c>
    </row>
    <row r="5819" spans="1:13" ht="15" customHeight="1">
      <c r="A5819" s="10">
        <v>46191</v>
      </c>
      <c r="B5819" t="s">
        <v>201</v>
      </c>
      <c r="C5819" s="135" t="s">
        <v>138</v>
      </c>
      <c r="D5819">
        <v>0</v>
      </c>
      <c r="E5819">
        <v>53</v>
      </c>
      <c r="I5819">
        <v>0</v>
      </c>
      <c r="J5819">
        <v>51</v>
      </c>
      <c r="M5819" t="s">
        <v>5943</v>
      </c>
    </row>
    <row r="5820" spans="1:13" ht="15" customHeight="1">
      <c r="A5820" s="10">
        <v>46191</v>
      </c>
      <c r="B5820" t="s">
        <v>201</v>
      </c>
      <c r="C5820" s="135" t="s">
        <v>139</v>
      </c>
      <c r="D5820">
        <v>0</v>
      </c>
      <c r="E5820">
        <v>48</v>
      </c>
      <c r="I5820">
        <v>0</v>
      </c>
      <c r="J5820">
        <v>42</v>
      </c>
      <c r="M5820" t="s">
        <v>5944</v>
      </c>
    </row>
    <row r="5821" spans="1:13" ht="15" customHeight="1">
      <c r="A5821" s="10">
        <v>46191</v>
      </c>
      <c r="B5821" t="s">
        <v>201</v>
      </c>
      <c r="C5821" s="135" t="s">
        <v>140</v>
      </c>
      <c r="D5821">
        <v>0</v>
      </c>
      <c r="E5821">
        <v>31</v>
      </c>
      <c r="I5821">
        <v>0</v>
      </c>
      <c r="J5821">
        <v>31</v>
      </c>
      <c r="M5821" t="s">
        <v>5945</v>
      </c>
    </row>
    <row r="5822" spans="1:13" ht="15" customHeight="1">
      <c r="A5822" s="10">
        <v>46191</v>
      </c>
      <c r="B5822" t="s">
        <v>201</v>
      </c>
      <c r="C5822" s="135" t="s">
        <v>141</v>
      </c>
      <c r="D5822">
        <v>0</v>
      </c>
      <c r="E5822">
        <v>1</v>
      </c>
      <c r="I5822">
        <v>0</v>
      </c>
      <c r="J5822">
        <v>1</v>
      </c>
      <c r="M5822" t="s">
        <v>5946</v>
      </c>
    </row>
    <row r="5823" spans="1:13" ht="15" customHeight="1">
      <c r="A5823" s="10">
        <v>46191</v>
      </c>
      <c r="B5823" t="s">
        <v>201</v>
      </c>
      <c r="C5823" s="135" t="s">
        <v>143</v>
      </c>
      <c r="D5823">
        <v>0</v>
      </c>
      <c r="E5823">
        <v>41</v>
      </c>
      <c r="I5823">
        <v>0</v>
      </c>
      <c r="J5823">
        <v>37</v>
      </c>
      <c r="M5823" t="s">
        <v>5947</v>
      </c>
    </row>
    <row r="5824" spans="1:13" ht="15" customHeight="1">
      <c r="A5824" s="10">
        <v>46191</v>
      </c>
      <c r="B5824" t="s">
        <v>201</v>
      </c>
      <c r="C5824" s="135" t="s">
        <v>145</v>
      </c>
      <c r="D5824">
        <v>0</v>
      </c>
      <c r="E5824">
        <v>33</v>
      </c>
      <c r="I5824">
        <v>0</v>
      </c>
      <c r="J5824">
        <v>31</v>
      </c>
      <c r="M5824" t="s">
        <v>5948</v>
      </c>
    </row>
    <row r="5825" spans="1:13" ht="15" customHeight="1">
      <c r="A5825" s="10">
        <v>46191</v>
      </c>
      <c r="B5825" t="s">
        <v>201</v>
      </c>
      <c r="C5825" s="135" t="s">
        <v>147</v>
      </c>
      <c r="D5825">
        <v>0</v>
      </c>
      <c r="E5825">
        <v>30</v>
      </c>
      <c r="I5825">
        <v>0</v>
      </c>
      <c r="J5825">
        <v>30</v>
      </c>
      <c r="M5825" t="s">
        <v>5949</v>
      </c>
    </row>
    <row r="5826" spans="1:13" ht="15" customHeight="1">
      <c r="A5826" s="10">
        <v>46191</v>
      </c>
      <c r="B5826" t="s">
        <v>201</v>
      </c>
      <c r="C5826" t="s">
        <v>302</v>
      </c>
      <c r="D5826">
        <v>1</v>
      </c>
      <c r="E5826">
        <v>2</v>
      </c>
      <c r="I5826">
        <v>1</v>
      </c>
      <c r="M5826" t="s">
        <v>5950</v>
      </c>
    </row>
    <row r="5827" spans="1:13" ht="15" customHeight="1">
      <c r="A5827" s="10">
        <v>46191</v>
      </c>
      <c r="B5827" t="s">
        <v>201</v>
      </c>
      <c r="C5827" t="s">
        <v>150</v>
      </c>
      <c r="D5827">
        <v>1</v>
      </c>
      <c r="E5827">
        <v>0</v>
      </c>
      <c r="I5827">
        <v>1</v>
      </c>
      <c r="M5827" t="s">
        <v>5951</v>
      </c>
    </row>
    <row r="5828" spans="1:13" ht="15" customHeight="1">
      <c r="A5828" s="10">
        <v>46191</v>
      </c>
      <c r="B5828" t="s">
        <v>201</v>
      </c>
      <c r="C5828" t="s">
        <v>151</v>
      </c>
      <c r="D5828">
        <v>1</v>
      </c>
      <c r="E5828">
        <v>0</v>
      </c>
      <c r="I5828">
        <v>1</v>
      </c>
      <c r="M5828" t="s">
        <v>5952</v>
      </c>
    </row>
    <row r="5829" spans="1:13" ht="15" customHeight="1">
      <c r="A5829" s="10">
        <v>46191</v>
      </c>
      <c r="B5829" t="s">
        <v>201</v>
      </c>
      <c r="C5829" t="s">
        <v>152</v>
      </c>
      <c r="D5829">
        <v>2</v>
      </c>
      <c r="E5829">
        <v>0</v>
      </c>
      <c r="I5829">
        <v>2</v>
      </c>
      <c r="M5829" t="s">
        <v>5953</v>
      </c>
    </row>
    <row r="5830" spans="1:13" ht="15" customHeight="1">
      <c r="A5830" s="10">
        <v>46191</v>
      </c>
      <c r="B5830" t="s">
        <v>201</v>
      </c>
      <c r="C5830" t="s">
        <v>153</v>
      </c>
      <c r="D5830">
        <v>3</v>
      </c>
      <c r="E5830">
        <v>0</v>
      </c>
      <c r="I5830">
        <v>3</v>
      </c>
      <c r="M5830" t="s">
        <v>5954</v>
      </c>
    </row>
    <row r="5831" spans="1:13" ht="15" customHeight="1">
      <c r="A5831" s="10">
        <v>46191</v>
      </c>
      <c r="B5831" t="s">
        <v>201</v>
      </c>
      <c r="C5831" t="s">
        <v>308</v>
      </c>
      <c r="D5831">
        <v>0</v>
      </c>
      <c r="E5831">
        <v>4</v>
      </c>
      <c r="I5831">
        <v>0</v>
      </c>
      <c r="J5831">
        <v>3</v>
      </c>
      <c r="M5831" t="s">
        <v>5955</v>
      </c>
    </row>
    <row r="5832" spans="1:13" ht="15" customHeight="1">
      <c r="A5832" s="10">
        <v>46191</v>
      </c>
      <c r="B5832" t="s">
        <v>201</v>
      </c>
      <c r="C5832" t="s">
        <v>310</v>
      </c>
      <c r="D5832">
        <v>0</v>
      </c>
      <c r="E5832">
        <v>2</v>
      </c>
      <c r="I5832">
        <v>0</v>
      </c>
      <c r="J5832">
        <v>2</v>
      </c>
      <c r="M5832" t="s">
        <v>5956</v>
      </c>
    </row>
    <row r="5833" spans="1:13" ht="15" customHeight="1">
      <c r="A5833" s="10">
        <v>46191</v>
      </c>
      <c r="B5833" t="s">
        <v>201</v>
      </c>
      <c r="C5833" t="s">
        <v>312</v>
      </c>
      <c r="D5833">
        <v>0</v>
      </c>
      <c r="E5833">
        <v>4</v>
      </c>
      <c r="I5833">
        <v>0</v>
      </c>
      <c r="J5833">
        <v>4</v>
      </c>
      <c r="M5833" t="s">
        <v>5957</v>
      </c>
    </row>
    <row r="5834" spans="1:13" ht="15" customHeight="1">
      <c r="A5834" s="10">
        <v>46191</v>
      </c>
      <c r="B5834" t="s">
        <v>201</v>
      </c>
      <c r="C5834" t="s">
        <v>314</v>
      </c>
      <c r="D5834">
        <v>1</v>
      </c>
      <c r="E5834">
        <v>0</v>
      </c>
      <c r="I5834">
        <v>1</v>
      </c>
      <c r="M5834" t="s">
        <v>5958</v>
      </c>
    </row>
    <row r="5835" spans="1:13" ht="15" customHeight="1">
      <c r="A5835" s="10">
        <v>46191</v>
      </c>
      <c r="B5835" t="s">
        <v>201</v>
      </c>
      <c r="C5835" t="s">
        <v>316</v>
      </c>
      <c r="D5835">
        <v>1</v>
      </c>
      <c r="E5835">
        <v>0</v>
      </c>
      <c r="I5835">
        <v>1</v>
      </c>
      <c r="M5835" t="s">
        <v>5959</v>
      </c>
    </row>
    <row r="5836" spans="1:13" ht="15" customHeight="1">
      <c r="A5836" s="10">
        <v>46191</v>
      </c>
      <c r="B5836" t="s">
        <v>201</v>
      </c>
      <c r="C5836" t="s">
        <v>318</v>
      </c>
      <c r="D5836">
        <v>4</v>
      </c>
      <c r="E5836">
        <v>0</v>
      </c>
      <c r="I5836">
        <v>4</v>
      </c>
      <c r="M5836" t="s">
        <v>5960</v>
      </c>
    </row>
    <row r="5837" spans="1:13" ht="15" customHeight="1">
      <c r="A5837" s="10">
        <v>46191</v>
      </c>
      <c r="B5837" t="s">
        <v>201</v>
      </c>
      <c r="C5837" t="s">
        <v>320</v>
      </c>
      <c r="D5837">
        <v>2</v>
      </c>
      <c r="E5837">
        <v>0</v>
      </c>
      <c r="I5837">
        <v>2</v>
      </c>
      <c r="M5837" t="s">
        <v>5961</v>
      </c>
    </row>
    <row r="5838" spans="1:13" ht="15" customHeight="1">
      <c r="A5838" s="10">
        <v>46191</v>
      </c>
      <c r="B5838" t="s">
        <v>201</v>
      </c>
      <c r="C5838" t="s">
        <v>322</v>
      </c>
      <c r="D5838">
        <v>2</v>
      </c>
      <c r="E5838">
        <v>0</v>
      </c>
      <c r="I5838">
        <v>1</v>
      </c>
      <c r="M5838" t="s">
        <v>5962</v>
      </c>
    </row>
    <row r="5839" spans="1:13" ht="15" customHeight="1">
      <c r="A5839" s="10">
        <v>46191</v>
      </c>
      <c r="B5839" t="s">
        <v>201</v>
      </c>
      <c r="C5839" s="135" t="s">
        <v>168</v>
      </c>
      <c r="D5839">
        <v>1</v>
      </c>
      <c r="E5839">
        <v>0</v>
      </c>
      <c r="I5839">
        <v>1</v>
      </c>
      <c r="M5839" t="s">
        <v>5963</v>
      </c>
    </row>
    <row r="5840" spans="1:13" ht="15" customHeight="1">
      <c r="A5840" s="10">
        <v>46191</v>
      </c>
      <c r="B5840" t="s">
        <v>201</v>
      </c>
      <c r="C5840" s="135" t="s">
        <v>170</v>
      </c>
      <c r="D5840">
        <v>1</v>
      </c>
      <c r="E5840">
        <v>0</v>
      </c>
      <c r="I5840">
        <v>1</v>
      </c>
      <c r="M5840" t="s">
        <v>5964</v>
      </c>
    </row>
    <row r="5841" spans="1:13" ht="15" customHeight="1">
      <c r="A5841" s="10">
        <v>46191</v>
      </c>
      <c r="B5841" t="s">
        <v>201</v>
      </c>
      <c r="C5841" s="135" t="s">
        <v>171</v>
      </c>
      <c r="D5841">
        <v>3</v>
      </c>
      <c r="E5841">
        <v>0</v>
      </c>
      <c r="I5841">
        <v>3</v>
      </c>
      <c r="M5841" t="s">
        <v>5965</v>
      </c>
    </row>
    <row r="5842" spans="1:13" ht="15" customHeight="1">
      <c r="A5842" s="10">
        <v>46191</v>
      </c>
      <c r="B5842" t="s">
        <v>201</v>
      </c>
      <c r="C5842" s="135" t="s">
        <v>172</v>
      </c>
      <c r="D5842">
        <v>1</v>
      </c>
      <c r="E5842">
        <v>0</v>
      </c>
      <c r="I5842">
        <v>1</v>
      </c>
      <c r="M5842" t="s">
        <v>5966</v>
      </c>
    </row>
    <row r="5843" spans="1:13" ht="15" customHeight="1">
      <c r="A5843" s="10">
        <v>46191</v>
      </c>
      <c r="B5843" t="s">
        <v>201</v>
      </c>
      <c r="C5843" s="135" t="s">
        <v>173</v>
      </c>
      <c r="D5843">
        <v>0</v>
      </c>
      <c r="E5843">
        <v>0</v>
      </c>
      <c r="I5843">
        <v>0</v>
      </c>
      <c r="M5843" t="s">
        <v>5967</v>
      </c>
    </row>
    <row r="5844" spans="1:13" ht="15" customHeight="1">
      <c r="A5844" s="10">
        <v>46191</v>
      </c>
      <c r="B5844" t="s">
        <v>201</v>
      </c>
      <c r="C5844" t="s">
        <v>176</v>
      </c>
      <c r="D5844">
        <v>0</v>
      </c>
      <c r="E5844">
        <v>21</v>
      </c>
      <c r="I5844">
        <v>0</v>
      </c>
      <c r="J5844">
        <v>21</v>
      </c>
      <c r="M5844" t="s">
        <v>5968</v>
      </c>
    </row>
    <row r="5845" spans="1:13" ht="15" customHeight="1">
      <c r="A5845" s="10">
        <v>46191</v>
      </c>
      <c r="B5845" t="s">
        <v>201</v>
      </c>
      <c r="C5845" t="s">
        <v>178</v>
      </c>
      <c r="D5845">
        <v>0</v>
      </c>
      <c r="E5845">
        <v>25</v>
      </c>
      <c r="I5845">
        <v>0</v>
      </c>
      <c r="J5845">
        <v>25</v>
      </c>
      <c r="M5845" t="s">
        <v>5969</v>
      </c>
    </row>
    <row r="5846" spans="1:13" ht="15" customHeight="1">
      <c r="A5846" s="10">
        <v>46191</v>
      </c>
      <c r="B5846" t="s">
        <v>201</v>
      </c>
      <c r="C5846" t="s">
        <v>179</v>
      </c>
      <c r="D5846">
        <v>0</v>
      </c>
      <c r="E5846">
        <v>17</v>
      </c>
      <c r="I5846">
        <v>0</v>
      </c>
      <c r="J5846">
        <v>17</v>
      </c>
      <c r="M5846" t="s">
        <v>5970</v>
      </c>
    </row>
    <row r="5847" spans="1:13" ht="15" customHeight="1">
      <c r="A5847" s="10">
        <v>46191</v>
      </c>
      <c r="B5847" t="s">
        <v>201</v>
      </c>
      <c r="C5847" t="s">
        <v>180</v>
      </c>
      <c r="D5847">
        <v>0</v>
      </c>
      <c r="E5847">
        <v>18</v>
      </c>
      <c r="H5847">
        <v>3</v>
      </c>
      <c r="I5847">
        <v>0</v>
      </c>
      <c r="J5847">
        <v>15</v>
      </c>
      <c r="M5847" t="s">
        <v>5971</v>
      </c>
    </row>
    <row r="5848" spans="1:13" ht="15" customHeight="1">
      <c r="A5848" s="10">
        <v>46191</v>
      </c>
      <c r="B5848" t="s">
        <v>201</v>
      </c>
      <c r="C5848" s="135" t="s">
        <v>182</v>
      </c>
      <c r="D5848">
        <v>1</v>
      </c>
      <c r="E5848">
        <v>150</v>
      </c>
      <c r="I5848">
        <v>1</v>
      </c>
      <c r="J5848">
        <v>150</v>
      </c>
      <c r="M5848" t="s">
        <v>5972</v>
      </c>
    </row>
    <row r="5849" spans="1:13" ht="15" customHeight="1">
      <c r="A5849" s="10">
        <v>46191</v>
      </c>
      <c r="B5849" t="s">
        <v>201</v>
      </c>
      <c r="C5849" s="135" t="s">
        <v>184</v>
      </c>
      <c r="D5849">
        <v>1</v>
      </c>
      <c r="E5849">
        <v>25</v>
      </c>
      <c r="I5849">
        <v>0</v>
      </c>
      <c r="J5849">
        <v>99</v>
      </c>
      <c r="M5849" t="s">
        <v>5973</v>
      </c>
    </row>
    <row r="5850" spans="1:13" ht="15" customHeight="1">
      <c r="A5850" s="10">
        <v>46191</v>
      </c>
      <c r="B5850" t="s">
        <v>201</v>
      </c>
      <c r="C5850" s="135" t="s">
        <v>185</v>
      </c>
      <c r="D5850">
        <v>1</v>
      </c>
      <c r="E5850">
        <v>30</v>
      </c>
      <c r="I5850">
        <v>1</v>
      </c>
      <c r="J5850">
        <v>30</v>
      </c>
      <c r="M5850" t="s">
        <v>5974</v>
      </c>
    </row>
    <row r="5851" spans="1:13" ht="15" customHeight="1">
      <c r="A5851" s="10">
        <v>46191</v>
      </c>
      <c r="B5851" t="s">
        <v>201</v>
      </c>
      <c r="C5851" s="135" t="s">
        <v>186</v>
      </c>
      <c r="D5851">
        <v>1</v>
      </c>
      <c r="E5851">
        <v>600</v>
      </c>
      <c r="I5851">
        <v>1</v>
      </c>
      <c r="J5851">
        <v>580</v>
      </c>
      <c r="M5851" t="s">
        <v>5975</v>
      </c>
    </row>
    <row r="5852" spans="1:13" ht="15" customHeight="1">
      <c r="A5852" s="10">
        <v>46191</v>
      </c>
      <c r="B5852" t="s">
        <v>201</v>
      </c>
      <c r="C5852" t="s">
        <v>337</v>
      </c>
      <c r="D5852">
        <v>2</v>
      </c>
      <c r="E5852">
        <v>152</v>
      </c>
      <c r="I5852">
        <v>2</v>
      </c>
      <c r="J5852">
        <v>124</v>
      </c>
      <c r="M5852" t="s">
        <v>5976</v>
      </c>
    </row>
    <row r="5853" spans="1:13" ht="15" customHeight="1">
      <c r="A5853" s="10">
        <v>46191</v>
      </c>
      <c r="B5853" t="s">
        <v>201</v>
      </c>
      <c r="C5853" t="s">
        <v>339</v>
      </c>
      <c r="D5853">
        <v>0</v>
      </c>
      <c r="E5853">
        <v>0</v>
      </c>
      <c r="I5853">
        <v>0</v>
      </c>
      <c r="J5853">
        <v>0</v>
      </c>
      <c r="M5853" t="s">
        <v>5977</v>
      </c>
    </row>
    <row r="5854" spans="1:13" ht="15" customHeight="1">
      <c r="A5854" s="10">
        <v>46191</v>
      </c>
      <c r="B5854" t="s">
        <v>201</v>
      </c>
      <c r="C5854" s="135" t="s">
        <v>191</v>
      </c>
      <c r="D5854">
        <v>0</v>
      </c>
      <c r="E5854">
        <v>611</v>
      </c>
      <c r="I5854">
        <v>0</v>
      </c>
      <c r="J5854">
        <v>612</v>
      </c>
      <c r="M5854" t="s">
        <v>5978</v>
      </c>
    </row>
    <row r="5855" spans="1:13" ht="15" customHeight="1">
      <c r="A5855" s="10">
        <v>46191</v>
      </c>
      <c r="B5855" t="s">
        <v>201</v>
      </c>
      <c r="C5855" s="135" t="s">
        <v>193</v>
      </c>
      <c r="D5855">
        <v>1</v>
      </c>
      <c r="E5855">
        <v>236</v>
      </c>
      <c r="I5855">
        <v>1</v>
      </c>
      <c r="J5855">
        <v>237</v>
      </c>
      <c r="M5855" t="s">
        <v>5979</v>
      </c>
    </row>
    <row r="5856" spans="1:13" ht="15" customHeight="1">
      <c r="A5856" s="10">
        <v>46191</v>
      </c>
      <c r="B5856" t="s">
        <v>201</v>
      </c>
      <c r="C5856" s="135" t="s">
        <v>194</v>
      </c>
      <c r="D5856">
        <v>1</v>
      </c>
      <c r="E5856">
        <v>24</v>
      </c>
      <c r="I5856">
        <v>1</v>
      </c>
      <c r="J5856">
        <v>24</v>
      </c>
      <c r="M5856" t="s">
        <v>5980</v>
      </c>
    </row>
    <row r="5857" spans="1:13" ht="15" customHeight="1">
      <c r="A5857" s="10">
        <v>46191</v>
      </c>
      <c r="B5857" t="s">
        <v>201</v>
      </c>
      <c r="C5857" s="135" t="s">
        <v>196</v>
      </c>
      <c r="D5857">
        <v>0</v>
      </c>
      <c r="E5857">
        <v>504</v>
      </c>
      <c r="I5857">
        <v>0</v>
      </c>
      <c r="J5857">
        <v>504</v>
      </c>
      <c r="M5857" t="s">
        <v>5981</v>
      </c>
    </row>
    <row r="5858" spans="1:13" ht="15" customHeight="1">
      <c r="A5858" s="10">
        <v>46191</v>
      </c>
      <c r="B5858" t="s">
        <v>201</v>
      </c>
      <c r="C5858" s="135" t="s">
        <v>199</v>
      </c>
      <c r="D5858">
        <v>0</v>
      </c>
      <c r="E5858">
        <v>205</v>
      </c>
      <c r="I5858">
        <v>0</v>
      </c>
      <c r="J5858">
        <v>588</v>
      </c>
      <c r="M5858" t="s">
        <v>5982</v>
      </c>
    </row>
    <row r="5859" spans="1:13" ht="15" customHeight="1">
      <c r="A5859" s="10">
        <v>46191</v>
      </c>
      <c r="B5859" t="s">
        <v>201</v>
      </c>
      <c r="C5859" s="135" t="s">
        <v>200</v>
      </c>
      <c r="D5859">
        <v>0</v>
      </c>
      <c r="E5859">
        <v>915</v>
      </c>
      <c r="I5859">
        <v>0</v>
      </c>
      <c r="J5859">
        <v>901</v>
      </c>
      <c r="M5859" t="s">
        <v>5983</v>
      </c>
    </row>
    <row r="5860" spans="1:13" ht="15" customHeight="1">
      <c r="A5860" s="10">
        <v>46191</v>
      </c>
      <c r="B5860" t="s">
        <v>201</v>
      </c>
      <c r="C5860" s="135" t="s">
        <v>202</v>
      </c>
      <c r="D5860">
        <v>0</v>
      </c>
      <c r="E5860">
        <v>732</v>
      </c>
      <c r="I5860">
        <v>0</v>
      </c>
      <c r="J5860">
        <v>722</v>
      </c>
      <c r="M5860" t="s">
        <v>5984</v>
      </c>
    </row>
    <row r="5861" spans="1:13" ht="15" customHeight="1">
      <c r="A5861" s="10">
        <v>46192</v>
      </c>
      <c r="B5861" t="s">
        <v>201</v>
      </c>
      <c r="C5861" t="s">
        <v>23</v>
      </c>
      <c r="D5861">
        <v>7</v>
      </c>
      <c r="E5861">
        <v>146</v>
      </c>
      <c r="I5861">
        <v>6</v>
      </c>
      <c r="J5861">
        <v>605</v>
      </c>
      <c r="M5861" t="s">
        <v>5985</v>
      </c>
    </row>
    <row r="5862" spans="1:13" ht="15" customHeight="1">
      <c r="A5862" s="10">
        <v>46192</v>
      </c>
      <c r="B5862" t="s">
        <v>201</v>
      </c>
      <c r="C5862" t="s">
        <v>26</v>
      </c>
      <c r="D5862">
        <v>2</v>
      </c>
      <c r="E5862">
        <v>1533</v>
      </c>
      <c r="I5862">
        <v>1</v>
      </c>
      <c r="J5862">
        <v>1221</v>
      </c>
      <c r="M5862" t="s">
        <v>5986</v>
      </c>
    </row>
    <row r="5863" spans="1:13" ht="15" customHeight="1">
      <c r="A5863" s="10">
        <v>46192</v>
      </c>
      <c r="B5863" t="s">
        <v>201</v>
      </c>
      <c r="C5863" t="s">
        <v>27</v>
      </c>
      <c r="D5863">
        <v>1</v>
      </c>
      <c r="E5863">
        <v>320</v>
      </c>
      <c r="I5863">
        <v>1</v>
      </c>
      <c r="J5863">
        <v>310</v>
      </c>
      <c r="M5863" t="s">
        <v>5987</v>
      </c>
    </row>
    <row r="5864" spans="1:13" ht="15" customHeight="1">
      <c r="A5864" s="10">
        <v>46192</v>
      </c>
      <c r="B5864" t="s">
        <v>201</v>
      </c>
      <c r="C5864" t="s">
        <v>28</v>
      </c>
      <c r="D5864">
        <v>0</v>
      </c>
      <c r="E5864">
        <v>0</v>
      </c>
      <c r="I5864">
        <v>0</v>
      </c>
      <c r="J5864">
        <v>0</v>
      </c>
      <c r="M5864" t="s">
        <v>5988</v>
      </c>
    </row>
    <row r="5865" spans="1:13" ht="15" customHeight="1">
      <c r="A5865" s="10">
        <v>46192</v>
      </c>
      <c r="B5865" t="s">
        <v>201</v>
      </c>
      <c r="C5865" t="s">
        <v>29</v>
      </c>
      <c r="D5865">
        <v>0</v>
      </c>
      <c r="E5865">
        <v>236</v>
      </c>
      <c r="I5865">
        <v>0</v>
      </c>
      <c r="J5865">
        <v>229</v>
      </c>
      <c r="M5865" t="s">
        <v>5989</v>
      </c>
    </row>
    <row r="5866" spans="1:13" ht="15" customHeight="1">
      <c r="A5866" s="10">
        <v>46192</v>
      </c>
      <c r="B5866" t="s">
        <v>201</v>
      </c>
      <c r="C5866" t="s">
        <v>30</v>
      </c>
      <c r="D5866">
        <v>2</v>
      </c>
      <c r="E5866">
        <v>0</v>
      </c>
      <c r="I5866">
        <v>1</v>
      </c>
      <c r="J5866">
        <v>995</v>
      </c>
      <c r="M5866" t="s">
        <v>5990</v>
      </c>
    </row>
    <row r="5867" spans="1:13" ht="15" customHeight="1">
      <c r="A5867" s="10">
        <v>46192</v>
      </c>
      <c r="B5867" t="s">
        <v>201</v>
      </c>
      <c r="C5867" t="s">
        <v>31</v>
      </c>
      <c r="D5867">
        <v>1</v>
      </c>
      <c r="E5867">
        <v>583</v>
      </c>
      <c r="I5867">
        <v>1</v>
      </c>
      <c r="J5867">
        <v>263</v>
      </c>
      <c r="M5867" t="s">
        <v>5991</v>
      </c>
    </row>
    <row r="5868" spans="1:13" ht="15" customHeight="1">
      <c r="A5868" s="10">
        <v>46192</v>
      </c>
      <c r="B5868" t="s">
        <v>201</v>
      </c>
      <c r="C5868" t="s">
        <v>32</v>
      </c>
      <c r="D5868">
        <v>1</v>
      </c>
      <c r="E5868">
        <v>320</v>
      </c>
      <c r="I5868">
        <v>1</v>
      </c>
      <c r="J5868">
        <v>143</v>
      </c>
      <c r="M5868" t="s">
        <v>5992</v>
      </c>
    </row>
    <row r="5869" spans="1:13" ht="15" customHeight="1">
      <c r="A5869" s="10">
        <v>46192</v>
      </c>
      <c r="B5869" t="s">
        <v>201</v>
      </c>
      <c r="C5869" t="s">
        <v>223</v>
      </c>
      <c r="D5869">
        <v>5</v>
      </c>
      <c r="E5869">
        <v>940</v>
      </c>
      <c r="I5869">
        <v>5</v>
      </c>
      <c r="J5869">
        <v>335</v>
      </c>
      <c r="M5869" t="s">
        <v>5993</v>
      </c>
    </row>
    <row r="5870" spans="1:13" ht="15" customHeight="1">
      <c r="A5870" s="10">
        <v>46192</v>
      </c>
      <c r="B5870" t="s">
        <v>201</v>
      </c>
      <c r="C5870" t="s">
        <v>35</v>
      </c>
      <c r="D5870">
        <v>14</v>
      </c>
      <c r="E5870">
        <v>0</v>
      </c>
      <c r="H5870">
        <v>2</v>
      </c>
      <c r="I5870">
        <v>12</v>
      </c>
      <c r="M5870" t="s">
        <v>5994</v>
      </c>
    </row>
    <row r="5871" spans="1:13" ht="15" customHeight="1">
      <c r="A5871" s="10">
        <v>46192</v>
      </c>
      <c r="B5871" t="s">
        <v>201</v>
      </c>
      <c r="C5871" t="s">
        <v>37</v>
      </c>
      <c r="D5871">
        <v>6</v>
      </c>
      <c r="E5871">
        <v>0</v>
      </c>
      <c r="I5871">
        <v>6</v>
      </c>
      <c r="M5871" t="s">
        <v>5995</v>
      </c>
    </row>
    <row r="5872" spans="1:13" ht="15" customHeight="1">
      <c r="A5872" s="10">
        <v>46192</v>
      </c>
      <c r="B5872" t="s">
        <v>201</v>
      </c>
      <c r="C5872" t="s">
        <v>39</v>
      </c>
      <c r="D5872">
        <v>9</v>
      </c>
      <c r="E5872">
        <v>0</v>
      </c>
      <c r="H5872">
        <v>1</v>
      </c>
      <c r="I5872">
        <v>8</v>
      </c>
      <c r="M5872" t="s">
        <v>5996</v>
      </c>
    </row>
    <row r="5873" spans="1:13" ht="15" customHeight="1">
      <c r="A5873" s="10">
        <v>46192</v>
      </c>
      <c r="B5873" t="s">
        <v>201</v>
      </c>
      <c r="C5873" t="s">
        <v>41</v>
      </c>
      <c r="D5873">
        <v>22</v>
      </c>
      <c r="E5873">
        <v>0</v>
      </c>
      <c r="I5873">
        <v>22</v>
      </c>
      <c r="M5873" t="s">
        <v>5997</v>
      </c>
    </row>
    <row r="5874" spans="1:13" ht="15" customHeight="1">
      <c r="A5874" s="10">
        <v>46192</v>
      </c>
      <c r="B5874" t="s">
        <v>201</v>
      </c>
      <c r="C5874" s="135" t="s">
        <v>44</v>
      </c>
      <c r="D5874">
        <v>6</v>
      </c>
      <c r="E5874">
        <v>7904</v>
      </c>
      <c r="I5874">
        <v>6</v>
      </c>
      <c r="J5874">
        <v>6997</v>
      </c>
      <c r="M5874" t="s">
        <v>5998</v>
      </c>
    </row>
    <row r="5875" spans="1:13" ht="15" customHeight="1">
      <c r="A5875" s="10">
        <v>46192</v>
      </c>
      <c r="B5875" t="s">
        <v>201</v>
      </c>
      <c r="C5875" t="s">
        <v>230</v>
      </c>
      <c r="D5875">
        <v>755</v>
      </c>
      <c r="E5875">
        <v>98</v>
      </c>
      <c r="I5875">
        <v>0</v>
      </c>
      <c r="J5875">
        <v>755</v>
      </c>
      <c r="M5875" t="s">
        <v>5999</v>
      </c>
    </row>
    <row r="5876" spans="1:13" ht="15" customHeight="1">
      <c r="A5876" s="10">
        <v>46192</v>
      </c>
      <c r="B5876" t="s">
        <v>201</v>
      </c>
      <c r="C5876" t="s">
        <v>232</v>
      </c>
      <c r="D5876">
        <v>11</v>
      </c>
      <c r="E5876">
        <v>0</v>
      </c>
      <c r="I5876">
        <v>11</v>
      </c>
      <c r="M5876" t="s">
        <v>6000</v>
      </c>
    </row>
    <row r="5877" spans="1:13" ht="15" customHeight="1">
      <c r="A5877" s="10">
        <v>46192</v>
      </c>
      <c r="B5877" t="s">
        <v>201</v>
      </c>
      <c r="C5877" t="s">
        <v>234</v>
      </c>
      <c r="D5877">
        <v>89</v>
      </c>
      <c r="E5877">
        <v>0</v>
      </c>
      <c r="H5877">
        <v>12</v>
      </c>
      <c r="I5877">
        <v>77</v>
      </c>
      <c r="M5877" t="s">
        <v>6001</v>
      </c>
    </row>
    <row r="5878" spans="1:13" ht="15" customHeight="1">
      <c r="A5878" s="10">
        <v>46192</v>
      </c>
      <c r="B5878" t="s">
        <v>201</v>
      </c>
      <c r="C5878" t="s">
        <v>54</v>
      </c>
      <c r="D5878">
        <v>0</v>
      </c>
      <c r="E5878">
        <v>0</v>
      </c>
      <c r="I5878">
        <v>0</v>
      </c>
      <c r="M5878" t="s">
        <v>6002</v>
      </c>
    </row>
    <row r="5879" spans="1:13" ht="15" customHeight="1">
      <c r="A5879" s="10">
        <v>46192</v>
      </c>
      <c r="B5879" t="s">
        <v>201</v>
      </c>
      <c r="C5879" t="s">
        <v>237</v>
      </c>
      <c r="D5879">
        <v>19</v>
      </c>
      <c r="E5879">
        <v>0</v>
      </c>
      <c r="I5879">
        <v>19</v>
      </c>
      <c r="M5879" t="s">
        <v>6003</v>
      </c>
    </row>
    <row r="5880" spans="1:13" ht="15" customHeight="1">
      <c r="A5880" s="10">
        <v>46192</v>
      </c>
      <c r="B5880" t="s">
        <v>201</v>
      </c>
      <c r="C5880" s="135" t="s">
        <v>58</v>
      </c>
      <c r="D5880">
        <v>15</v>
      </c>
      <c r="E5880">
        <v>0</v>
      </c>
      <c r="I5880">
        <v>15</v>
      </c>
      <c r="M5880" t="s">
        <v>6004</v>
      </c>
    </row>
    <row r="5881" spans="1:13" ht="15" customHeight="1">
      <c r="A5881" s="10">
        <v>46192</v>
      </c>
      <c r="B5881" t="s">
        <v>201</v>
      </c>
      <c r="C5881" s="135" t="s">
        <v>60</v>
      </c>
      <c r="D5881">
        <v>15</v>
      </c>
      <c r="E5881">
        <v>0</v>
      </c>
      <c r="I5881">
        <v>15</v>
      </c>
      <c r="M5881" t="s">
        <v>6005</v>
      </c>
    </row>
    <row r="5882" spans="1:13" ht="15" customHeight="1">
      <c r="A5882" s="10">
        <v>46192</v>
      </c>
      <c r="B5882" t="s">
        <v>201</v>
      </c>
      <c r="C5882" s="135" t="s">
        <v>61</v>
      </c>
      <c r="D5882">
        <v>18</v>
      </c>
      <c r="E5882">
        <v>0</v>
      </c>
      <c r="I5882">
        <v>18</v>
      </c>
      <c r="M5882" t="s">
        <v>6006</v>
      </c>
    </row>
    <row r="5883" spans="1:13" ht="15" customHeight="1">
      <c r="A5883" s="10">
        <v>46192</v>
      </c>
      <c r="B5883" t="s">
        <v>201</v>
      </c>
      <c r="C5883" s="135" t="s">
        <v>62</v>
      </c>
      <c r="D5883">
        <v>19</v>
      </c>
      <c r="E5883">
        <v>0</v>
      </c>
      <c r="I5883">
        <v>14</v>
      </c>
      <c r="K5883">
        <v>5</v>
      </c>
      <c r="L5883" t="s">
        <v>5545</v>
      </c>
      <c r="M5883" t="s">
        <v>6007</v>
      </c>
    </row>
    <row r="5884" spans="1:13" ht="15" customHeight="1">
      <c r="A5884" s="10">
        <v>46192</v>
      </c>
      <c r="B5884" t="s">
        <v>201</v>
      </c>
      <c r="C5884" s="135" t="s">
        <v>63</v>
      </c>
      <c r="D5884">
        <v>20</v>
      </c>
      <c r="E5884">
        <v>0</v>
      </c>
      <c r="I5884">
        <v>10</v>
      </c>
      <c r="K5884">
        <v>10</v>
      </c>
      <c r="L5884" t="s">
        <v>5545</v>
      </c>
      <c r="M5884" t="s">
        <v>6008</v>
      </c>
    </row>
    <row r="5885" spans="1:13" ht="15" customHeight="1">
      <c r="A5885" s="10">
        <v>46192</v>
      </c>
      <c r="B5885" t="s">
        <v>201</v>
      </c>
      <c r="C5885" s="135" t="s">
        <v>64</v>
      </c>
      <c r="D5885">
        <v>11</v>
      </c>
      <c r="E5885">
        <v>0</v>
      </c>
      <c r="I5885">
        <v>9</v>
      </c>
      <c r="K5885">
        <v>2</v>
      </c>
      <c r="L5885" t="s">
        <v>5545</v>
      </c>
      <c r="M5885" t="s">
        <v>6009</v>
      </c>
    </row>
    <row r="5886" spans="1:13" ht="15" customHeight="1">
      <c r="A5886" s="10">
        <v>46192</v>
      </c>
      <c r="B5886" t="s">
        <v>201</v>
      </c>
      <c r="C5886" t="s">
        <v>66</v>
      </c>
      <c r="D5886">
        <v>4</v>
      </c>
      <c r="E5886">
        <v>0</v>
      </c>
      <c r="I5886">
        <v>4</v>
      </c>
      <c r="M5886" t="s">
        <v>6010</v>
      </c>
    </row>
    <row r="5887" spans="1:13" ht="15" customHeight="1">
      <c r="A5887" s="10">
        <v>46192</v>
      </c>
      <c r="B5887" t="s">
        <v>201</v>
      </c>
      <c r="C5887" t="s">
        <v>67</v>
      </c>
      <c r="D5887">
        <v>3</v>
      </c>
      <c r="E5887">
        <v>0</v>
      </c>
      <c r="I5887">
        <v>3</v>
      </c>
      <c r="M5887" t="s">
        <v>6011</v>
      </c>
    </row>
    <row r="5888" spans="1:13" ht="15" customHeight="1">
      <c r="A5888" s="10">
        <v>46192</v>
      </c>
      <c r="B5888" t="s">
        <v>201</v>
      </c>
      <c r="C5888" t="s">
        <v>68</v>
      </c>
      <c r="D5888">
        <v>5</v>
      </c>
      <c r="E5888">
        <v>0</v>
      </c>
      <c r="H5888">
        <v>2</v>
      </c>
      <c r="I5888">
        <v>3</v>
      </c>
      <c r="M5888" t="s">
        <v>6012</v>
      </c>
    </row>
    <row r="5889" spans="1:13" ht="15" customHeight="1">
      <c r="A5889" s="10">
        <v>46192</v>
      </c>
      <c r="B5889" t="s">
        <v>201</v>
      </c>
      <c r="C5889" t="s">
        <v>71</v>
      </c>
      <c r="D5889">
        <v>2</v>
      </c>
      <c r="E5889">
        <v>379</v>
      </c>
      <c r="I5889">
        <v>2</v>
      </c>
      <c r="J5889">
        <v>241</v>
      </c>
      <c r="M5889" t="s">
        <v>6013</v>
      </c>
    </row>
    <row r="5890" spans="1:13" ht="15" customHeight="1">
      <c r="A5890" s="10">
        <v>46192</v>
      </c>
      <c r="B5890" t="s">
        <v>201</v>
      </c>
      <c r="C5890" t="s">
        <v>73</v>
      </c>
      <c r="D5890">
        <v>1</v>
      </c>
      <c r="E5890">
        <v>506</v>
      </c>
      <c r="I5890">
        <v>1</v>
      </c>
      <c r="J5890">
        <v>485</v>
      </c>
      <c r="M5890" t="s">
        <v>6014</v>
      </c>
    </row>
    <row r="5891" spans="1:13" ht="15" customHeight="1">
      <c r="A5891" s="10">
        <v>46192</v>
      </c>
      <c r="B5891" t="s">
        <v>201</v>
      </c>
      <c r="C5891" t="s">
        <v>75</v>
      </c>
      <c r="D5891">
        <v>1</v>
      </c>
      <c r="E5891">
        <v>146</v>
      </c>
      <c r="I5891">
        <v>1</v>
      </c>
      <c r="J5891">
        <v>122</v>
      </c>
      <c r="M5891" t="s">
        <v>6015</v>
      </c>
    </row>
    <row r="5892" spans="1:13" ht="15" customHeight="1">
      <c r="A5892" s="10">
        <v>46192</v>
      </c>
      <c r="B5892" t="s">
        <v>201</v>
      </c>
      <c r="C5892" t="s">
        <v>77</v>
      </c>
      <c r="D5892">
        <v>1</v>
      </c>
      <c r="E5892">
        <v>313</v>
      </c>
      <c r="I5892">
        <v>1</v>
      </c>
      <c r="J5892">
        <v>313</v>
      </c>
      <c r="M5892" t="s">
        <v>6016</v>
      </c>
    </row>
    <row r="5893" spans="1:13" ht="15" customHeight="1">
      <c r="A5893" s="10">
        <v>46192</v>
      </c>
      <c r="B5893" t="s">
        <v>201</v>
      </c>
      <c r="C5893" t="s">
        <v>79</v>
      </c>
      <c r="D5893">
        <v>1</v>
      </c>
      <c r="E5893">
        <v>679</v>
      </c>
      <c r="I5893">
        <v>1</v>
      </c>
      <c r="J5893">
        <v>573</v>
      </c>
      <c r="M5893" t="s">
        <v>6017</v>
      </c>
    </row>
    <row r="5894" spans="1:13" ht="15" customHeight="1">
      <c r="A5894" s="10">
        <v>46192</v>
      </c>
      <c r="B5894" t="s">
        <v>201</v>
      </c>
      <c r="C5894" t="s">
        <v>81</v>
      </c>
      <c r="D5894">
        <v>1</v>
      </c>
      <c r="E5894">
        <v>379</v>
      </c>
      <c r="I5894">
        <v>1</v>
      </c>
      <c r="J5894">
        <v>363</v>
      </c>
      <c r="M5894" t="s">
        <v>6018</v>
      </c>
    </row>
    <row r="5895" spans="1:13" ht="15" customHeight="1">
      <c r="A5895" s="10">
        <v>46192</v>
      </c>
      <c r="B5895" t="s">
        <v>201</v>
      </c>
      <c r="C5895" t="s">
        <v>83</v>
      </c>
      <c r="D5895">
        <v>1</v>
      </c>
      <c r="E5895">
        <v>60</v>
      </c>
      <c r="I5895">
        <v>1</v>
      </c>
      <c r="J5895">
        <v>44</v>
      </c>
      <c r="M5895" t="s">
        <v>6019</v>
      </c>
    </row>
    <row r="5896" spans="1:13" ht="15" customHeight="1">
      <c r="A5896" s="10">
        <v>46192</v>
      </c>
      <c r="B5896" t="s">
        <v>201</v>
      </c>
      <c r="C5896" t="s">
        <v>84</v>
      </c>
      <c r="D5896">
        <v>1</v>
      </c>
      <c r="E5896">
        <v>329</v>
      </c>
      <c r="I5896">
        <v>1</v>
      </c>
      <c r="J5896">
        <v>312</v>
      </c>
      <c r="M5896" t="s">
        <v>6020</v>
      </c>
    </row>
    <row r="5897" spans="1:13" ht="15" customHeight="1">
      <c r="A5897" s="10">
        <v>46192</v>
      </c>
      <c r="B5897" t="s">
        <v>201</v>
      </c>
      <c r="C5897" t="s">
        <v>85</v>
      </c>
      <c r="D5897">
        <v>0</v>
      </c>
      <c r="E5897">
        <v>200</v>
      </c>
      <c r="I5897">
        <v>0</v>
      </c>
      <c r="J5897">
        <v>200</v>
      </c>
      <c r="M5897" t="s">
        <v>6021</v>
      </c>
    </row>
    <row r="5898" spans="1:13" ht="15" customHeight="1">
      <c r="A5898" s="10">
        <v>46192</v>
      </c>
      <c r="B5898" t="s">
        <v>201</v>
      </c>
      <c r="C5898" t="s">
        <v>87</v>
      </c>
      <c r="D5898">
        <v>2</v>
      </c>
      <c r="E5898">
        <v>188</v>
      </c>
      <c r="I5898">
        <v>2</v>
      </c>
      <c r="J5898">
        <v>182</v>
      </c>
      <c r="M5898" t="s">
        <v>6022</v>
      </c>
    </row>
    <row r="5899" spans="1:13" ht="15" customHeight="1">
      <c r="A5899" s="10">
        <v>46192</v>
      </c>
      <c r="B5899" t="s">
        <v>201</v>
      </c>
      <c r="C5899" t="s">
        <v>88</v>
      </c>
      <c r="D5899">
        <v>2</v>
      </c>
      <c r="E5899">
        <v>290</v>
      </c>
      <c r="I5899">
        <v>2</v>
      </c>
      <c r="J5899">
        <v>288</v>
      </c>
      <c r="M5899" t="s">
        <v>6023</v>
      </c>
    </row>
    <row r="5900" spans="1:13" ht="15" customHeight="1">
      <c r="A5900" s="10">
        <v>46192</v>
      </c>
      <c r="B5900" t="s">
        <v>201</v>
      </c>
      <c r="C5900" t="s">
        <v>89</v>
      </c>
      <c r="D5900">
        <v>1</v>
      </c>
      <c r="E5900">
        <v>299</v>
      </c>
      <c r="I5900">
        <v>1</v>
      </c>
      <c r="J5900">
        <v>290</v>
      </c>
      <c r="M5900" t="s">
        <v>6024</v>
      </c>
    </row>
    <row r="5901" spans="1:13" ht="15" customHeight="1">
      <c r="A5901" s="10">
        <v>46192</v>
      </c>
      <c r="B5901" t="s">
        <v>201</v>
      </c>
      <c r="C5901" t="s">
        <v>90</v>
      </c>
      <c r="D5901">
        <v>1</v>
      </c>
      <c r="E5901">
        <v>483</v>
      </c>
      <c r="I5901">
        <v>1</v>
      </c>
      <c r="J5901">
        <v>457</v>
      </c>
      <c r="M5901" t="s">
        <v>6025</v>
      </c>
    </row>
    <row r="5902" spans="1:13" ht="15" customHeight="1">
      <c r="A5902" s="10">
        <v>46192</v>
      </c>
      <c r="B5902" t="s">
        <v>201</v>
      </c>
      <c r="C5902" t="s">
        <v>92</v>
      </c>
      <c r="D5902">
        <v>1</v>
      </c>
      <c r="E5902">
        <v>489</v>
      </c>
      <c r="I5902">
        <v>1</v>
      </c>
      <c r="J5902">
        <v>473</v>
      </c>
      <c r="M5902" t="s">
        <v>6026</v>
      </c>
    </row>
    <row r="5903" spans="1:13" ht="15" customHeight="1">
      <c r="A5903" s="10">
        <v>46192</v>
      </c>
      <c r="B5903" t="s">
        <v>201</v>
      </c>
      <c r="C5903" t="s">
        <v>94</v>
      </c>
      <c r="D5903">
        <v>3</v>
      </c>
      <c r="E5903">
        <v>562</v>
      </c>
      <c r="I5903">
        <v>3</v>
      </c>
      <c r="J5903">
        <v>223</v>
      </c>
      <c r="M5903" t="s">
        <v>6027</v>
      </c>
    </row>
    <row r="5904" spans="1:13" ht="15" customHeight="1">
      <c r="A5904" s="10">
        <v>46192</v>
      </c>
      <c r="B5904" t="s">
        <v>201</v>
      </c>
      <c r="C5904" t="s">
        <v>96</v>
      </c>
      <c r="D5904">
        <v>0</v>
      </c>
      <c r="E5904">
        <v>0</v>
      </c>
      <c r="I5904">
        <v>0</v>
      </c>
      <c r="J5904">
        <v>0</v>
      </c>
      <c r="M5904" t="s">
        <v>6028</v>
      </c>
    </row>
    <row r="5905" spans="1:13" ht="15" customHeight="1">
      <c r="A5905" s="10">
        <v>46192</v>
      </c>
      <c r="B5905" t="s">
        <v>201</v>
      </c>
      <c r="C5905" t="s">
        <v>98</v>
      </c>
      <c r="D5905">
        <v>0</v>
      </c>
      <c r="E5905">
        <v>0</v>
      </c>
      <c r="I5905">
        <v>3</v>
      </c>
      <c r="J5905">
        <v>311</v>
      </c>
      <c r="M5905" t="s">
        <v>6029</v>
      </c>
    </row>
    <row r="5906" spans="1:13" ht="15" customHeight="1">
      <c r="A5906" s="10">
        <v>46192</v>
      </c>
      <c r="B5906" t="s">
        <v>201</v>
      </c>
      <c r="C5906" t="s">
        <v>203</v>
      </c>
      <c r="D5906">
        <v>3</v>
      </c>
      <c r="E5906">
        <v>523</v>
      </c>
      <c r="I5906">
        <v>0</v>
      </c>
      <c r="J5906">
        <v>0</v>
      </c>
      <c r="M5906" t="s">
        <v>6030</v>
      </c>
    </row>
    <row r="5907" spans="1:13" ht="15" customHeight="1">
      <c r="A5907" s="10">
        <v>46192</v>
      </c>
      <c r="B5907" t="s">
        <v>201</v>
      </c>
      <c r="C5907" t="s">
        <v>100</v>
      </c>
      <c r="D5907">
        <v>0</v>
      </c>
      <c r="E5907">
        <v>0</v>
      </c>
      <c r="I5907">
        <v>0</v>
      </c>
      <c r="J5907">
        <v>0</v>
      </c>
      <c r="M5907" t="s">
        <v>6031</v>
      </c>
    </row>
    <row r="5908" spans="1:13" ht="15" customHeight="1">
      <c r="A5908" s="10">
        <v>46192</v>
      </c>
      <c r="B5908" t="s">
        <v>201</v>
      </c>
      <c r="C5908" t="s">
        <v>101</v>
      </c>
      <c r="D5908">
        <v>1</v>
      </c>
      <c r="E5908">
        <v>190</v>
      </c>
      <c r="I5908">
        <v>0</v>
      </c>
      <c r="J5908">
        <v>611</v>
      </c>
      <c r="M5908" t="s">
        <v>6032</v>
      </c>
    </row>
    <row r="5909" spans="1:13" ht="15" customHeight="1">
      <c r="A5909" s="10">
        <v>46192</v>
      </c>
      <c r="B5909" t="s">
        <v>201</v>
      </c>
      <c r="C5909" t="s">
        <v>103</v>
      </c>
      <c r="D5909">
        <v>0</v>
      </c>
      <c r="E5909">
        <v>12</v>
      </c>
      <c r="I5909">
        <v>0</v>
      </c>
      <c r="J5909">
        <v>10</v>
      </c>
      <c r="M5909" t="s">
        <v>6033</v>
      </c>
    </row>
    <row r="5910" spans="1:13" ht="15" customHeight="1">
      <c r="A5910" s="10">
        <v>46192</v>
      </c>
      <c r="B5910" t="s">
        <v>201</v>
      </c>
      <c r="C5910" t="s">
        <v>106</v>
      </c>
      <c r="D5910">
        <v>2</v>
      </c>
      <c r="E5910">
        <v>973</v>
      </c>
      <c r="I5910">
        <v>1</v>
      </c>
      <c r="J5910">
        <v>892</v>
      </c>
      <c r="M5910" t="s">
        <v>6034</v>
      </c>
    </row>
    <row r="5911" spans="1:13" ht="15" customHeight="1">
      <c r="A5911" s="10">
        <v>46192</v>
      </c>
      <c r="B5911" t="s">
        <v>201</v>
      </c>
      <c r="C5911" t="s">
        <v>108</v>
      </c>
      <c r="D5911">
        <v>1</v>
      </c>
      <c r="E5911">
        <v>1029</v>
      </c>
      <c r="I5911">
        <v>1</v>
      </c>
      <c r="J5911">
        <v>1001</v>
      </c>
      <c r="M5911" t="s">
        <v>6035</v>
      </c>
    </row>
    <row r="5912" spans="1:13" ht="15" customHeight="1">
      <c r="A5912" s="10">
        <v>46192</v>
      </c>
      <c r="B5912" t="s">
        <v>201</v>
      </c>
      <c r="C5912" t="s">
        <v>109</v>
      </c>
      <c r="D5912">
        <v>1</v>
      </c>
      <c r="E5912">
        <v>1195</v>
      </c>
      <c r="I5912">
        <v>1</v>
      </c>
      <c r="J5912">
        <v>880</v>
      </c>
      <c r="M5912" t="s">
        <v>6036</v>
      </c>
    </row>
    <row r="5913" spans="1:13" ht="15" customHeight="1">
      <c r="A5913" s="10">
        <v>46192</v>
      </c>
      <c r="B5913" t="s">
        <v>201</v>
      </c>
      <c r="C5913" t="s">
        <v>112</v>
      </c>
      <c r="D5913">
        <v>1</v>
      </c>
      <c r="E5913">
        <v>24</v>
      </c>
      <c r="I5913">
        <v>1</v>
      </c>
      <c r="J5913">
        <v>24</v>
      </c>
      <c r="M5913" t="s">
        <v>6037</v>
      </c>
    </row>
    <row r="5914" spans="1:13" ht="15" customHeight="1">
      <c r="A5914" s="10">
        <v>46192</v>
      </c>
      <c r="B5914" t="s">
        <v>201</v>
      </c>
      <c r="C5914" t="s">
        <v>114</v>
      </c>
      <c r="D5914">
        <v>2</v>
      </c>
      <c r="E5914">
        <v>30</v>
      </c>
      <c r="I5914">
        <v>2</v>
      </c>
      <c r="J5914">
        <v>22</v>
      </c>
      <c r="M5914" t="s">
        <v>6038</v>
      </c>
    </row>
    <row r="5915" spans="1:13" ht="15" customHeight="1">
      <c r="A5915" s="10">
        <v>46192</v>
      </c>
      <c r="B5915" t="s">
        <v>201</v>
      </c>
      <c r="C5915" t="s">
        <v>115</v>
      </c>
      <c r="D5915">
        <v>1</v>
      </c>
      <c r="E5915">
        <v>36</v>
      </c>
      <c r="I5915">
        <v>1</v>
      </c>
      <c r="J5915">
        <v>31</v>
      </c>
      <c r="M5915" t="s">
        <v>6039</v>
      </c>
    </row>
    <row r="5916" spans="1:13" ht="15" customHeight="1">
      <c r="A5916" s="10">
        <v>46192</v>
      </c>
      <c r="B5916" t="s">
        <v>201</v>
      </c>
      <c r="C5916" t="s">
        <v>116</v>
      </c>
      <c r="D5916">
        <v>2</v>
      </c>
      <c r="E5916">
        <v>15</v>
      </c>
      <c r="I5916">
        <v>2</v>
      </c>
      <c r="J5916">
        <v>3</v>
      </c>
      <c r="M5916" t="s">
        <v>6040</v>
      </c>
    </row>
    <row r="5917" spans="1:13" ht="15" customHeight="1">
      <c r="A5917" s="10">
        <v>46192</v>
      </c>
      <c r="B5917" t="s">
        <v>201</v>
      </c>
      <c r="C5917" t="s">
        <v>119</v>
      </c>
      <c r="D5917">
        <v>2</v>
      </c>
      <c r="E5917">
        <v>0</v>
      </c>
      <c r="I5917">
        <v>2</v>
      </c>
      <c r="M5917" t="s">
        <v>6041</v>
      </c>
    </row>
    <row r="5918" spans="1:13" ht="15" customHeight="1">
      <c r="A5918" s="10">
        <v>46192</v>
      </c>
      <c r="B5918" t="s">
        <v>201</v>
      </c>
      <c r="C5918" t="s">
        <v>120</v>
      </c>
      <c r="D5918">
        <v>2</v>
      </c>
      <c r="E5918">
        <v>0</v>
      </c>
      <c r="I5918">
        <v>2</v>
      </c>
      <c r="M5918" t="s">
        <v>6042</v>
      </c>
    </row>
    <row r="5919" spans="1:13" ht="15" customHeight="1">
      <c r="A5919" s="10">
        <v>46192</v>
      </c>
      <c r="B5919" t="s">
        <v>201</v>
      </c>
      <c r="C5919" t="s">
        <v>121</v>
      </c>
      <c r="D5919">
        <v>2</v>
      </c>
      <c r="E5919">
        <v>0</v>
      </c>
      <c r="I5919">
        <v>2</v>
      </c>
      <c r="M5919" t="s">
        <v>6043</v>
      </c>
    </row>
    <row r="5920" spans="1:13" ht="15" customHeight="1">
      <c r="A5920" s="10">
        <v>46192</v>
      </c>
      <c r="B5920" t="s">
        <v>201</v>
      </c>
      <c r="C5920" t="s">
        <v>123</v>
      </c>
      <c r="D5920">
        <v>1</v>
      </c>
      <c r="E5920">
        <v>0</v>
      </c>
      <c r="I5920">
        <v>1</v>
      </c>
      <c r="M5920" t="s">
        <v>6044</v>
      </c>
    </row>
    <row r="5921" spans="1:13" ht="15" customHeight="1">
      <c r="A5921" s="10">
        <v>46192</v>
      </c>
      <c r="B5921" t="s">
        <v>201</v>
      </c>
      <c r="C5921" t="s">
        <v>124</v>
      </c>
      <c r="D5921">
        <v>1</v>
      </c>
      <c r="E5921">
        <v>0</v>
      </c>
      <c r="I5921">
        <v>1</v>
      </c>
      <c r="M5921" t="s">
        <v>6045</v>
      </c>
    </row>
    <row r="5922" spans="1:13" ht="15" customHeight="1">
      <c r="A5922" s="10">
        <v>46192</v>
      </c>
      <c r="B5922" t="s">
        <v>201</v>
      </c>
      <c r="C5922" t="s">
        <v>125</v>
      </c>
      <c r="D5922">
        <v>2</v>
      </c>
      <c r="E5922">
        <v>0</v>
      </c>
      <c r="I5922">
        <v>2</v>
      </c>
      <c r="M5922" t="s">
        <v>6046</v>
      </c>
    </row>
    <row r="5923" spans="1:13" ht="15" customHeight="1">
      <c r="A5923" s="10">
        <v>46192</v>
      </c>
      <c r="B5923" t="s">
        <v>201</v>
      </c>
      <c r="C5923" t="s">
        <v>126</v>
      </c>
      <c r="D5923">
        <v>2</v>
      </c>
      <c r="E5923">
        <v>0</v>
      </c>
      <c r="I5923">
        <v>2</v>
      </c>
      <c r="M5923" t="s">
        <v>6047</v>
      </c>
    </row>
    <row r="5924" spans="1:13" ht="15" customHeight="1">
      <c r="A5924" s="10">
        <v>46192</v>
      </c>
      <c r="B5924" t="s">
        <v>201</v>
      </c>
      <c r="C5924" t="s">
        <v>128</v>
      </c>
      <c r="D5924">
        <v>2</v>
      </c>
      <c r="E5924">
        <v>0</v>
      </c>
      <c r="I5924">
        <v>2</v>
      </c>
      <c r="M5924" t="s">
        <v>6048</v>
      </c>
    </row>
    <row r="5925" spans="1:13" ht="15" customHeight="1">
      <c r="A5925" s="10">
        <v>46192</v>
      </c>
      <c r="B5925" t="s">
        <v>201</v>
      </c>
      <c r="C5925" t="s">
        <v>130</v>
      </c>
      <c r="D5925">
        <v>3</v>
      </c>
      <c r="E5925">
        <v>0</v>
      </c>
      <c r="I5925">
        <v>2</v>
      </c>
      <c r="M5925" t="s">
        <v>6049</v>
      </c>
    </row>
    <row r="5926" spans="1:13" ht="15" customHeight="1">
      <c r="A5926" s="10">
        <v>46192</v>
      </c>
      <c r="B5926" t="s">
        <v>201</v>
      </c>
      <c r="C5926" t="s">
        <v>285</v>
      </c>
      <c r="D5926">
        <v>2</v>
      </c>
      <c r="E5926">
        <v>0</v>
      </c>
      <c r="I5926">
        <v>2</v>
      </c>
      <c r="M5926" t="s">
        <v>6050</v>
      </c>
    </row>
    <row r="5927" spans="1:13" ht="15" customHeight="1">
      <c r="A5927" s="10">
        <v>46192</v>
      </c>
      <c r="B5927" t="s">
        <v>201</v>
      </c>
      <c r="C5927" t="s">
        <v>287</v>
      </c>
      <c r="D5927">
        <v>5</v>
      </c>
      <c r="E5927">
        <v>0</v>
      </c>
      <c r="I5927">
        <v>5</v>
      </c>
      <c r="M5927" t="s">
        <v>6051</v>
      </c>
    </row>
    <row r="5928" spans="1:13" ht="15" customHeight="1">
      <c r="A5928" s="10">
        <v>46192</v>
      </c>
      <c r="B5928" t="s">
        <v>201</v>
      </c>
      <c r="C5928" t="s">
        <v>289</v>
      </c>
      <c r="D5928">
        <v>2</v>
      </c>
      <c r="E5928">
        <v>0</v>
      </c>
      <c r="I5928">
        <v>2</v>
      </c>
      <c r="M5928" t="s">
        <v>6052</v>
      </c>
    </row>
    <row r="5929" spans="1:13" ht="15" customHeight="1">
      <c r="A5929" s="10">
        <v>46192</v>
      </c>
      <c r="B5929" t="s">
        <v>201</v>
      </c>
      <c r="C5929" t="s">
        <v>291</v>
      </c>
      <c r="D5929">
        <v>2</v>
      </c>
      <c r="E5929">
        <v>0</v>
      </c>
      <c r="I5929">
        <v>2</v>
      </c>
      <c r="M5929" t="s">
        <v>6053</v>
      </c>
    </row>
    <row r="5930" spans="1:13" ht="15" customHeight="1">
      <c r="A5930" s="10">
        <v>46192</v>
      </c>
      <c r="B5930" t="s">
        <v>201</v>
      </c>
      <c r="C5930" t="s">
        <v>293</v>
      </c>
      <c r="D5930">
        <v>3</v>
      </c>
      <c r="E5930">
        <v>0</v>
      </c>
      <c r="I5930">
        <v>1</v>
      </c>
      <c r="M5930" t="s">
        <v>6054</v>
      </c>
    </row>
    <row r="5931" spans="1:13" ht="15" customHeight="1">
      <c r="A5931" s="10">
        <v>46192</v>
      </c>
      <c r="B5931" t="s">
        <v>201</v>
      </c>
      <c r="C5931" s="135" t="s">
        <v>138</v>
      </c>
      <c r="D5931">
        <v>0</v>
      </c>
      <c r="E5931">
        <v>51</v>
      </c>
      <c r="I5931">
        <v>0</v>
      </c>
      <c r="J5931">
        <v>49</v>
      </c>
      <c r="M5931" t="s">
        <v>6055</v>
      </c>
    </row>
    <row r="5932" spans="1:13" ht="15" customHeight="1">
      <c r="A5932" s="10">
        <v>46192</v>
      </c>
      <c r="B5932" t="s">
        <v>201</v>
      </c>
      <c r="C5932" s="135" t="s">
        <v>139</v>
      </c>
      <c r="D5932">
        <v>0</v>
      </c>
      <c r="E5932">
        <v>42</v>
      </c>
      <c r="I5932">
        <v>0</v>
      </c>
      <c r="J5932">
        <v>35</v>
      </c>
      <c r="M5932" t="s">
        <v>6056</v>
      </c>
    </row>
    <row r="5933" spans="1:13" ht="15" customHeight="1">
      <c r="A5933" s="10">
        <v>46192</v>
      </c>
      <c r="B5933" t="s">
        <v>201</v>
      </c>
      <c r="C5933" s="135" t="s">
        <v>140</v>
      </c>
      <c r="D5933">
        <v>0</v>
      </c>
      <c r="E5933">
        <v>31</v>
      </c>
      <c r="I5933">
        <v>0</v>
      </c>
      <c r="J5933">
        <v>31</v>
      </c>
      <c r="M5933" t="s">
        <v>6057</v>
      </c>
    </row>
    <row r="5934" spans="1:13" ht="15" customHeight="1">
      <c r="A5934" s="10">
        <v>46192</v>
      </c>
      <c r="B5934" t="s">
        <v>201</v>
      </c>
      <c r="C5934" s="135" t="s">
        <v>141</v>
      </c>
      <c r="D5934">
        <v>0</v>
      </c>
      <c r="E5934">
        <v>1</v>
      </c>
      <c r="I5934">
        <v>0</v>
      </c>
      <c r="J5934">
        <v>1</v>
      </c>
      <c r="M5934" t="s">
        <v>6058</v>
      </c>
    </row>
    <row r="5935" spans="1:13" ht="15" customHeight="1">
      <c r="A5935" s="10">
        <v>46192</v>
      </c>
      <c r="B5935" t="s">
        <v>201</v>
      </c>
      <c r="C5935" s="135" t="s">
        <v>143</v>
      </c>
      <c r="D5935">
        <v>0</v>
      </c>
      <c r="E5935">
        <v>37</v>
      </c>
      <c r="I5935">
        <v>0</v>
      </c>
      <c r="J5935">
        <v>29</v>
      </c>
      <c r="M5935" t="s">
        <v>6059</v>
      </c>
    </row>
    <row r="5936" spans="1:13" ht="15" customHeight="1">
      <c r="A5936" s="10">
        <v>46192</v>
      </c>
      <c r="B5936" t="s">
        <v>201</v>
      </c>
      <c r="C5936" s="135" t="s">
        <v>145</v>
      </c>
      <c r="D5936">
        <v>0</v>
      </c>
      <c r="E5936">
        <v>31</v>
      </c>
      <c r="I5936">
        <v>0</v>
      </c>
      <c r="J5936">
        <v>28</v>
      </c>
      <c r="M5936" t="s">
        <v>6060</v>
      </c>
    </row>
    <row r="5937" spans="1:13" ht="15" customHeight="1">
      <c r="A5937" s="10">
        <v>46192</v>
      </c>
      <c r="B5937" t="s">
        <v>201</v>
      </c>
      <c r="C5937" s="135" t="s">
        <v>147</v>
      </c>
      <c r="D5937">
        <v>0</v>
      </c>
      <c r="E5937">
        <v>30</v>
      </c>
      <c r="I5937">
        <v>0</v>
      </c>
      <c r="J5937">
        <v>29</v>
      </c>
      <c r="M5937" t="s">
        <v>6061</v>
      </c>
    </row>
    <row r="5938" spans="1:13" ht="15" customHeight="1">
      <c r="A5938" s="10">
        <v>46192</v>
      </c>
      <c r="B5938" t="s">
        <v>201</v>
      </c>
      <c r="C5938" t="s">
        <v>302</v>
      </c>
      <c r="D5938">
        <v>1</v>
      </c>
      <c r="E5938">
        <v>2</v>
      </c>
      <c r="I5938">
        <v>1</v>
      </c>
      <c r="M5938" t="s">
        <v>6062</v>
      </c>
    </row>
    <row r="5939" spans="1:13" ht="15" customHeight="1">
      <c r="A5939" s="10">
        <v>46192</v>
      </c>
      <c r="B5939" t="s">
        <v>201</v>
      </c>
      <c r="C5939" t="s">
        <v>150</v>
      </c>
      <c r="D5939">
        <v>1</v>
      </c>
      <c r="E5939">
        <v>0</v>
      </c>
      <c r="I5939">
        <v>1</v>
      </c>
      <c r="M5939" t="s">
        <v>6063</v>
      </c>
    </row>
    <row r="5940" spans="1:13" ht="15" customHeight="1">
      <c r="A5940" s="10">
        <v>46192</v>
      </c>
      <c r="B5940" t="s">
        <v>201</v>
      </c>
      <c r="C5940" t="s">
        <v>151</v>
      </c>
      <c r="D5940">
        <v>1</v>
      </c>
      <c r="E5940">
        <v>0</v>
      </c>
      <c r="I5940">
        <v>1</v>
      </c>
      <c r="M5940" t="s">
        <v>6064</v>
      </c>
    </row>
    <row r="5941" spans="1:13" ht="15" customHeight="1">
      <c r="A5941" s="10">
        <v>46192</v>
      </c>
      <c r="B5941" t="s">
        <v>201</v>
      </c>
      <c r="C5941" t="s">
        <v>152</v>
      </c>
      <c r="D5941">
        <v>2</v>
      </c>
      <c r="E5941">
        <v>0</v>
      </c>
      <c r="I5941">
        <v>2</v>
      </c>
      <c r="M5941" t="s">
        <v>6065</v>
      </c>
    </row>
    <row r="5942" spans="1:13" ht="15" customHeight="1">
      <c r="A5942" s="10">
        <v>46192</v>
      </c>
      <c r="B5942" t="s">
        <v>201</v>
      </c>
      <c r="C5942" t="s">
        <v>153</v>
      </c>
      <c r="D5942">
        <v>3</v>
      </c>
      <c r="E5942">
        <v>0</v>
      </c>
      <c r="I5942">
        <v>3</v>
      </c>
      <c r="M5942" t="s">
        <v>6066</v>
      </c>
    </row>
    <row r="5943" spans="1:13" ht="15" customHeight="1">
      <c r="A5943" s="10">
        <v>46192</v>
      </c>
      <c r="B5943" t="s">
        <v>201</v>
      </c>
      <c r="C5943" t="s">
        <v>308</v>
      </c>
      <c r="D5943">
        <v>0</v>
      </c>
      <c r="E5943">
        <v>3</v>
      </c>
      <c r="I5943">
        <v>0</v>
      </c>
      <c r="J5943">
        <v>3</v>
      </c>
      <c r="M5943" t="s">
        <v>6067</v>
      </c>
    </row>
    <row r="5944" spans="1:13" ht="15" customHeight="1">
      <c r="A5944" s="10">
        <v>46192</v>
      </c>
      <c r="B5944" t="s">
        <v>201</v>
      </c>
      <c r="C5944" t="s">
        <v>310</v>
      </c>
      <c r="D5944">
        <v>0</v>
      </c>
      <c r="E5944">
        <v>2</v>
      </c>
      <c r="I5944">
        <v>0</v>
      </c>
      <c r="J5944">
        <v>2</v>
      </c>
      <c r="M5944" t="s">
        <v>6068</v>
      </c>
    </row>
    <row r="5945" spans="1:13" ht="15" customHeight="1">
      <c r="A5945" s="10">
        <v>46192</v>
      </c>
      <c r="B5945" t="s">
        <v>201</v>
      </c>
      <c r="C5945" t="s">
        <v>312</v>
      </c>
      <c r="D5945">
        <v>0</v>
      </c>
      <c r="E5945">
        <v>4</v>
      </c>
      <c r="I5945">
        <v>0</v>
      </c>
      <c r="J5945">
        <v>4</v>
      </c>
      <c r="M5945" t="s">
        <v>6069</v>
      </c>
    </row>
    <row r="5946" spans="1:13" ht="15" customHeight="1">
      <c r="A5946" s="10">
        <v>46192</v>
      </c>
      <c r="B5946" t="s">
        <v>201</v>
      </c>
      <c r="C5946" t="s">
        <v>314</v>
      </c>
      <c r="D5946">
        <v>1</v>
      </c>
      <c r="E5946">
        <v>0</v>
      </c>
      <c r="I5946">
        <v>1</v>
      </c>
      <c r="M5946" t="s">
        <v>6070</v>
      </c>
    </row>
    <row r="5947" spans="1:13" ht="15" customHeight="1">
      <c r="A5947" s="10">
        <v>46192</v>
      </c>
      <c r="B5947" t="s">
        <v>201</v>
      </c>
      <c r="C5947" t="s">
        <v>316</v>
      </c>
      <c r="D5947">
        <v>1</v>
      </c>
      <c r="E5947">
        <v>0</v>
      </c>
      <c r="I5947">
        <v>1</v>
      </c>
      <c r="M5947" t="s">
        <v>6071</v>
      </c>
    </row>
    <row r="5948" spans="1:13" ht="15" customHeight="1">
      <c r="A5948" s="10">
        <v>46192</v>
      </c>
      <c r="B5948" t="s">
        <v>201</v>
      </c>
      <c r="C5948" t="s">
        <v>318</v>
      </c>
      <c r="D5948">
        <v>4</v>
      </c>
      <c r="E5948">
        <v>0</v>
      </c>
      <c r="I5948">
        <v>4</v>
      </c>
      <c r="M5948" t="s">
        <v>6072</v>
      </c>
    </row>
    <row r="5949" spans="1:13" ht="15" customHeight="1">
      <c r="A5949" s="10">
        <v>46192</v>
      </c>
      <c r="B5949" t="s">
        <v>201</v>
      </c>
      <c r="C5949" t="s">
        <v>320</v>
      </c>
      <c r="D5949">
        <v>2</v>
      </c>
      <c r="E5949">
        <v>0</v>
      </c>
      <c r="I5949">
        <v>2</v>
      </c>
      <c r="M5949" t="s">
        <v>6073</v>
      </c>
    </row>
    <row r="5950" spans="1:13" ht="15" customHeight="1">
      <c r="A5950" s="10">
        <v>46192</v>
      </c>
      <c r="B5950" t="s">
        <v>201</v>
      </c>
      <c r="C5950" t="s">
        <v>322</v>
      </c>
      <c r="D5950">
        <v>1</v>
      </c>
      <c r="E5950">
        <v>0</v>
      </c>
      <c r="I5950">
        <v>1</v>
      </c>
      <c r="M5950" t="s">
        <v>6074</v>
      </c>
    </row>
    <row r="5951" spans="1:13" ht="15" customHeight="1">
      <c r="A5951" s="10">
        <v>46192</v>
      </c>
      <c r="B5951" t="s">
        <v>201</v>
      </c>
      <c r="C5951" s="135" t="s">
        <v>168</v>
      </c>
      <c r="D5951">
        <v>1</v>
      </c>
      <c r="E5951">
        <v>0</v>
      </c>
      <c r="I5951">
        <v>1</v>
      </c>
      <c r="M5951" t="s">
        <v>6075</v>
      </c>
    </row>
    <row r="5952" spans="1:13" ht="15" customHeight="1">
      <c r="A5952" s="10">
        <v>46192</v>
      </c>
      <c r="B5952" t="s">
        <v>201</v>
      </c>
      <c r="C5952" s="135" t="s">
        <v>170</v>
      </c>
      <c r="D5952">
        <v>1</v>
      </c>
      <c r="E5952">
        <v>0</v>
      </c>
      <c r="I5952">
        <v>1</v>
      </c>
      <c r="M5952" t="s">
        <v>6076</v>
      </c>
    </row>
    <row r="5953" spans="1:13" ht="15" customHeight="1">
      <c r="A5953" s="10">
        <v>46192</v>
      </c>
      <c r="B5953" t="s">
        <v>201</v>
      </c>
      <c r="C5953" s="135" t="s">
        <v>171</v>
      </c>
      <c r="D5953">
        <v>3</v>
      </c>
      <c r="E5953">
        <v>0</v>
      </c>
      <c r="I5953">
        <v>3</v>
      </c>
      <c r="M5953" t="s">
        <v>6077</v>
      </c>
    </row>
    <row r="5954" spans="1:13" ht="15" customHeight="1">
      <c r="A5954" s="10">
        <v>46192</v>
      </c>
      <c r="B5954" t="s">
        <v>201</v>
      </c>
      <c r="C5954" s="135" t="s">
        <v>172</v>
      </c>
      <c r="D5954">
        <v>1</v>
      </c>
      <c r="E5954">
        <v>0</v>
      </c>
      <c r="I5954">
        <v>1</v>
      </c>
      <c r="M5954" t="s">
        <v>6078</v>
      </c>
    </row>
    <row r="5955" spans="1:13" ht="15" customHeight="1">
      <c r="A5955" s="10">
        <v>46192</v>
      </c>
      <c r="B5955" t="s">
        <v>201</v>
      </c>
      <c r="C5955" s="135" t="s">
        <v>173</v>
      </c>
      <c r="D5955">
        <v>0</v>
      </c>
      <c r="E5955">
        <v>0</v>
      </c>
      <c r="I5955">
        <v>0</v>
      </c>
      <c r="M5955" t="s">
        <v>6079</v>
      </c>
    </row>
    <row r="5956" spans="1:13" ht="15" customHeight="1">
      <c r="A5956" s="10">
        <v>46192</v>
      </c>
      <c r="B5956" t="s">
        <v>201</v>
      </c>
      <c r="C5956" t="s">
        <v>176</v>
      </c>
      <c r="D5956">
        <v>0</v>
      </c>
      <c r="E5956">
        <v>21</v>
      </c>
      <c r="I5956">
        <v>0</v>
      </c>
      <c r="J5956">
        <v>21</v>
      </c>
      <c r="M5956" t="s">
        <v>6080</v>
      </c>
    </row>
    <row r="5957" spans="1:13" ht="15" customHeight="1">
      <c r="A5957" s="10">
        <v>46192</v>
      </c>
      <c r="B5957" t="s">
        <v>201</v>
      </c>
      <c r="C5957" t="s">
        <v>178</v>
      </c>
      <c r="D5957">
        <v>0</v>
      </c>
      <c r="E5957">
        <v>25</v>
      </c>
      <c r="I5957">
        <v>0</v>
      </c>
      <c r="J5957">
        <v>25</v>
      </c>
      <c r="M5957" t="s">
        <v>6081</v>
      </c>
    </row>
    <row r="5958" spans="1:13" ht="15" customHeight="1">
      <c r="A5958" s="10">
        <v>46192</v>
      </c>
      <c r="B5958" t="s">
        <v>201</v>
      </c>
      <c r="C5958" t="s">
        <v>179</v>
      </c>
      <c r="D5958">
        <v>0</v>
      </c>
      <c r="E5958">
        <v>17</v>
      </c>
      <c r="I5958">
        <v>0</v>
      </c>
      <c r="J5958">
        <v>17</v>
      </c>
      <c r="M5958" t="s">
        <v>6082</v>
      </c>
    </row>
    <row r="5959" spans="1:13" ht="15" customHeight="1">
      <c r="A5959" s="10">
        <v>46192</v>
      </c>
      <c r="B5959" t="s">
        <v>201</v>
      </c>
      <c r="C5959" t="s">
        <v>180</v>
      </c>
      <c r="D5959">
        <v>0</v>
      </c>
      <c r="E5959">
        <v>15</v>
      </c>
      <c r="I5959">
        <v>0</v>
      </c>
      <c r="J5959">
        <v>15</v>
      </c>
      <c r="M5959" t="s">
        <v>6083</v>
      </c>
    </row>
    <row r="5960" spans="1:13" ht="15" customHeight="1">
      <c r="A5960" s="10">
        <v>46192</v>
      </c>
      <c r="B5960" t="s">
        <v>201</v>
      </c>
      <c r="C5960" s="135" t="s">
        <v>182</v>
      </c>
      <c r="D5960">
        <v>1</v>
      </c>
      <c r="E5960">
        <v>150</v>
      </c>
      <c r="I5960">
        <v>1</v>
      </c>
      <c r="J5960">
        <v>150</v>
      </c>
      <c r="M5960" t="s">
        <v>6084</v>
      </c>
    </row>
    <row r="5961" spans="1:13" ht="15" customHeight="1">
      <c r="A5961" s="10">
        <v>46192</v>
      </c>
      <c r="B5961" t="s">
        <v>201</v>
      </c>
      <c r="C5961" s="135" t="s">
        <v>184</v>
      </c>
      <c r="D5961">
        <v>0</v>
      </c>
      <c r="E5961">
        <v>99</v>
      </c>
      <c r="I5961">
        <v>0</v>
      </c>
      <c r="J5961">
        <v>99</v>
      </c>
      <c r="M5961" t="s">
        <v>6085</v>
      </c>
    </row>
    <row r="5962" spans="1:13" ht="15" customHeight="1">
      <c r="A5962" s="10">
        <v>46192</v>
      </c>
      <c r="B5962" t="s">
        <v>201</v>
      </c>
      <c r="C5962" s="135" t="s">
        <v>185</v>
      </c>
      <c r="D5962">
        <v>1</v>
      </c>
      <c r="E5962">
        <v>30</v>
      </c>
      <c r="I5962">
        <v>1</v>
      </c>
      <c r="J5962">
        <v>30</v>
      </c>
      <c r="M5962" t="s">
        <v>6086</v>
      </c>
    </row>
    <row r="5963" spans="1:13" ht="15" customHeight="1">
      <c r="A5963" s="10">
        <v>46192</v>
      </c>
      <c r="B5963" t="s">
        <v>201</v>
      </c>
      <c r="C5963" s="135" t="s">
        <v>186</v>
      </c>
      <c r="D5963">
        <v>1</v>
      </c>
      <c r="E5963">
        <v>580</v>
      </c>
      <c r="I5963">
        <v>1</v>
      </c>
      <c r="J5963">
        <v>580</v>
      </c>
      <c r="M5963" t="s">
        <v>6087</v>
      </c>
    </row>
    <row r="5964" spans="1:13" ht="15" customHeight="1">
      <c r="A5964" s="10">
        <v>46192</v>
      </c>
      <c r="B5964" t="s">
        <v>201</v>
      </c>
      <c r="C5964" t="s">
        <v>337</v>
      </c>
      <c r="D5964">
        <v>2</v>
      </c>
      <c r="E5964">
        <v>124</v>
      </c>
      <c r="I5964">
        <v>1</v>
      </c>
      <c r="J5964">
        <v>417</v>
      </c>
      <c r="M5964" t="s">
        <v>6088</v>
      </c>
    </row>
    <row r="5965" spans="1:13" ht="15" customHeight="1">
      <c r="A5965" s="10">
        <v>46192</v>
      </c>
      <c r="B5965" t="s">
        <v>201</v>
      </c>
      <c r="C5965" t="s">
        <v>339</v>
      </c>
      <c r="D5965">
        <v>0</v>
      </c>
      <c r="E5965">
        <v>0</v>
      </c>
      <c r="I5965">
        <v>0</v>
      </c>
      <c r="J5965">
        <v>0</v>
      </c>
      <c r="M5965" t="s">
        <v>6089</v>
      </c>
    </row>
    <row r="5966" spans="1:13" ht="15" customHeight="1">
      <c r="A5966" s="10">
        <v>46192</v>
      </c>
      <c r="B5966" t="s">
        <v>201</v>
      </c>
      <c r="C5966" s="135" t="s">
        <v>191</v>
      </c>
      <c r="D5966">
        <v>0</v>
      </c>
      <c r="E5966">
        <v>612</v>
      </c>
      <c r="I5966">
        <v>0</v>
      </c>
      <c r="J5966">
        <v>612</v>
      </c>
      <c r="M5966" t="s">
        <v>6090</v>
      </c>
    </row>
    <row r="5967" spans="1:13" ht="15" customHeight="1">
      <c r="A5967" s="10">
        <v>46192</v>
      </c>
      <c r="B5967" t="s">
        <v>201</v>
      </c>
      <c r="C5967" s="135" t="s">
        <v>193</v>
      </c>
      <c r="D5967">
        <v>1</v>
      </c>
      <c r="E5967">
        <v>237</v>
      </c>
      <c r="I5967">
        <v>1</v>
      </c>
      <c r="J5967">
        <v>215</v>
      </c>
      <c r="M5967" t="s">
        <v>6091</v>
      </c>
    </row>
    <row r="5968" spans="1:13" ht="15" customHeight="1">
      <c r="A5968" s="10">
        <v>46192</v>
      </c>
      <c r="B5968" t="s">
        <v>201</v>
      </c>
      <c r="C5968" s="135" t="s">
        <v>194</v>
      </c>
      <c r="D5968">
        <v>1</v>
      </c>
      <c r="E5968">
        <v>24</v>
      </c>
      <c r="I5968">
        <v>1</v>
      </c>
      <c r="J5968">
        <v>21</v>
      </c>
      <c r="M5968" t="s">
        <v>6092</v>
      </c>
    </row>
    <row r="5969" spans="1:13" ht="15" customHeight="1">
      <c r="A5969" s="10">
        <v>46192</v>
      </c>
      <c r="B5969" t="s">
        <v>201</v>
      </c>
      <c r="C5969" s="135" t="s">
        <v>196</v>
      </c>
      <c r="D5969">
        <v>0</v>
      </c>
      <c r="E5969">
        <v>504</v>
      </c>
      <c r="I5969">
        <v>0</v>
      </c>
      <c r="J5969">
        <v>476</v>
      </c>
      <c r="M5969" t="s">
        <v>6093</v>
      </c>
    </row>
    <row r="5970" spans="1:13" ht="15" customHeight="1">
      <c r="A5970" s="10">
        <v>46192</v>
      </c>
      <c r="B5970" t="s">
        <v>201</v>
      </c>
      <c r="C5970" s="135" t="s">
        <v>199</v>
      </c>
      <c r="D5970">
        <v>0</v>
      </c>
      <c r="E5970">
        <v>588</v>
      </c>
      <c r="I5970">
        <v>0</v>
      </c>
      <c r="J5970">
        <v>567</v>
      </c>
      <c r="M5970" t="s">
        <v>6094</v>
      </c>
    </row>
    <row r="5971" spans="1:13" ht="15" customHeight="1">
      <c r="A5971" s="10">
        <v>46192</v>
      </c>
      <c r="B5971" t="s">
        <v>201</v>
      </c>
      <c r="C5971" s="135" t="s">
        <v>200</v>
      </c>
      <c r="D5971">
        <v>0</v>
      </c>
      <c r="E5971">
        <v>901</v>
      </c>
      <c r="I5971">
        <v>0</v>
      </c>
      <c r="J5971">
        <v>883</v>
      </c>
      <c r="M5971" t="s">
        <v>6095</v>
      </c>
    </row>
    <row r="5972" spans="1:13" ht="15" customHeight="1">
      <c r="A5972" s="10">
        <v>46192</v>
      </c>
      <c r="B5972" t="s">
        <v>201</v>
      </c>
      <c r="C5972" s="135" t="s">
        <v>202</v>
      </c>
      <c r="D5972">
        <v>0</v>
      </c>
      <c r="E5972">
        <v>722</v>
      </c>
      <c r="I5972">
        <v>0</v>
      </c>
      <c r="J5972">
        <v>711</v>
      </c>
      <c r="M5972" t="s">
        <v>6096</v>
      </c>
    </row>
    <row r="5973" spans="1:13" ht="15" customHeight="1">
      <c r="A5973" s="10">
        <v>46193</v>
      </c>
      <c r="B5973" t="s">
        <v>201</v>
      </c>
      <c r="C5973" t="s">
        <v>23</v>
      </c>
      <c r="D5973">
        <v>6</v>
      </c>
      <c r="E5973">
        <v>605</v>
      </c>
      <c r="F5973">
        <v>2</v>
      </c>
      <c r="I5973">
        <v>6</v>
      </c>
      <c r="J5973">
        <v>1178</v>
      </c>
      <c r="M5973" t="s">
        <v>6097</v>
      </c>
    </row>
    <row r="5974" spans="1:13" ht="15" customHeight="1">
      <c r="A5974" s="10">
        <v>46193</v>
      </c>
      <c r="B5974" t="s">
        <v>201</v>
      </c>
      <c r="C5974" t="s">
        <v>26</v>
      </c>
      <c r="D5974">
        <v>1</v>
      </c>
      <c r="E5974">
        <v>1221</v>
      </c>
      <c r="F5974">
        <v>1</v>
      </c>
      <c r="I5974">
        <v>2</v>
      </c>
      <c r="J5974">
        <v>1254</v>
      </c>
      <c r="M5974" t="s">
        <v>6098</v>
      </c>
    </row>
    <row r="5975" spans="1:13" ht="15" customHeight="1">
      <c r="A5975" s="10">
        <v>46193</v>
      </c>
      <c r="B5975" t="s">
        <v>201</v>
      </c>
      <c r="C5975" t="s">
        <v>27</v>
      </c>
      <c r="D5975">
        <v>1</v>
      </c>
      <c r="E5975">
        <v>310</v>
      </c>
      <c r="F5975">
        <v>1</v>
      </c>
      <c r="I5975">
        <v>1</v>
      </c>
      <c r="J5975">
        <v>967</v>
      </c>
      <c r="M5975" t="s">
        <v>6099</v>
      </c>
    </row>
    <row r="5976" spans="1:13" ht="15" customHeight="1">
      <c r="A5976" s="10">
        <v>46193</v>
      </c>
      <c r="B5976" t="s">
        <v>201</v>
      </c>
      <c r="C5976" t="s">
        <v>28</v>
      </c>
      <c r="D5976">
        <v>0</v>
      </c>
      <c r="E5976">
        <v>0</v>
      </c>
      <c r="F5976">
        <v>0</v>
      </c>
      <c r="I5976">
        <v>0</v>
      </c>
      <c r="J5976">
        <v>0</v>
      </c>
      <c r="M5976" t="s">
        <v>6100</v>
      </c>
    </row>
    <row r="5977" spans="1:13" ht="15" customHeight="1">
      <c r="A5977" s="10">
        <v>46193</v>
      </c>
      <c r="B5977" t="s">
        <v>201</v>
      </c>
      <c r="C5977" t="s">
        <v>29</v>
      </c>
      <c r="D5977">
        <v>0</v>
      </c>
      <c r="E5977">
        <v>229</v>
      </c>
      <c r="F5977">
        <v>1</v>
      </c>
      <c r="I5977">
        <v>0</v>
      </c>
      <c r="J5977">
        <v>1209</v>
      </c>
      <c r="M5977" t="s">
        <v>6101</v>
      </c>
    </row>
    <row r="5978" spans="1:13" ht="15" customHeight="1">
      <c r="A5978" s="10">
        <v>46193</v>
      </c>
      <c r="B5978" t="s">
        <v>201</v>
      </c>
      <c r="C5978" t="s">
        <v>30</v>
      </c>
      <c r="D5978">
        <v>1</v>
      </c>
      <c r="E5978">
        <v>995</v>
      </c>
      <c r="F5978">
        <v>0</v>
      </c>
      <c r="I5978">
        <v>1</v>
      </c>
      <c r="J5978">
        <v>971</v>
      </c>
      <c r="M5978" t="s">
        <v>6102</v>
      </c>
    </row>
    <row r="5979" spans="1:13" ht="15" customHeight="1">
      <c r="A5979" s="10">
        <v>46193</v>
      </c>
      <c r="B5979" t="s">
        <v>201</v>
      </c>
      <c r="C5979" t="s">
        <v>31</v>
      </c>
      <c r="D5979">
        <v>1</v>
      </c>
      <c r="E5979">
        <v>263</v>
      </c>
      <c r="F5979">
        <v>1</v>
      </c>
      <c r="I5979">
        <v>1</v>
      </c>
      <c r="J5979">
        <v>776</v>
      </c>
      <c r="M5979" t="s">
        <v>6103</v>
      </c>
    </row>
    <row r="5980" spans="1:13" ht="15" customHeight="1">
      <c r="A5980" s="10">
        <v>46193</v>
      </c>
      <c r="B5980" t="s">
        <v>201</v>
      </c>
      <c r="C5980" t="s">
        <v>32</v>
      </c>
      <c r="D5980">
        <v>1</v>
      </c>
      <c r="E5980">
        <v>143</v>
      </c>
      <c r="F5980">
        <v>1</v>
      </c>
      <c r="I5980">
        <v>1</v>
      </c>
      <c r="J5980">
        <v>509</v>
      </c>
      <c r="M5980" t="s">
        <v>6104</v>
      </c>
    </row>
    <row r="5981" spans="1:13" ht="15" customHeight="1">
      <c r="A5981" s="10">
        <v>46193</v>
      </c>
      <c r="B5981" t="s">
        <v>201</v>
      </c>
      <c r="C5981" t="s">
        <v>223</v>
      </c>
      <c r="D5981">
        <v>5</v>
      </c>
      <c r="E5981">
        <v>335</v>
      </c>
      <c r="F5981">
        <v>2</v>
      </c>
      <c r="I5981">
        <v>6</v>
      </c>
      <c r="J5981">
        <v>272</v>
      </c>
      <c r="M5981" t="s">
        <v>6105</v>
      </c>
    </row>
    <row r="5982" spans="1:13" ht="15" customHeight="1">
      <c r="A5982" s="10">
        <v>46193</v>
      </c>
      <c r="B5982" t="s">
        <v>201</v>
      </c>
      <c r="C5982" t="s">
        <v>35</v>
      </c>
      <c r="D5982">
        <v>12</v>
      </c>
      <c r="E5982">
        <v>0</v>
      </c>
      <c r="H5982">
        <v>2</v>
      </c>
      <c r="I5982">
        <v>10</v>
      </c>
      <c r="M5982" t="s">
        <v>6106</v>
      </c>
    </row>
    <row r="5983" spans="1:13" ht="15" customHeight="1">
      <c r="A5983" s="10">
        <v>46193</v>
      </c>
      <c r="B5983" t="s">
        <v>201</v>
      </c>
      <c r="C5983" t="s">
        <v>37</v>
      </c>
      <c r="D5983">
        <v>6</v>
      </c>
      <c r="E5983">
        <v>0</v>
      </c>
      <c r="H5983">
        <v>1</v>
      </c>
      <c r="I5983">
        <v>5</v>
      </c>
      <c r="M5983" t="s">
        <v>6107</v>
      </c>
    </row>
    <row r="5984" spans="1:13" ht="15" customHeight="1">
      <c r="A5984" s="10">
        <v>46193</v>
      </c>
      <c r="B5984" t="s">
        <v>201</v>
      </c>
      <c r="C5984" t="s">
        <v>39</v>
      </c>
      <c r="D5984">
        <v>8</v>
      </c>
      <c r="E5984">
        <v>0</v>
      </c>
      <c r="H5984">
        <v>1</v>
      </c>
      <c r="I5984">
        <v>7</v>
      </c>
      <c r="M5984" t="s">
        <v>6108</v>
      </c>
    </row>
    <row r="5985" spans="1:13" ht="15" customHeight="1">
      <c r="A5985" s="10">
        <v>46193</v>
      </c>
      <c r="B5985" t="s">
        <v>201</v>
      </c>
      <c r="C5985" t="s">
        <v>41</v>
      </c>
      <c r="D5985">
        <v>22</v>
      </c>
      <c r="E5985">
        <v>0</v>
      </c>
      <c r="H5985">
        <v>2</v>
      </c>
      <c r="I5985">
        <v>20</v>
      </c>
      <c r="M5985" t="s">
        <v>6109</v>
      </c>
    </row>
    <row r="5986" spans="1:13" ht="15" customHeight="1">
      <c r="A5986" s="10">
        <v>46193</v>
      </c>
      <c r="B5986" t="s">
        <v>201</v>
      </c>
      <c r="C5986" s="135" t="s">
        <v>44</v>
      </c>
      <c r="D5986">
        <v>6</v>
      </c>
      <c r="E5986">
        <v>6997</v>
      </c>
      <c r="F5986">
        <v>1</v>
      </c>
      <c r="G5986">
        <v>2200</v>
      </c>
      <c r="I5986">
        <v>6</v>
      </c>
      <c r="J5986">
        <v>9877</v>
      </c>
      <c r="M5986" t="s">
        <v>6110</v>
      </c>
    </row>
    <row r="5987" spans="1:13" ht="15" customHeight="1">
      <c r="A5987" s="10">
        <v>46193</v>
      </c>
      <c r="B5987" t="s">
        <v>201</v>
      </c>
      <c r="C5987" t="s">
        <v>230</v>
      </c>
      <c r="D5987">
        <v>0</v>
      </c>
      <c r="E5987">
        <v>755</v>
      </c>
      <c r="F5987">
        <v>1</v>
      </c>
      <c r="I5987">
        <v>1</v>
      </c>
      <c r="J5987">
        <v>729</v>
      </c>
      <c r="M5987" t="s">
        <v>6111</v>
      </c>
    </row>
    <row r="5988" spans="1:13" ht="15" customHeight="1">
      <c r="A5988" s="10">
        <v>46193</v>
      </c>
      <c r="B5988" t="s">
        <v>201</v>
      </c>
      <c r="C5988" t="s">
        <v>232</v>
      </c>
      <c r="D5988">
        <v>11</v>
      </c>
      <c r="E5988">
        <v>0</v>
      </c>
      <c r="I5988">
        <v>11</v>
      </c>
      <c r="M5988" t="s">
        <v>6112</v>
      </c>
    </row>
    <row r="5989" spans="1:13" ht="15" customHeight="1">
      <c r="A5989" s="10">
        <v>46193</v>
      </c>
      <c r="B5989" t="s">
        <v>201</v>
      </c>
      <c r="C5989" t="s">
        <v>234</v>
      </c>
      <c r="D5989">
        <v>77</v>
      </c>
      <c r="E5989">
        <v>0</v>
      </c>
      <c r="H5989">
        <v>11</v>
      </c>
      <c r="I5989">
        <v>66</v>
      </c>
      <c r="M5989" t="s">
        <v>6113</v>
      </c>
    </row>
    <row r="5990" spans="1:13" ht="15" customHeight="1">
      <c r="A5990" s="10">
        <v>46193</v>
      </c>
      <c r="B5990" t="s">
        <v>201</v>
      </c>
      <c r="C5990" t="s">
        <v>54</v>
      </c>
      <c r="D5990">
        <v>0</v>
      </c>
      <c r="E5990">
        <v>0</v>
      </c>
      <c r="I5990">
        <v>0</v>
      </c>
      <c r="M5990" t="s">
        <v>6114</v>
      </c>
    </row>
    <row r="5991" spans="1:13" ht="15" customHeight="1">
      <c r="A5991" s="10">
        <v>46193</v>
      </c>
      <c r="B5991" t="s">
        <v>201</v>
      </c>
      <c r="C5991" t="s">
        <v>237</v>
      </c>
      <c r="D5991">
        <v>19</v>
      </c>
      <c r="E5991">
        <v>0</v>
      </c>
      <c r="H5991">
        <v>3</v>
      </c>
      <c r="I5991">
        <v>16</v>
      </c>
      <c r="M5991" t="s">
        <v>6115</v>
      </c>
    </row>
    <row r="5992" spans="1:13" ht="15" customHeight="1">
      <c r="A5992" s="10">
        <v>46193</v>
      </c>
      <c r="B5992" t="s">
        <v>201</v>
      </c>
      <c r="C5992" s="135" t="s">
        <v>58</v>
      </c>
      <c r="D5992">
        <v>15</v>
      </c>
      <c r="E5992">
        <v>0</v>
      </c>
      <c r="H5992">
        <v>1</v>
      </c>
      <c r="I5992">
        <v>14</v>
      </c>
      <c r="M5992" t="s">
        <v>6116</v>
      </c>
    </row>
    <row r="5993" spans="1:13" ht="15" customHeight="1">
      <c r="A5993" s="10">
        <v>46193</v>
      </c>
      <c r="B5993" t="s">
        <v>201</v>
      </c>
      <c r="C5993" s="135" t="s">
        <v>60</v>
      </c>
      <c r="D5993">
        <v>15</v>
      </c>
      <c r="E5993">
        <v>0</v>
      </c>
      <c r="H5993">
        <v>3</v>
      </c>
      <c r="I5993">
        <v>11</v>
      </c>
      <c r="K5993">
        <v>1</v>
      </c>
      <c r="L5993" t="s">
        <v>5545</v>
      </c>
      <c r="M5993" t="s">
        <v>6117</v>
      </c>
    </row>
    <row r="5994" spans="1:13" ht="15" customHeight="1">
      <c r="A5994" s="10">
        <v>46193</v>
      </c>
      <c r="B5994" t="s">
        <v>201</v>
      </c>
      <c r="C5994" s="135" t="s">
        <v>61</v>
      </c>
      <c r="D5994">
        <v>18</v>
      </c>
      <c r="E5994">
        <v>0</v>
      </c>
      <c r="H5994">
        <v>5</v>
      </c>
      <c r="I5994">
        <v>13</v>
      </c>
      <c r="M5994" t="s">
        <v>6118</v>
      </c>
    </row>
    <row r="5995" spans="1:13" ht="15" customHeight="1">
      <c r="A5995" s="10">
        <v>46193</v>
      </c>
      <c r="B5995" t="s">
        <v>201</v>
      </c>
      <c r="C5995" s="135" t="s">
        <v>62</v>
      </c>
      <c r="D5995">
        <v>14</v>
      </c>
      <c r="E5995">
        <v>0</v>
      </c>
      <c r="H5995">
        <v>0</v>
      </c>
      <c r="I5995">
        <v>14</v>
      </c>
      <c r="M5995" t="s">
        <v>6119</v>
      </c>
    </row>
    <row r="5996" spans="1:13" ht="15" customHeight="1">
      <c r="A5996" s="10">
        <v>46193</v>
      </c>
      <c r="B5996" t="s">
        <v>201</v>
      </c>
      <c r="C5996" s="135" t="s">
        <v>63</v>
      </c>
      <c r="D5996">
        <v>10</v>
      </c>
      <c r="E5996">
        <v>0</v>
      </c>
      <c r="H5996">
        <v>1</v>
      </c>
      <c r="I5996">
        <v>9</v>
      </c>
      <c r="M5996" t="s">
        <v>6120</v>
      </c>
    </row>
    <row r="5997" spans="1:13" ht="15" customHeight="1">
      <c r="A5997" s="10">
        <v>46193</v>
      </c>
      <c r="B5997" t="s">
        <v>201</v>
      </c>
      <c r="C5997" s="135" t="s">
        <v>64</v>
      </c>
      <c r="D5997">
        <v>9</v>
      </c>
      <c r="E5997">
        <v>0</v>
      </c>
      <c r="H5997">
        <v>2</v>
      </c>
      <c r="I5997">
        <v>7</v>
      </c>
      <c r="M5997" t="s">
        <v>6121</v>
      </c>
    </row>
    <row r="5998" spans="1:13" ht="15" customHeight="1">
      <c r="A5998" s="10">
        <v>46193</v>
      </c>
      <c r="B5998" t="s">
        <v>201</v>
      </c>
      <c r="C5998" t="s">
        <v>66</v>
      </c>
      <c r="D5998">
        <v>4</v>
      </c>
      <c r="E5998">
        <v>0</v>
      </c>
      <c r="H5998">
        <v>1</v>
      </c>
      <c r="I5998">
        <v>3</v>
      </c>
      <c r="M5998" t="s">
        <v>6122</v>
      </c>
    </row>
    <row r="5999" spans="1:13" ht="15" customHeight="1">
      <c r="A5999" s="10">
        <v>46193</v>
      </c>
      <c r="B5999" t="s">
        <v>201</v>
      </c>
      <c r="C5999" t="s">
        <v>67</v>
      </c>
      <c r="D5999">
        <v>3</v>
      </c>
      <c r="E5999">
        <v>0</v>
      </c>
      <c r="F5999">
        <v>3</v>
      </c>
      <c r="I5999">
        <v>6</v>
      </c>
      <c r="M5999" t="s">
        <v>6123</v>
      </c>
    </row>
    <row r="6000" spans="1:13" ht="15" customHeight="1">
      <c r="A6000" s="10">
        <v>46193</v>
      </c>
      <c r="B6000" t="s">
        <v>201</v>
      </c>
      <c r="C6000" t="s">
        <v>68</v>
      </c>
      <c r="D6000">
        <v>3</v>
      </c>
      <c r="E6000">
        <v>0</v>
      </c>
      <c r="I6000">
        <v>3</v>
      </c>
      <c r="M6000" t="s">
        <v>6124</v>
      </c>
    </row>
    <row r="6001" spans="1:13" ht="15" customHeight="1">
      <c r="A6001" s="10">
        <v>46193</v>
      </c>
      <c r="B6001" t="s">
        <v>201</v>
      </c>
      <c r="C6001" t="s">
        <v>71</v>
      </c>
      <c r="D6001">
        <v>2</v>
      </c>
      <c r="E6001">
        <v>241</v>
      </c>
      <c r="I6001">
        <v>2</v>
      </c>
      <c r="J6001">
        <v>93</v>
      </c>
      <c r="M6001" t="s">
        <v>6125</v>
      </c>
    </row>
    <row r="6002" spans="1:13" ht="15" customHeight="1">
      <c r="A6002" s="10">
        <v>46193</v>
      </c>
      <c r="B6002" t="s">
        <v>201</v>
      </c>
      <c r="C6002" t="s">
        <v>73</v>
      </c>
      <c r="D6002">
        <v>1</v>
      </c>
      <c r="E6002">
        <v>485</v>
      </c>
      <c r="F6002">
        <v>1</v>
      </c>
      <c r="I6002">
        <v>2</v>
      </c>
      <c r="J6002">
        <v>460</v>
      </c>
      <c r="M6002" t="s">
        <v>6126</v>
      </c>
    </row>
    <row r="6003" spans="1:13" ht="15" customHeight="1">
      <c r="A6003" s="10">
        <v>46193</v>
      </c>
      <c r="B6003" t="s">
        <v>201</v>
      </c>
      <c r="C6003" t="s">
        <v>75</v>
      </c>
      <c r="D6003">
        <v>1</v>
      </c>
      <c r="E6003">
        <v>122</v>
      </c>
      <c r="I6003">
        <v>1</v>
      </c>
      <c r="J6003">
        <v>98</v>
      </c>
      <c r="M6003" t="s">
        <v>6127</v>
      </c>
    </row>
    <row r="6004" spans="1:13" ht="15" customHeight="1">
      <c r="A6004" s="10">
        <v>46193</v>
      </c>
      <c r="B6004" t="s">
        <v>201</v>
      </c>
      <c r="C6004" t="s">
        <v>77</v>
      </c>
      <c r="D6004">
        <v>1</v>
      </c>
      <c r="E6004">
        <v>313</v>
      </c>
      <c r="I6004">
        <v>1</v>
      </c>
      <c r="J6004">
        <v>282</v>
      </c>
      <c r="M6004" t="s">
        <v>6128</v>
      </c>
    </row>
    <row r="6005" spans="1:13" ht="15" customHeight="1">
      <c r="A6005" s="10">
        <v>46193</v>
      </c>
      <c r="B6005" t="s">
        <v>201</v>
      </c>
      <c r="C6005" t="s">
        <v>79</v>
      </c>
      <c r="D6005">
        <v>1</v>
      </c>
      <c r="E6005">
        <v>573</v>
      </c>
      <c r="I6005">
        <v>1</v>
      </c>
      <c r="J6005">
        <v>279</v>
      </c>
      <c r="M6005" t="s">
        <v>6129</v>
      </c>
    </row>
    <row r="6006" spans="1:13" ht="15" customHeight="1">
      <c r="A6006" s="10">
        <v>46193</v>
      </c>
      <c r="B6006" t="s">
        <v>201</v>
      </c>
      <c r="C6006" t="s">
        <v>81</v>
      </c>
      <c r="D6006">
        <v>1</v>
      </c>
      <c r="E6006">
        <v>363</v>
      </c>
      <c r="I6006">
        <v>1</v>
      </c>
      <c r="J6006">
        <v>321</v>
      </c>
      <c r="M6006" t="s">
        <v>6130</v>
      </c>
    </row>
    <row r="6007" spans="1:13" ht="15" customHeight="1">
      <c r="A6007" s="10">
        <v>46193</v>
      </c>
      <c r="B6007" t="s">
        <v>201</v>
      </c>
      <c r="C6007" t="s">
        <v>83</v>
      </c>
      <c r="D6007">
        <v>1</v>
      </c>
      <c r="E6007">
        <v>44</v>
      </c>
      <c r="I6007">
        <v>1</v>
      </c>
      <c r="J6007">
        <v>23</v>
      </c>
      <c r="M6007" t="s">
        <v>6131</v>
      </c>
    </row>
    <row r="6008" spans="1:13" ht="15" customHeight="1">
      <c r="A6008" s="10">
        <v>46193</v>
      </c>
      <c r="B6008" t="s">
        <v>201</v>
      </c>
      <c r="C6008" t="s">
        <v>84</v>
      </c>
      <c r="D6008">
        <v>1</v>
      </c>
      <c r="E6008">
        <v>312</v>
      </c>
      <c r="I6008">
        <v>1</v>
      </c>
      <c r="J6008">
        <v>289</v>
      </c>
      <c r="M6008" t="s">
        <v>6132</v>
      </c>
    </row>
    <row r="6009" spans="1:13" ht="15" customHeight="1">
      <c r="A6009" s="10">
        <v>46193</v>
      </c>
      <c r="B6009" t="s">
        <v>201</v>
      </c>
      <c r="C6009" t="s">
        <v>85</v>
      </c>
      <c r="D6009">
        <v>0</v>
      </c>
      <c r="E6009">
        <v>200</v>
      </c>
      <c r="I6009">
        <v>0</v>
      </c>
      <c r="J6009">
        <v>200</v>
      </c>
      <c r="M6009" t="s">
        <v>6133</v>
      </c>
    </row>
    <row r="6010" spans="1:13" ht="15" customHeight="1">
      <c r="A6010" s="10">
        <v>46193</v>
      </c>
      <c r="B6010" t="s">
        <v>201</v>
      </c>
      <c r="C6010" t="s">
        <v>87</v>
      </c>
      <c r="D6010">
        <v>2</v>
      </c>
      <c r="E6010">
        <v>182</v>
      </c>
      <c r="I6010">
        <v>2</v>
      </c>
      <c r="J6010">
        <v>176</v>
      </c>
      <c r="M6010" t="s">
        <v>6134</v>
      </c>
    </row>
    <row r="6011" spans="1:13" ht="15" customHeight="1">
      <c r="A6011" s="10">
        <v>46193</v>
      </c>
      <c r="B6011" t="s">
        <v>201</v>
      </c>
      <c r="C6011" t="s">
        <v>88</v>
      </c>
      <c r="D6011">
        <v>2</v>
      </c>
      <c r="E6011">
        <v>288</v>
      </c>
      <c r="I6011">
        <v>2</v>
      </c>
      <c r="J6011">
        <v>286</v>
      </c>
      <c r="M6011" t="s">
        <v>6135</v>
      </c>
    </row>
    <row r="6012" spans="1:13" ht="15" customHeight="1">
      <c r="A6012" s="10">
        <v>46193</v>
      </c>
      <c r="B6012" t="s">
        <v>201</v>
      </c>
      <c r="C6012" t="s">
        <v>89</v>
      </c>
      <c r="D6012">
        <v>1</v>
      </c>
      <c r="E6012">
        <v>290</v>
      </c>
      <c r="I6012">
        <v>1</v>
      </c>
      <c r="J6012">
        <v>277</v>
      </c>
      <c r="M6012" t="s">
        <v>6136</v>
      </c>
    </row>
    <row r="6013" spans="1:13" ht="15" customHeight="1">
      <c r="A6013" s="10">
        <v>46193</v>
      </c>
      <c r="B6013" t="s">
        <v>201</v>
      </c>
      <c r="C6013" t="s">
        <v>90</v>
      </c>
      <c r="D6013">
        <v>1</v>
      </c>
      <c r="E6013">
        <v>457</v>
      </c>
      <c r="I6013">
        <v>1</v>
      </c>
      <c r="J6013">
        <v>395</v>
      </c>
      <c r="M6013" t="s">
        <v>6137</v>
      </c>
    </row>
    <row r="6014" spans="1:13" ht="15" customHeight="1">
      <c r="A6014" s="10">
        <v>46193</v>
      </c>
      <c r="B6014" t="s">
        <v>201</v>
      </c>
      <c r="C6014" t="s">
        <v>92</v>
      </c>
      <c r="D6014">
        <v>1</v>
      </c>
      <c r="E6014">
        <v>473</v>
      </c>
      <c r="I6014">
        <v>1</v>
      </c>
      <c r="J6014">
        <v>459</v>
      </c>
      <c r="M6014" t="s">
        <v>6138</v>
      </c>
    </row>
    <row r="6015" spans="1:13" ht="15" customHeight="1">
      <c r="A6015" s="10">
        <v>46193</v>
      </c>
      <c r="B6015" t="s">
        <v>201</v>
      </c>
      <c r="C6015" t="s">
        <v>94</v>
      </c>
      <c r="D6015">
        <v>3</v>
      </c>
      <c r="E6015">
        <v>223</v>
      </c>
      <c r="F6015">
        <v>3</v>
      </c>
      <c r="I6015">
        <v>3</v>
      </c>
      <c r="J6015">
        <v>500</v>
      </c>
      <c r="M6015" t="s">
        <v>6139</v>
      </c>
    </row>
    <row r="6016" spans="1:13" ht="15" customHeight="1">
      <c r="A6016" s="10">
        <v>46193</v>
      </c>
      <c r="B6016" t="s">
        <v>201</v>
      </c>
      <c r="C6016" t="s">
        <v>96</v>
      </c>
      <c r="D6016">
        <v>0</v>
      </c>
      <c r="E6016">
        <v>0</v>
      </c>
      <c r="I6016">
        <v>0</v>
      </c>
      <c r="J6016">
        <v>0</v>
      </c>
      <c r="M6016" t="s">
        <v>6140</v>
      </c>
    </row>
    <row r="6017" spans="1:13" ht="15" customHeight="1">
      <c r="A6017" s="10">
        <v>46193</v>
      </c>
      <c r="B6017" t="s">
        <v>201</v>
      </c>
      <c r="C6017" t="s">
        <v>98</v>
      </c>
      <c r="D6017">
        <v>3</v>
      </c>
      <c r="E6017">
        <v>311</v>
      </c>
      <c r="I6017">
        <v>2</v>
      </c>
      <c r="J6017">
        <v>390</v>
      </c>
      <c r="M6017" t="s">
        <v>6141</v>
      </c>
    </row>
    <row r="6018" spans="1:13" ht="15" customHeight="1">
      <c r="A6018" s="10">
        <v>46193</v>
      </c>
      <c r="B6018" t="s">
        <v>201</v>
      </c>
      <c r="C6018" t="s">
        <v>203</v>
      </c>
      <c r="D6018">
        <v>0</v>
      </c>
      <c r="E6018">
        <v>0</v>
      </c>
      <c r="F6018">
        <v>2</v>
      </c>
      <c r="I6018">
        <v>2</v>
      </c>
      <c r="J6018">
        <v>0</v>
      </c>
      <c r="M6018" t="s">
        <v>6142</v>
      </c>
    </row>
    <row r="6019" spans="1:13" ht="15" customHeight="1">
      <c r="A6019" s="10">
        <v>46193</v>
      </c>
      <c r="B6019" t="s">
        <v>201</v>
      </c>
      <c r="C6019" t="s">
        <v>100</v>
      </c>
      <c r="D6019">
        <v>0</v>
      </c>
      <c r="E6019">
        <v>0</v>
      </c>
      <c r="I6019">
        <v>0</v>
      </c>
      <c r="J6019">
        <v>0</v>
      </c>
      <c r="M6019" t="s">
        <v>6143</v>
      </c>
    </row>
    <row r="6020" spans="1:13" ht="15" customHeight="1">
      <c r="A6020" s="10">
        <v>46193</v>
      </c>
      <c r="B6020" t="s">
        <v>201</v>
      </c>
      <c r="C6020" t="s">
        <v>101</v>
      </c>
      <c r="D6020">
        <v>0</v>
      </c>
      <c r="E6020">
        <v>611</v>
      </c>
      <c r="I6020">
        <v>0</v>
      </c>
      <c r="J6020">
        <v>596</v>
      </c>
      <c r="M6020" t="s">
        <v>6144</v>
      </c>
    </row>
    <row r="6021" spans="1:13" ht="15" customHeight="1">
      <c r="A6021" s="10">
        <v>46193</v>
      </c>
      <c r="B6021" t="s">
        <v>201</v>
      </c>
      <c r="C6021" t="s">
        <v>103</v>
      </c>
      <c r="D6021">
        <v>0</v>
      </c>
      <c r="E6021">
        <v>10</v>
      </c>
      <c r="I6021">
        <v>0</v>
      </c>
      <c r="J6021">
        <v>7</v>
      </c>
      <c r="M6021" t="s">
        <v>6145</v>
      </c>
    </row>
    <row r="6022" spans="1:13" ht="15" customHeight="1">
      <c r="A6022" s="10">
        <v>46193</v>
      </c>
      <c r="B6022" t="s">
        <v>201</v>
      </c>
      <c r="C6022" t="s">
        <v>106</v>
      </c>
      <c r="D6022">
        <v>1</v>
      </c>
      <c r="E6022">
        <v>892</v>
      </c>
      <c r="I6022">
        <v>1</v>
      </c>
      <c r="J6022">
        <v>680</v>
      </c>
      <c r="M6022" t="s">
        <v>6146</v>
      </c>
    </row>
    <row r="6023" spans="1:13" ht="15" customHeight="1">
      <c r="A6023" s="10">
        <v>46193</v>
      </c>
      <c r="B6023" t="s">
        <v>201</v>
      </c>
      <c r="C6023" t="s">
        <v>108</v>
      </c>
      <c r="D6023">
        <v>1</v>
      </c>
      <c r="E6023">
        <v>1001</v>
      </c>
      <c r="I6023">
        <v>1</v>
      </c>
      <c r="J6023">
        <v>918</v>
      </c>
      <c r="M6023" t="s">
        <v>6147</v>
      </c>
    </row>
    <row r="6024" spans="1:13" ht="15" customHeight="1">
      <c r="A6024" s="10">
        <v>46193</v>
      </c>
      <c r="B6024" t="s">
        <v>201</v>
      </c>
      <c r="C6024" t="s">
        <v>109</v>
      </c>
      <c r="D6024">
        <v>1</v>
      </c>
      <c r="E6024">
        <v>880</v>
      </c>
      <c r="I6024">
        <v>1</v>
      </c>
      <c r="J6024">
        <v>850</v>
      </c>
      <c r="M6024" t="s">
        <v>6148</v>
      </c>
    </row>
    <row r="6025" spans="1:13" ht="15" customHeight="1">
      <c r="A6025" s="10">
        <v>46193</v>
      </c>
      <c r="B6025" t="s">
        <v>201</v>
      </c>
      <c r="C6025" t="s">
        <v>112</v>
      </c>
      <c r="D6025">
        <v>1</v>
      </c>
      <c r="E6025">
        <v>24</v>
      </c>
      <c r="I6025">
        <v>1</v>
      </c>
      <c r="J6025">
        <v>20</v>
      </c>
      <c r="M6025" t="s">
        <v>6149</v>
      </c>
    </row>
    <row r="6026" spans="1:13" ht="15" customHeight="1">
      <c r="A6026" s="10">
        <v>46193</v>
      </c>
      <c r="B6026" t="s">
        <v>201</v>
      </c>
      <c r="C6026" t="s">
        <v>114</v>
      </c>
      <c r="D6026">
        <v>2</v>
      </c>
      <c r="E6026">
        <v>22</v>
      </c>
      <c r="F6026">
        <v>1</v>
      </c>
      <c r="I6026">
        <v>3</v>
      </c>
      <c r="J6026">
        <v>9</v>
      </c>
      <c r="M6026" t="s">
        <v>6150</v>
      </c>
    </row>
    <row r="6027" spans="1:13" ht="15" customHeight="1">
      <c r="A6027" s="10">
        <v>46193</v>
      </c>
      <c r="B6027" t="s">
        <v>201</v>
      </c>
      <c r="C6027" t="s">
        <v>115</v>
      </c>
      <c r="D6027">
        <v>1</v>
      </c>
      <c r="E6027">
        <v>31</v>
      </c>
      <c r="I6027">
        <v>1</v>
      </c>
      <c r="J6027">
        <v>21</v>
      </c>
      <c r="M6027" t="s">
        <v>6151</v>
      </c>
    </row>
    <row r="6028" spans="1:13" ht="15" customHeight="1">
      <c r="A6028" s="10">
        <v>46193</v>
      </c>
      <c r="B6028" t="s">
        <v>201</v>
      </c>
      <c r="C6028" t="s">
        <v>116</v>
      </c>
      <c r="D6028">
        <v>2</v>
      </c>
      <c r="E6028">
        <v>3</v>
      </c>
      <c r="F6028">
        <v>1</v>
      </c>
      <c r="I6028">
        <v>2</v>
      </c>
      <c r="J6028">
        <v>39</v>
      </c>
      <c r="M6028" t="s">
        <v>6152</v>
      </c>
    </row>
    <row r="6029" spans="1:13" ht="15" customHeight="1">
      <c r="A6029" s="10">
        <v>46193</v>
      </c>
      <c r="B6029" t="s">
        <v>201</v>
      </c>
      <c r="C6029" t="s">
        <v>119</v>
      </c>
      <c r="D6029">
        <v>2</v>
      </c>
      <c r="E6029">
        <v>0</v>
      </c>
      <c r="I6029">
        <v>2</v>
      </c>
      <c r="M6029" t="s">
        <v>6153</v>
      </c>
    </row>
    <row r="6030" spans="1:13" ht="15" customHeight="1">
      <c r="A6030" s="10">
        <v>46193</v>
      </c>
      <c r="B6030" t="s">
        <v>201</v>
      </c>
      <c r="C6030" t="s">
        <v>120</v>
      </c>
      <c r="D6030">
        <v>2</v>
      </c>
      <c r="E6030">
        <v>0</v>
      </c>
      <c r="I6030">
        <v>2</v>
      </c>
      <c r="M6030" t="s">
        <v>6154</v>
      </c>
    </row>
    <row r="6031" spans="1:13" ht="15" customHeight="1">
      <c r="A6031" s="10">
        <v>46193</v>
      </c>
      <c r="B6031" t="s">
        <v>201</v>
      </c>
      <c r="C6031" t="s">
        <v>121</v>
      </c>
      <c r="D6031">
        <v>2</v>
      </c>
      <c r="E6031">
        <v>0</v>
      </c>
      <c r="I6031">
        <v>2</v>
      </c>
      <c r="M6031" t="s">
        <v>6155</v>
      </c>
    </row>
    <row r="6032" spans="1:13" ht="15" customHeight="1">
      <c r="A6032" s="10">
        <v>46193</v>
      </c>
      <c r="B6032" t="s">
        <v>201</v>
      </c>
      <c r="C6032" t="s">
        <v>123</v>
      </c>
      <c r="D6032">
        <v>1</v>
      </c>
      <c r="E6032">
        <v>0</v>
      </c>
      <c r="F6032">
        <v>1</v>
      </c>
      <c r="I6032">
        <v>2</v>
      </c>
      <c r="M6032" t="s">
        <v>6156</v>
      </c>
    </row>
    <row r="6033" spans="1:13" ht="15" customHeight="1">
      <c r="A6033" s="10">
        <v>46193</v>
      </c>
      <c r="B6033" t="s">
        <v>201</v>
      </c>
      <c r="C6033" t="s">
        <v>124</v>
      </c>
      <c r="D6033">
        <v>1</v>
      </c>
      <c r="E6033">
        <v>0</v>
      </c>
      <c r="F6033">
        <v>1</v>
      </c>
      <c r="I6033">
        <v>2</v>
      </c>
      <c r="M6033" t="s">
        <v>6157</v>
      </c>
    </row>
    <row r="6034" spans="1:13" ht="15" customHeight="1">
      <c r="A6034" s="10">
        <v>46193</v>
      </c>
      <c r="B6034" t="s">
        <v>201</v>
      </c>
      <c r="C6034" t="s">
        <v>125</v>
      </c>
      <c r="D6034">
        <v>2</v>
      </c>
      <c r="E6034">
        <v>0</v>
      </c>
      <c r="I6034">
        <v>2</v>
      </c>
      <c r="M6034" t="s">
        <v>6158</v>
      </c>
    </row>
    <row r="6035" spans="1:13" ht="15" customHeight="1">
      <c r="A6035" s="10">
        <v>46193</v>
      </c>
      <c r="B6035" t="s">
        <v>201</v>
      </c>
      <c r="C6035" t="s">
        <v>126</v>
      </c>
      <c r="D6035">
        <v>2</v>
      </c>
      <c r="E6035">
        <v>0</v>
      </c>
      <c r="I6035">
        <v>2</v>
      </c>
      <c r="M6035" t="s">
        <v>6159</v>
      </c>
    </row>
    <row r="6036" spans="1:13" ht="15" customHeight="1">
      <c r="A6036" s="10">
        <v>46193</v>
      </c>
      <c r="B6036" t="s">
        <v>201</v>
      </c>
      <c r="C6036" t="s">
        <v>128</v>
      </c>
      <c r="D6036">
        <v>2</v>
      </c>
      <c r="E6036">
        <v>0</v>
      </c>
      <c r="I6036">
        <v>2</v>
      </c>
      <c r="M6036" t="s">
        <v>6160</v>
      </c>
    </row>
    <row r="6037" spans="1:13" ht="15" customHeight="1">
      <c r="A6037" s="10">
        <v>46193</v>
      </c>
      <c r="B6037" t="s">
        <v>201</v>
      </c>
      <c r="C6037" t="s">
        <v>130</v>
      </c>
      <c r="D6037">
        <v>2</v>
      </c>
      <c r="E6037">
        <v>0</v>
      </c>
      <c r="I6037">
        <v>2</v>
      </c>
      <c r="M6037" t="s">
        <v>6161</v>
      </c>
    </row>
    <row r="6038" spans="1:13" ht="15" customHeight="1">
      <c r="A6038" s="10">
        <v>46193</v>
      </c>
      <c r="B6038" t="s">
        <v>201</v>
      </c>
      <c r="C6038" t="s">
        <v>285</v>
      </c>
      <c r="D6038">
        <v>2</v>
      </c>
      <c r="E6038">
        <v>0</v>
      </c>
      <c r="I6038">
        <v>2</v>
      </c>
      <c r="M6038" t="s">
        <v>6162</v>
      </c>
    </row>
    <row r="6039" spans="1:13" ht="15" customHeight="1">
      <c r="A6039" s="10">
        <v>46193</v>
      </c>
      <c r="B6039" t="s">
        <v>201</v>
      </c>
      <c r="C6039" t="s">
        <v>287</v>
      </c>
      <c r="D6039">
        <v>5</v>
      </c>
      <c r="E6039">
        <v>0</v>
      </c>
      <c r="I6039">
        <v>5</v>
      </c>
      <c r="M6039" t="s">
        <v>6163</v>
      </c>
    </row>
    <row r="6040" spans="1:13" ht="15" customHeight="1">
      <c r="A6040" s="10">
        <v>46193</v>
      </c>
      <c r="B6040" t="s">
        <v>201</v>
      </c>
      <c r="C6040" t="s">
        <v>289</v>
      </c>
      <c r="D6040">
        <v>2</v>
      </c>
      <c r="E6040">
        <v>0</v>
      </c>
      <c r="I6040">
        <v>2</v>
      </c>
      <c r="M6040" t="s">
        <v>6164</v>
      </c>
    </row>
    <row r="6041" spans="1:13" ht="15" customHeight="1">
      <c r="A6041" s="10">
        <v>46193</v>
      </c>
      <c r="B6041" t="s">
        <v>201</v>
      </c>
      <c r="C6041" t="s">
        <v>291</v>
      </c>
      <c r="D6041">
        <v>2</v>
      </c>
      <c r="E6041">
        <v>0</v>
      </c>
      <c r="I6041">
        <v>2</v>
      </c>
      <c r="M6041" t="s">
        <v>6165</v>
      </c>
    </row>
    <row r="6042" spans="1:13" ht="15" customHeight="1">
      <c r="A6042" s="10">
        <v>46193</v>
      </c>
      <c r="B6042" t="s">
        <v>201</v>
      </c>
      <c r="C6042" t="s">
        <v>293</v>
      </c>
      <c r="D6042">
        <v>1</v>
      </c>
      <c r="E6042">
        <v>0</v>
      </c>
      <c r="I6042">
        <v>1</v>
      </c>
      <c r="M6042" t="s">
        <v>6166</v>
      </c>
    </row>
    <row r="6043" spans="1:13" ht="15" customHeight="1">
      <c r="A6043" s="10">
        <v>46193</v>
      </c>
      <c r="B6043" t="s">
        <v>201</v>
      </c>
      <c r="C6043" s="135" t="s">
        <v>138</v>
      </c>
      <c r="D6043">
        <v>0</v>
      </c>
      <c r="E6043">
        <v>49</v>
      </c>
      <c r="G6043">
        <v>30</v>
      </c>
      <c r="I6043">
        <v>0</v>
      </c>
      <c r="J6043">
        <v>78</v>
      </c>
      <c r="M6043" t="s">
        <v>6167</v>
      </c>
    </row>
    <row r="6044" spans="1:13" ht="15" customHeight="1">
      <c r="A6044" s="10">
        <v>46193</v>
      </c>
      <c r="B6044" t="s">
        <v>201</v>
      </c>
      <c r="C6044" s="135" t="s">
        <v>139</v>
      </c>
      <c r="D6044">
        <v>0</v>
      </c>
      <c r="E6044">
        <v>35</v>
      </c>
      <c r="I6044">
        <v>0</v>
      </c>
      <c r="J6044">
        <v>30</v>
      </c>
      <c r="M6044" t="s">
        <v>6168</v>
      </c>
    </row>
    <row r="6045" spans="1:13" ht="15" customHeight="1">
      <c r="A6045" s="10">
        <v>46193</v>
      </c>
      <c r="B6045" t="s">
        <v>201</v>
      </c>
      <c r="C6045" s="135" t="s">
        <v>140</v>
      </c>
      <c r="D6045">
        <v>0</v>
      </c>
      <c r="E6045">
        <v>31</v>
      </c>
      <c r="I6045">
        <v>0</v>
      </c>
      <c r="J6045">
        <v>31</v>
      </c>
      <c r="M6045" t="s">
        <v>6169</v>
      </c>
    </row>
    <row r="6046" spans="1:13" ht="15" customHeight="1">
      <c r="A6046" s="10">
        <v>46193</v>
      </c>
      <c r="B6046" t="s">
        <v>201</v>
      </c>
      <c r="C6046" s="135" t="s">
        <v>141</v>
      </c>
      <c r="D6046">
        <v>0</v>
      </c>
      <c r="E6046">
        <v>1</v>
      </c>
      <c r="I6046">
        <v>0</v>
      </c>
      <c r="J6046">
        <v>1</v>
      </c>
      <c r="M6046" t="s">
        <v>6170</v>
      </c>
    </row>
    <row r="6047" spans="1:13" ht="15" customHeight="1">
      <c r="A6047" s="10">
        <v>46193</v>
      </c>
      <c r="B6047" t="s">
        <v>201</v>
      </c>
      <c r="C6047" s="135" t="s">
        <v>143</v>
      </c>
      <c r="D6047">
        <v>0</v>
      </c>
      <c r="E6047">
        <v>29</v>
      </c>
      <c r="G6047">
        <v>40</v>
      </c>
      <c r="I6047">
        <v>0</v>
      </c>
      <c r="J6047">
        <v>64</v>
      </c>
      <c r="M6047" t="s">
        <v>6171</v>
      </c>
    </row>
    <row r="6048" spans="1:13" ht="15" customHeight="1">
      <c r="A6048" s="10">
        <v>46193</v>
      </c>
      <c r="B6048" t="s">
        <v>201</v>
      </c>
      <c r="C6048" s="135" t="s">
        <v>145</v>
      </c>
      <c r="D6048">
        <v>0</v>
      </c>
      <c r="E6048">
        <v>28</v>
      </c>
      <c r="I6048">
        <v>0</v>
      </c>
      <c r="J6048">
        <v>27</v>
      </c>
      <c r="M6048" t="s">
        <v>6172</v>
      </c>
    </row>
    <row r="6049" spans="1:13" ht="15" customHeight="1">
      <c r="A6049" s="10">
        <v>46193</v>
      </c>
      <c r="B6049" t="s">
        <v>201</v>
      </c>
      <c r="C6049" s="135" t="s">
        <v>147</v>
      </c>
      <c r="D6049">
        <v>0</v>
      </c>
      <c r="E6049">
        <v>29</v>
      </c>
      <c r="I6049">
        <v>0</v>
      </c>
      <c r="J6049">
        <v>29</v>
      </c>
      <c r="M6049" t="s">
        <v>6173</v>
      </c>
    </row>
    <row r="6050" spans="1:13" ht="15" customHeight="1">
      <c r="A6050" s="10">
        <v>46193</v>
      </c>
      <c r="B6050" t="s">
        <v>201</v>
      </c>
      <c r="C6050" t="s">
        <v>302</v>
      </c>
      <c r="D6050">
        <v>1</v>
      </c>
      <c r="E6050">
        <v>2</v>
      </c>
      <c r="I6050">
        <v>1</v>
      </c>
      <c r="M6050" t="s">
        <v>6174</v>
      </c>
    </row>
    <row r="6051" spans="1:13" ht="15" customHeight="1">
      <c r="A6051" s="10">
        <v>46193</v>
      </c>
      <c r="B6051" t="s">
        <v>201</v>
      </c>
      <c r="C6051" t="s">
        <v>150</v>
      </c>
      <c r="D6051">
        <v>1</v>
      </c>
      <c r="E6051">
        <v>0</v>
      </c>
      <c r="F6051">
        <v>1</v>
      </c>
      <c r="I6051">
        <v>4</v>
      </c>
      <c r="M6051" t="s">
        <v>6175</v>
      </c>
    </row>
    <row r="6052" spans="1:13" ht="15" customHeight="1">
      <c r="A6052" s="10">
        <v>46193</v>
      </c>
      <c r="B6052" t="s">
        <v>201</v>
      </c>
      <c r="C6052" t="s">
        <v>151</v>
      </c>
      <c r="D6052">
        <v>1</v>
      </c>
      <c r="E6052">
        <v>0</v>
      </c>
      <c r="F6052">
        <v>1</v>
      </c>
      <c r="I6052">
        <v>2</v>
      </c>
      <c r="M6052" t="s">
        <v>6176</v>
      </c>
    </row>
    <row r="6053" spans="1:13" ht="15" customHeight="1">
      <c r="A6053" s="10">
        <v>46193</v>
      </c>
      <c r="B6053" t="s">
        <v>201</v>
      </c>
      <c r="C6053" t="s">
        <v>152</v>
      </c>
      <c r="D6053">
        <v>2</v>
      </c>
      <c r="E6053">
        <v>0</v>
      </c>
      <c r="I6053">
        <v>2</v>
      </c>
      <c r="M6053" t="s">
        <v>6177</v>
      </c>
    </row>
    <row r="6054" spans="1:13" ht="15" customHeight="1">
      <c r="A6054" s="10">
        <v>46193</v>
      </c>
      <c r="B6054" t="s">
        <v>201</v>
      </c>
      <c r="C6054" t="s">
        <v>153</v>
      </c>
      <c r="D6054">
        <v>3</v>
      </c>
      <c r="E6054">
        <v>0</v>
      </c>
      <c r="I6054">
        <v>2</v>
      </c>
      <c r="M6054" t="s">
        <v>6178</v>
      </c>
    </row>
    <row r="6055" spans="1:13" ht="15" customHeight="1">
      <c r="A6055" s="10">
        <v>46193</v>
      </c>
      <c r="B6055" t="s">
        <v>201</v>
      </c>
      <c r="C6055" t="s">
        <v>308</v>
      </c>
      <c r="D6055">
        <v>0</v>
      </c>
      <c r="E6055">
        <v>3</v>
      </c>
      <c r="I6055">
        <v>0</v>
      </c>
      <c r="J6055">
        <v>2</v>
      </c>
      <c r="M6055" t="s">
        <v>6179</v>
      </c>
    </row>
    <row r="6056" spans="1:13" ht="15" customHeight="1">
      <c r="A6056" s="10">
        <v>46193</v>
      </c>
      <c r="B6056" t="s">
        <v>201</v>
      </c>
      <c r="C6056" t="s">
        <v>310</v>
      </c>
      <c r="D6056">
        <v>0</v>
      </c>
      <c r="E6056">
        <v>2</v>
      </c>
      <c r="I6056">
        <v>0</v>
      </c>
      <c r="J6056">
        <v>2</v>
      </c>
      <c r="M6056" t="s">
        <v>6180</v>
      </c>
    </row>
    <row r="6057" spans="1:13" ht="15" customHeight="1">
      <c r="A6057" s="10">
        <v>46193</v>
      </c>
      <c r="B6057" t="s">
        <v>201</v>
      </c>
      <c r="C6057" t="s">
        <v>312</v>
      </c>
      <c r="D6057">
        <v>0</v>
      </c>
      <c r="E6057">
        <v>4</v>
      </c>
      <c r="I6057">
        <v>0</v>
      </c>
      <c r="J6057">
        <v>4</v>
      </c>
      <c r="M6057" t="s">
        <v>6181</v>
      </c>
    </row>
    <row r="6058" spans="1:13" ht="15" customHeight="1">
      <c r="A6058" s="10">
        <v>46193</v>
      </c>
      <c r="B6058" t="s">
        <v>201</v>
      </c>
      <c r="C6058" t="s">
        <v>314</v>
      </c>
      <c r="D6058">
        <v>1</v>
      </c>
      <c r="E6058">
        <v>0</v>
      </c>
      <c r="I6058">
        <v>1</v>
      </c>
      <c r="M6058" t="s">
        <v>6182</v>
      </c>
    </row>
    <row r="6059" spans="1:13" ht="15" customHeight="1">
      <c r="A6059" s="10">
        <v>46193</v>
      </c>
      <c r="B6059" t="s">
        <v>201</v>
      </c>
      <c r="C6059" t="s">
        <v>316</v>
      </c>
      <c r="D6059">
        <v>1</v>
      </c>
      <c r="E6059">
        <v>0</v>
      </c>
      <c r="I6059">
        <v>1</v>
      </c>
      <c r="M6059" t="s">
        <v>6183</v>
      </c>
    </row>
    <row r="6060" spans="1:13" ht="15" customHeight="1">
      <c r="A6060" s="10">
        <v>46193</v>
      </c>
      <c r="B6060" t="s">
        <v>201</v>
      </c>
      <c r="C6060" t="s">
        <v>318</v>
      </c>
      <c r="D6060">
        <v>4</v>
      </c>
      <c r="E6060">
        <v>0</v>
      </c>
      <c r="I6060">
        <v>2</v>
      </c>
      <c r="M6060" t="s">
        <v>6184</v>
      </c>
    </row>
    <row r="6061" spans="1:13" ht="15" customHeight="1">
      <c r="A6061" s="10">
        <v>46193</v>
      </c>
      <c r="B6061" t="s">
        <v>201</v>
      </c>
      <c r="C6061" t="s">
        <v>320</v>
      </c>
      <c r="D6061">
        <v>2</v>
      </c>
      <c r="E6061">
        <v>0</v>
      </c>
      <c r="I6061">
        <v>2</v>
      </c>
      <c r="M6061" t="s">
        <v>6185</v>
      </c>
    </row>
    <row r="6062" spans="1:13" ht="15" customHeight="1">
      <c r="A6062" s="10">
        <v>46193</v>
      </c>
      <c r="B6062" t="s">
        <v>201</v>
      </c>
      <c r="C6062" t="s">
        <v>322</v>
      </c>
      <c r="D6062">
        <v>1</v>
      </c>
      <c r="E6062">
        <v>0</v>
      </c>
      <c r="F6062">
        <v>1</v>
      </c>
      <c r="I6062">
        <v>2</v>
      </c>
      <c r="M6062" t="s">
        <v>6186</v>
      </c>
    </row>
    <row r="6063" spans="1:13" ht="15" customHeight="1">
      <c r="A6063" s="10">
        <v>46193</v>
      </c>
      <c r="B6063" t="s">
        <v>201</v>
      </c>
      <c r="C6063" s="135" t="s">
        <v>168</v>
      </c>
      <c r="D6063">
        <v>1</v>
      </c>
      <c r="E6063">
        <v>0</v>
      </c>
      <c r="I6063">
        <v>1</v>
      </c>
      <c r="M6063" t="s">
        <v>6187</v>
      </c>
    </row>
    <row r="6064" spans="1:13" ht="15" customHeight="1">
      <c r="A6064" s="10">
        <v>46193</v>
      </c>
      <c r="B6064" t="s">
        <v>201</v>
      </c>
      <c r="C6064" s="135" t="s">
        <v>170</v>
      </c>
      <c r="D6064">
        <v>1</v>
      </c>
      <c r="E6064">
        <v>0</v>
      </c>
      <c r="I6064">
        <v>1</v>
      </c>
      <c r="M6064" t="s">
        <v>6188</v>
      </c>
    </row>
    <row r="6065" spans="1:13" ht="15" customHeight="1">
      <c r="A6065" s="10">
        <v>46193</v>
      </c>
      <c r="B6065" t="s">
        <v>201</v>
      </c>
      <c r="C6065" s="135" t="s">
        <v>171</v>
      </c>
      <c r="D6065">
        <v>3</v>
      </c>
      <c r="E6065">
        <v>0</v>
      </c>
      <c r="I6065">
        <v>3</v>
      </c>
      <c r="M6065" t="s">
        <v>6189</v>
      </c>
    </row>
    <row r="6066" spans="1:13" ht="15" customHeight="1">
      <c r="A6066" s="10">
        <v>46193</v>
      </c>
      <c r="B6066" t="s">
        <v>201</v>
      </c>
      <c r="C6066" s="135" t="s">
        <v>172</v>
      </c>
      <c r="D6066">
        <v>1</v>
      </c>
      <c r="E6066">
        <v>0</v>
      </c>
      <c r="I6066">
        <v>1</v>
      </c>
      <c r="M6066" t="s">
        <v>6190</v>
      </c>
    </row>
    <row r="6067" spans="1:13" ht="15" customHeight="1">
      <c r="A6067" s="10">
        <v>46193</v>
      </c>
      <c r="B6067" t="s">
        <v>201</v>
      </c>
      <c r="C6067" s="135" t="s">
        <v>173</v>
      </c>
      <c r="D6067">
        <v>0</v>
      </c>
      <c r="E6067">
        <v>0</v>
      </c>
      <c r="I6067">
        <v>0</v>
      </c>
      <c r="M6067" t="s">
        <v>6191</v>
      </c>
    </row>
    <row r="6068" spans="1:13" ht="15" customHeight="1">
      <c r="A6068" s="10">
        <v>46193</v>
      </c>
      <c r="B6068" t="s">
        <v>201</v>
      </c>
      <c r="C6068" t="s">
        <v>176</v>
      </c>
      <c r="D6068">
        <v>0</v>
      </c>
      <c r="E6068">
        <v>21</v>
      </c>
      <c r="I6068">
        <v>0</v>
      </c>
      <c r="J6068">
        <v>21</v>
      </c>
      <c r="M6068" t="s">
        <v>6192</v>
      </c>
    </row>
    <row r="6069" spans="1:13" ht="15" customHeight="1">
      <c r="A6069" s="10">
        <v>46193</v>
      </c>
      <c r="B6069" t="s">
        <v>201</v>
      </c>
      <c r="C6069" t="s">
        <v>178</v>
      </c>
      <c r="D6069">
        <v>0</v>
      </c>
      <c r="E6069">
        <v>25</v>
      </c>
      <c r="I6069">
        <v>0</v>
      </c>
      <c r="J6069">
        <v>25</v>
      </c>
      <c r="M6069" t="s">
        <v>6193</v>
      </c>
    </row>
    <row r="6070" spans="1:13" ht="15" customHeight="1">
      <c r="A6070" s="10">
        <v>46193</v>
      </c>
      <c r="B6070" t="s">
        <v>201</v>
      </c>
      <c r="C6070" t="s">
        <v>179</v>
      </c>
      <c r="D6070">
        <v>0</v>
      </c>
      <c r="E6070">
        <v>17</v>
      </c>
      <c r="I6070">
        <v>0</v>
      </c>
      <c r="J6070">
        <v>17</v>
      </c>
      <c r="M6070" t="s">
        <v>6194</v>
      </c>
    </row>
    <row r="6071" spans="1:13" ht="15" customHeight="1">
      <c r="A6071" s="10">
        <v>46193</v>
      </c>
      <c r="B6071" t="s">
        <v>201</v>
      </c>
      <c r="C6071" t="s">
        <v>180</v>
      </c>
      <c r="D6071">
        <v>0</v>
      </c>
      <c r="E6071">
        <v>15</v>
      </c>
      <c r="H6071">
        <v>3</v>
      </c>
      <c r="I6071">
        <v>0</v>
      </c>
      <c r="J6071">
        <v>12</v>
      </c>
      <c r="M6071" t="s">
        <v>6195</v>
      </c>
    </row>
    <row r="6072" spans="1:13" ht="15" customHeight="1">
      <c r="A6072" s="10">
        <v>46193</v>
      </c>
      <c r="B6072" t="s">
        <v>201</v>
      </c>
      <c r="C6072" s="135" t="s">
        <v>182</v>
      </c>
      <c r="D6072">
        <v>1</v>
      </c>
      <c r="E6072">
        <v>150</v>
      </c>
      <c r="I6072">
        <v>1</v>
      </c>
      <c r="J6072">
        <v>150</v>
      </c>
      <c r="M6072" t="s">
        <v>6196</v>
      </c>
    </row>
    <row r="6073" spans="1:13" ht="15" customHeight="1">
      <c r="A6073" s="10">
        <v>46193</v>
      </c>
      <c r="B6073" t="s">
        <v>201</v>
      </c>
      <c r="C6073" s="135" t="s">
        <v>184</v>
      </c>
      <c r="D6073">
        <v>0</v>
      </c>
      <c r="E6073">
        <v>99</v>
      </c>
      <c r="I6073">
        <v>0</v>
      </c>
      <c r="J6073">
        <v>88</v>
      </c>
      <c r="M6073" t="s">
        <v>6197</v>
      </c>
    </row>
    <row r="6074" spans="1:13" ht="15" customHeight="1">
      <c r="A6074" s="10">
        <v>46193</v>
      </c>
      <c r="B6074" t="s">
        <v>201</v>
      </c>
      <c r="C6074" s="135" t="s">
        <v>185</v>
      </c>
      <c r="D6074">
        <v>1</v>
      </c>
      <c r="E6074">
        <v>30</v>
      </c>
      <c r="I6074">
        <v>1</v>
      </c>
      <c r="J6074">
        <v>30</v>
      </c>
      <c r="M6074" t="s">
        <v>6198</v>
      </c>
    </row>
    <row r="6075" spans="1:13" ht="15" customHeight="1">
      <c r="A6075" s="10">
        <v>46193</v>
      </c>
      <c r="B6075" t="s">
        <v>201</v>
      </c>
      <c r="C6075" s="135" t="s">
        <v>186</v>
      </c>
      <c r="D6075">
        <v>1</v>
      </c>
      <c r="E6075">
        <v>580</v>
      </c>
      <c r="I6075">
        <v>1</v>
      </c>
      <c r="J6075">
        <v>570</v>
      </c>
      <c r="M6075" t="s">
        <v>6199</v>
      </c>
    </row>
    <row r="6076" spans="1:13" ht="15" customHeight="1">
      <c r="A6076" s="10">
        <v>46193</v>
      </c>
      <c r="B6076" t="s">
        <v>201</v>
      </c>
      <c r="C6076" t="s">
        <v>337</v>
      </c>
      <c r="D6076">
        <v>1</v>
      </c>
      <c r="E6076">
        <v>417</v>
      </c>
      <c r="I6076">
        <v>1</v>
      </c>
      <c r="J6076">
        <v>342</v>
      </c>
      <c r="M6076" t="s">
        <v>6200</v>
      </c>
    </row>
    <row r="6077" spans="1:13" ht="15" customHeight="1">
      <c r="A6077" s="10">
        <v>46193</v>
      </c>
      <c r="B6077" t="s">
        <v>201</v>
      </c>
      <c r="C6077" t="s">
        <v>339</v>
      </c>
      <c r="D6077">
        <v>0</v>
      </c>
      <c r="E6077">
        <v>0</v>
      </c>
      <c r="I6077">
        <v>0</v>
      </c>
      <c r="J6077">
        <v>0</v>
      </c>
      <c r="M6077" t="s">
        <v>6201</v>
      </c>
    </row>
    <row r="6078" spans="1:13" ht="15" customHeight="1">
      <c r="A6078" s="10">
        <v>46193</v>
      </c>
      <c r="B6078" t="s">
        <v>201</v>
      </c>
      <c r="C6078" s="135" t="s">
        <v>191</v>
      </c>
      <c r="D6078">
        <v>0</v>
      </c>
      <c r="E6078">
        <v>612</v>
      </c>
      <c r="I6078">
        <v>0</v>
      </c>
      <c r="J6078">
        <v>612</v>
      </c>
      <c r="M6078" t="s">
        <v>6202</v>
      </c>
    </row>
    <row r="6079" spans="1:13" ht="15" customHeight="1">
      <c r="A6079" s="10">
        <v>46193</v>
      </c>
      <c r="B6079" t="s">
        <v>201</v>
      </c>
      <c r="C6079" s="135" t="s">
        <v>193</v>
      </c>
      <c r="D6079">
        <v>1</v>
      </c>
      <c r="E6079">
        <v>215</v>
      </c>
      <c r="I6079">
        <v>1</v>
      </c>
      <c r="J6079">
        <v>125</v>
      </c>
      <c r="M6079" t="s">
        <v>6203</v>
      </c>
    </row>
    <row r="6080" spans="1:13" ht="15" customHeight="1">
      <c r="A6080" s="10">
        <v>46193</v>
      </c>
      <c r="B6080" t="s">
        <v>201</v>
      </c>
      <c r="C6080" s="135" t="s">
        <v>194</v>
      </c>
      <c r="D6080">
        <v>1</v>
      </c>
      <c r="E6080">
        <v>21</v>
      </c>
      <c r="I6080">
        <v>1</v>
      </c>
      <c r="J6080">
        <v>18</v>
      </c>
      <c r="M6080" t="s">
        <v>6204</v>
      </c>
    </row>
    <row r="6081" spans="1:13" ht="15" customHeight="1">
      <c r="A6081" s="10">
        <v>46193</v>
      </c>
      <c r="B6081" t="s">
        <v>201</v>
      </c>
      <c r="C6081" s="135" t="s">
        <v>196</v>
      </c>
      <c r="D6081">
        <v>0</v>
      </c>
      <c r="E6081">
        <v>476</v>
      </c>
      <c r="I6081">
        <v>0</v>
      </c>
      <c r="J6081">
        <v>446</v>
      </c>
      <c r="M6081" t="s">
        <v>6205</v>
      </c>
    </row>
    <row r="6082" spans="1:13" ht="15" customHeight="1">
      <c r="A6082" s="10">
        <v>46193</v>
      </c>
      <c r="B6082" t="s">
        <v>201</v>
      </c>
      <c r="C6082" s="135" t="s">
        <v>199</v>
      </c>
      <c r="D6082">
        <v>0</v>
      </c>
      <c r="E6082">
        <v>567</v>
      </c>
      <c r="I6082">
        <v>0</v>
      </c>
      <c r="J6082">
        <v>567</v>
      </c>
      <c r="M6082" t="s">
        <v>6206</v>
      </c>
    </row>
    <row r="6083" spans="1:13" ht="15" customHeight="1">
      <c r="A6083" s="10">
        <v>46193</v>
      </c>
      <c r="B6083" t="s">
        <v>201</v>
      </c>
      <c r="C6083" s="135" t="s">
        <v>200</v>
      </c>
      <c r="D6083">
        <v>0</v>
      </c>
      <c r="E6083">
        <v>883</v>
      </c>
      <c r="I6083">
        <v>0</v>
      </c>
      <c r="J6083">
        <v>883</v>
      </c>
      <c r="M6083" t="s">
        <v>6207</v>
      </c>
    </row>
    <row r="6084" spans="1:13" ht="15" customHeight="1">
      <c r="A6084" s="10">
        <v>46193</v>
      </c>
      <c r="B6084" t="s">
        <v>201</v>
      </c>
      <c r="C6084" s="135" t="s">
        <v>202</v>
      </c>
      <c r="D6084">
        <v>0</v>
      </c>
      <c r="E6084">
        <v>711</v>
      </c>
      <c r="I6084">
        <v>0</v>
      </c>
      <c r="J6084">
        <v>711</v>
      </c>
      <c r="M6084" t="s">
        <v>6208</v>
      </c>
    </row>
    <row r="6085" spans="1:13" ht="15" customHeight="1">
      <c r="A6085" s="10">
        <v>46194</v>
      </c>
      <c r="B6085" t="s">
        <v>201</v>
      </c>
      <c r="C6085" t="s">
        <v>23</v>
      </c>
      <c r="D6085">
        <v>6</v>
      </c>
      <c r="E6085">
        <v>1178</v>
      </c>
      <c r="I6085">
        <v>5</v>
      </c>
      <c r="J6085">
        <v>1266</v>
      </c>
      <c r="M6085" t="s">
        <v>6209</v>
      </c>
    </row>
    <row r="6086" spans="1:13" ht="15" customHeight="1">
      <c r="A6086" s="10">
        <v>46194</v>
      </c>
      <c r="B6086" t="s">
        <v>201</v>
      </c>
      <c r="C6086" t="s">
        <v>26</v>
      </c>
      <c r="D6086">
        <v>2</v>
      </c>
      <c r="E6086">
        <v>1254</v>
      </c>
      <c r="I6086">
        <v>2</v>
      </c>
      <c r="J6086">
        <v>1074</v>
      </c>
      <c r="M6086" t="s">
        <v>6210</v>
      </c>
    </row>
    <row r="6087" spans="1:13" ht="15" customHeight="1">
      <c r="A6087" s="10">
        <v>46194</v>
      </c>
      <c r="B6087" t="s">
        <v>201</v>
      </c>
      <c r="C6087" t="s">
        <v>27</v>
      </c>
      <c r="D6087">
        <v>1</v>
      </c>
      <c r="E6087">
        <v>967</v>
      </c>
      <c r="I6087">
        <v>1</v>
      </c>
      <c r="J6087">
        <v>800</v>
      </c>
      <c r="M6087" t="s">
        <v>6211</v>
      </c>
    </row>
    <row r="6088" spans="1:13" ht="15" customHeight="1">
      <c r="A6088" s="10">
        <v>46194</v>
      </c>
      <c r="B6088" t="s">
        <v>201</v>
      </c>
      <c r="C6088" t="s">
        <v>28</v>
      </c>
      <c r="D6088">
        <v>0</v>
      </c>
      <c r="E6088">
        <v>0</v>
      </c>
      <c r="I6088">
        <v>0</v>
      </c>
      <c r="J6088">
        <v>0</v>
      </c>
      <c r="M6088" t="s">
        <v>6212</v>
      </c>
    </row>
    <row r="6089" spans="1:13" ht="15" customHeight="1">
      <c r="A6089" s="10">
        <v>46194</v>
      </c>
      <c r="B6089" t="s">
        <v>201</v>
      </c>
      <c r="C6089" t="s">
        <v>29</v>
      </c>
      <c r="D6089">
        <v>0</v>
      </c>
      <c r="E6089">
        <v>1209</v>
      </c>
      <c r="I6089">
        <v>0</v>
      </c>
      <c r="J6089">
        <v>1101</v>
      </c>
      <c r="M6089" t="s">
        <v>6213</v>
      </c>
    </row>
    <row r="6090" spans="1:13" ht="15" customHeight="1">
      <c r="A6090" s="10">
        <v>46194</v>
      </c>
      <c r="B6090" t="s">
        <v>201</v>
      </c>
      <c r="C6090" t="s">
        <v>30</v>
      </c>
      <c r="D6090">
        <v>1</v>
      </c>
      <c r="E6090">
        <v>971</v>
      </c>
      <c r="I6090">
        <v>1</v>
      </c>
      <c r="J6090">
        <v>953</v>
      </c>
      <c r="M6090" t="s">
        <v>6214</v>
      </c>
    </row>
    <row r="6091" spans="1:13" ht="15" customHeight="1">
      <c r="A6091" s="10">
        <v>46194</v>
      </c>
      <c r="B6091" t="s">
        <v>201</v>
      </c>
      <c r="C6091" t="s">
        <v>31</v>
      </c>
      <c r="D6091">
        <v>1</v>
      </c>
      <c r="E6091">
        <v>776</v>
      </c>
      <c r="I6091">
        <v>1</v>
      </c>
      <c r="J6091">
        <v>758</v>
      </c>
      <c r="M6091" t="s">
        <v>6215</v>
      </c>
    </row>
    <row r="6092" spans="1:13" ht="15" customHeight="1">
      <c r="A6092" s="10">
        <v>46194</v>
      </c>
      <c r="B6092" t="s">
        <v>201</v>
      </c>
      <c r="C6092" t="s">
        <v>32</v>
      </c>
      <c r="D6092">
        <v>1</v>
      </c>
      <c r="E6092">
        <v>509</v>
      </c>
      <c r="I6092">
        <v>1</v>
      </c>
      <c r="J6092">
        <v>509</v>
      </c>
      <c r="M6092" t="s">
        <v>6216</v>
      </c>
    </row>
    <row r="6093" spans="1:13" ht="15" customHeight="1">
      <c r="A6093" s="10">
        <v>46194</v>
      </c>
      <c r="B6093" t="s">
        <v>201</v>
      </c>
      <c r="C6093" t="s">
        <v>223</v>
      </c>
      <c r="D6093">
        <v>6</v>
      </c>
      <c r="E6093">
        <v>272</v>
      </c>
      <c r="I6093">
        <v>4</v>
      </c>
      <c r="J6093">
        <v>921</v>
      </c>
      <c r="M6093" t="s">
        <v>6217</v>
      </c>
    </row>
    <row r="6094" spans="1:13" ht="15" customHeight="1">
      <c r="A6094" s="10">
        <v>46194</v>
      </c>
      <c r="B6094" t="s">
        <v>201</v>
      </c>
      <c r="C6094" t="s">
        <v>35</v>
      </c>
      <c r="D6094">
        <v>10</v>
      </c>
      <c r="E6094">
        <v>0</v>
      </c>
      <c r="H6094">
        <v>7</v>
      </c>
      <c r="I6094">
        <v>3</v>
      </c>
      <c r="M6094" t="s">
        <v>6218</v>
      </c>
    </row>
    <row r="6095" spans="1:13" ht="15" customHeight="1">
      <c r="A6095" s="10">
        <v>46194</v>
      </c>
      <c r="B6095" t="s">
        <v>201</v>
      </c>
      <c r="C6095" t="s">
        <v>37</v>
      </c>
      <c r="D6095">
        <v>5</v>
      </c>
      <c r="E6095">
        <v>0</v>
      </c>
      <c r="H6095">
        <v>1</v>
      </c>
      <c r="I6095">
        <v>4</v>
      </c>
      <c r="M6095" t="s">
        <v>6219</v>
      </c>
    </row>
    <row r="6096" spans="1:13" ht="15" customHeight="1">
      <c r="A6096" s="10">
        <v>46194</v>
      </c>
      <c r="B6096" t="s">
        <v>201</v>
      </c>
      <c r="C6096" t="s">
        <v>39</v>
      </c>
      <c r="D6096">
        <v>7</v>
      </c>
      <c r="E6096">
        <v>0</v>
      </c>
      <c r="H6096">
        <v>1</v>
      </c>
      <c r="I6096">
        <v>6</v>
      </c>
      <c r="M6096" t="s">
        <v>6220</v>
      </c>
    </row>
    <row r="6097" spans="1:13" ht="15" customHeight="1">
      <c r="A6097" s="10">
        <v>46194</v>
      </c>
      <c r="B6097" t="s">
        <v>201</v>
      </c>
      <c r="C6097" t="s">
        <v>41</v>
      </c>
      <c r="D6097">
        <v>20</v>
      </c>
      <c r="E6097">
        <v>0</v>
      </c>
      <c r="H6097">
        <v>2</v>
      </c>
      <c r="I6097">
        <v>18</v>
      </c>
      <c r="M6097" t="s">
        <v>6221</v>
      </c>
    </row>
    <row r="6098" spans="1:13" ht="15" customHeight="1">
      <c r="A6098" s="10">
        <v>46194</v>
      </c>
      <c r="B6098" t="s">
        <v>201</v>
      </c>
      <c r="C6098" s="135" t="s">
        <v>44</v>
      </c>
      <c r="D6098">
        <v>6</v>
      </c>
      <c r="E6098">
        <v>9877</v>
      </c>
      <c r="I6098">
        <v>6</v>
      </c>
      <c r="J6098">
        <v>8759</v>
      </c>
      <c r="M6098" t="s">
        <v>6222</v>
      </c>
    </row>
    <row r="6099" spans="1:13" ht="15" customHeight="1">
      <c r="A6099" s="10">
        <v>46194</v>
      </c>
      <c r="B6099" t="s">
        <v>201</v>
      </c>
      <c r="C6099" t="s">
        <v>230</v>
      </c>
      <c r="D6099">
        <v>1</v>
      </c>
      <c r="E6099">
        <v>729</v>
      </c>
      <c r="I6099">
        <v>1</v>
      </c>
      <c r="J6099">
        <v>718</v>
      </c>
      <c r="M6099" t="s">
        <v>6223</v>
      </c>
    </row>
    <row r="6100" spans="1:13" ht="15" customHeight="1">
      <c r="A6100" s="10">
        <v>46194</v>
      </c>
      <c r="B6100" t="s">
        <v>201</v>
      </c>
      <c r="C6100" t="s">
        <v>232</v>
      </c>
      <c r="D6100">
        <v>11</v>
      </c>
      <c r="E6100">
        <v>0</v>
      </c>
      <c r="I6100">
        <v>11</v>
      </c>
      <c r="M6100" t="s">
        <v>6224</v>
      </c>
    </row>
    <row r="6101" spans="1:13" ht="15" customHeight="1">
      <c r="A6101" s="10">
        <v>46194</v>
      </c>
      <c r="B6101" t="s">
        <v>201</v>
      </c>
      <c r="C6101" t="s">
        <v>234</v>
      </c>
      <c r="D6101">
        <v>66</v>
      </c>
      <c r="E6101">
        <v>0</v>
      </c>
      <c r="H6101">
        <v>11</v>
      </c>
      <c r="I6101">
        <v>55</v>
      </c>
      <c r="M6101" t="s">
        <v>6225</v>
      </c>
    </row>
    <row r="6102" spans="1:13" ht="15" customHeight="1">
      <c r="A6102" s="10">
        <v>46194</v>
      </c>
      <c r="B6102" t="s">
        <v>201</v>
      </c>
      <c r="C6102" t="s">
        <v>54</v>
      </c>
      <c r="D6102">
        <v>0</v>
      </c>
      <c r="E6102">
        <v>0</v>
      </c>
      <c r="H6102">
        <v>0</v>
      </c>
      <c r="I6102">
        <v>0</v>
      </c>
      <c r="M6102" t="s">
        <v>6226</v>
      </c>
    </row>
    <row r="6103" spans="1:13" ht="15" customHeight="1">
      <c r="A6103" s="10">
        <v>46194</v>
      </c>
      <c r="B6103" t="s">
        <v>201</v>
      </c>
      <c r="C6103" t="s">
        <v>237</v>
      </c>
      <c r="D6103">
        <v>16</v>
      </c>
      <c r="E6103">
        <v>0</v>
      </c>
      <c r="H6103">
        <v>1</v>
      </c>
      <c r="I6103">
        <v>15</v>
      </c>
      <c r="M6103" t="s">
        <v>6227</v>
      </c>
    </row>
    <row r="6104" spans="1:13" ht="15" customHeight="1">
      <c r="A6104" s="10">
        <v>46194</v>
      </c>
      <c r="B6104" t="s">
        <v>201</v>
      </c>
      <c r="C6104" s="135" t="s">
        <v>58</v>
      </c>
      <c r="D6104">
        <v>14</v>
      </c>
      <c r="E6104">
        <v>0</v>
      </c>
      <c r="H6104">
        <v>3</v>
      </c>
      <c r="I6104">
        <v>11</v>
      </c>
      <c r="M6104" t="s">
        <v>6228</v>
      </c>
    </row>
    <row r="6105" spans="1:13" ht="15" customHeight="1">
      <c r="A6105" s="10">
        <v>46194</v>
      </c>
      <c r="B6105" t="s">
        <v>201</v>
      </c>
      <c r="C6105" s="135" t="s">
        <v>60</v>
      </c>
      <c r="D6105">
        <v>11</v>
      </c>
      <c r="E6105">
        <v>0</v>
      </c>
      <c r="H6105">
        <v>3</v>
      </c>
      <c r="I6105">
        <v>8</v>
      </c>
      <c r="M6105" t="s">
        <v>6229</v>
      </c>
    </row>
    <row r="6106" spans="1:13" ht="15" customHeight="1">
      <c r="A6106" s="10">
        <v>46194</v>
      </c>
      <c r="B6106" t="s">
        <v>201</v>
      </c>
      <c r="C6106" s="135" t="s">
        <v>61</v>
      </c>
      <c r="D6106">
        <v>13</v>
      </c>
      <c r="E6106">
        <v>0</v>
      </c>
      <c r="H6106">
        <v>4</v>
      </c>
      <c r="I6106">
        <v>9</v>
      </c>
      <c r="M6106" t="s">
        <v>6230</v>
      </c>
    </row>
    <row r="6107" spans="1:13" ht="15" customHeight="1">
      <c r="A6107" s="10">
        <v>46194</v>
      </c>
      <c r="B6107" t="s">
        <v>201</v>
      </c>
      <c r="C6107" s="135" t="s">
        <v>62</v>
      </c>
      <c r="D6107">
        <v>14</v>
      </c>
      <c r="E6107">
        <v>0</v>
      </c>
      <c r="H6107">
        <v>3</v>
      </c>
      <c r="I6107">
        <v>11</v>
      </c>
      <c r="M6107" t="s">
        <v>6231</v>
      </c>
    </row>
    <row r="6108" spans="1:13" ht="15" customHeight="1">
      <c r="A6108" s="10">
        <v>46194</v>
      </c>
      <c r="B6108" t="s">
        <v>201</v>
      </c>
      <c r="C6108" s="135" t="s">
        <v>63</v>
      </c>
      <c r="D6108">
        <v>9</v>
      </c>
      <c r="E6108">
        <v>0</v>
      </c>
      <c r="H6108">
        <v>2</v>
      </c>
      <c r="I6108">
        <v>7</v>
      </c>
      <c r="M6108" t="s">
        <v>6232</v>
      </c>
    </row>
    <row r="6109" spans="1:13" ht="15" customHeight="1">
      <c r="A6109" s="10">
        <v>46194</v>
      </c>
      <c r="B6109" t="s">
        <v>201</v>
      </c>
      <c r="C6109" s="135" t="s">
        <v>64</v>
      </c>
      <c r="D6109">
        <v>7</v>
      </c>
      <c r="E6109">
        <v>0</v>
      </c>
      <c r="I6109">
        <v>7</v>
      </c>
      <c r="M6109" t="s">
        <v>6233</v>
      </c>
    </row>
    <row r="6110" spans="1:13" ht="15" customHeight="1">
      <c r="A6110" s="10">
        <v>46194</v>
      </c>
      <c r="B6110" t="s">
        <v>201</v>
      </c>
      <c r="C6110" t="s">
        <v>66</v>
      </c>
      <c r="D6110">
        <v>3</v>
      </c>
      <c r="E6110">
        <v>0</v>
      </c>
      <c r="I6110">
        <v>3</v>
      </c>
      <c r="M6110" t="s">
        <v>6234</v>
      </c>
    </row>
    <row r="6111" spans="1:13" ht="15" customHeight="1">
      <c r="A6111" s="10">
        <v>46194</v>
      </c>
      <c r="B6111" t="s">
        <v>201</v>
      </c>
      <c r="C6111" t="s">
        <v>67</v>
      </c>
      <c r="D6111">
        <v>6</v>
      </c>
      <c r="E6111">
        <v>0</v>
      </c>
      <c r="I6111">
        <v>6</v>
      </c>
      <c r="M6111" t="s">
        <v>6235</v>
      </c>
    </row>
    <row r="6112" spans="1:13" ht="15" customHeight="1">
      <c r="A6112" s="10">
        <v>46194</v>
      </c>
      <c r="B6112" t="s">
        <v>201</v>
      </c>
      <c r="C6112" t="s">
        <v>68</v>
      </c>
      <c r="D6112">
        <v>3</v>
      </c>
      <c r="E6112">
        <v>0</v>
      </c>
      <c r="I6112">
        <v>3</v>
      </c>
      <c r="M6112" t="s">
        <v>6236</v>
      </c>
    </row>
    <row r="6113" spans="1:13" ht="15" customHeight="1">
      <c r="A6113" s="10">
        <v>46194</v>
      </c>
      <c r="B6113" t="s">
        <v>201</v>
      </c>
      <c r="C6113" t="s">
        <v>71</v>
      </c>
      <c r="D6113">
        <v>2</v>
      </c>
      <c r="E6113">
        <v>93</v>
      </c>
      <c r="I6113">
        <v>1</v>
      </c>
      <c r="J6113">
        <v>816</v>
      </c>
      <c r="M6113" t="s">
        <v>6237</v>
      </c>
    </row>
    <row r="6114" spans="1:13" ht="15" customHeight="1">
      <c r="A6114" s="10">
        <v>46194</v>
      </c>
      <c r="B6114" t="s">
        <v>201</v>
      </c>
      <c r="C6114" t="s">
        <v>73</v>
      </c>
      <c r="D6114">
        <v>2</v>
      </c>
      <c r="E6114">
        <v>460</v>
      </c>
      <c r="I6114">
        <v>2</v>
      </c>
      <c r="J6114">
        <v>391</v>
      </c>
      <c r="M6114" t="s">
        <v>6238</v>
      </c>
    </row>
    <row r="6115" spans="1:13" ht="15" customHeight="1">
      <c r="A6115" s="10">
        <v>46194</v>
      </c>
      <c r="B6115" t="s">
        <v>201</v>
      </c>
      <c r="C6115" t="s">
        <v>75</v>
      </c>
      <c r="D6115">
        <v>1</v>
      </c>
      <c r="E6115">
        <v>98</v>
      </c>
      <c r="I6115">
        <v>0</v>
      </c>
      <c r="J6115">
        <v>349</v>
      </c>
      <c r="M6115" t="s">
        <v>6239</v>
      </c>
    </row>
    <row r="6116" spans="1:13" ht="15" customHeight="1">
      <c r="A6116" s="10">
        <v>46194</v>
      </c>
      <c r="B6116" t="s">
        <v>201</v>
      </c>
      <c r="C6116" t="s">
        <v>77</v>
      </c>
      <c r="D6116">
        <v>1</v>
      </c>
      <c r="E6116">
        <v>282</v>
      </c>
      <c r="I6116">
        <v>1</v>
      </c>
      <c r="J6116">
        <v>282</v>
      </c>
      <c r="M6116" t="s">
        <v>6240</v>
      </c>
    </row>
    <row r="6117" spans="1:13" ht="15" customHeight="1">
      <c r="A6117" s="10">
        <v>46194</v>
      </c>
      <c r="B6117" t="s">
        <v>201</v>
      </c>
      <c r="C6117" t="s">
        <v>79</v>
      </c>
      <c r="D6117">
        <v>1</v>
      </c>
      <c r="E6117">
        <v>279</v>
      </c>
      <c r="I6117">
        <v>1</v>
      </c>
      <c r="J6117">
        <v>436</v>
      </c>
      <c r="M6117" t="s">
        <v>6241</v>
      </c>
    </row>
    <row r="6118" spans="1:13" ht="15" customHeight="1">
      <c r="A6118" s="10">
        <v>46194</v>
      </c>
      <c r="B6118" t="s">
        <v>201</v>
      </c>
      <c r="C6118" t="s">
        <v>81</v>
      </c>
      <c r="D6118">
        <v>1</v>
      </c>
      <c r="E6118">
        <v>321</v>
      </c>
      <c r="I6118">
        <v>1</v>
      </c>
      <c r="J6118">
        <v>302</v>
      </c>
      <c r="M6118" t="s">
        <v>6242</v>
      </c>
    </row>
    <row r="6119" spans="1:13" ht="15" customHeight="1">
      <c r="A6119" s="10">
        <v>46194</v>
      </c>
      <c r="B6119" t="s">
        <v>201</v>
      </c>
      <c r="C6119" t="s">
        <v>83</v>
      </c>
      <c r="D6119">
        <v>1</v>
      </c>
      <c r="E6119">
        <v>23</v>
      </c>
      <c r="I6119">
        <v>0</v>
      </c>
      <c r="J6119">
        <v>416</v>
      </c>
      <c r="M6119" t="s">
        <v>6243</v>
      </c>
    </row>
    <row r="6120" spans="1:13" ht="15" customHeight="1">
      <c r="A6120" s="10">
        <v>46194</v>
      </c>
      <c r="B6120" t="s">
        <v>201</v>
      </c>
      <c r="C6120" t="s">
        <v>84</v>
      </c>
      <c r="D6120">
        <v>1</v>
      </c>
      <c r="E6120">
        <v>289</v>
      </c>
      <c r="I6120">
        <v>1</v>
      </c>
      <c r="J6120">
        <v>289</v>
      </c>
      <c r="M6120" t="s">
        <v>6244</v>
      </c>
    </row>
    <row r="6121" spans="1:13" ht="15" customHeight="1">
      <c r="A6121" s="10">
        <v>46194</v>
      </c>
      <c r="B6121" t="s">
        <v>201</v>
      </c>
      <c r="C6121" t="s">
        <v>85</v>
      </c>
      <c r="D6121">
        <v>0</v>
      </c>
      <c r="E6121">
        <v>200</v>
      </c>
      <c r="I6121">
        <v>0</v>
      </c>
      <c r="J6121">
        <v>200</v>
      </c>
      <c r="M6121" t="s">
        <v>6245</v>
      </c>
    </row>
    <row r="6122" spans="1:13" ht="15" customHeight="1">
      <c r="A6122" s="10">
        <v>46194</v>
      </c>
      <c r="B6122" t="s">
        <v>201</v>
      </c>
      <c r="C6122" t="s">
        <v>87</v>
      </c>
      <c r="D6122">
        <v>2</v>
      </c>
      <c r="E6122">
        <v>176</v>
      </c>
      <c r="I6122">
        <v>2</v>
      </c>
      <c r="J6122">
        <v>135</v>
      </c>
      <c r="M6122" t="s">
        <v>6246</v>
      </c>
    </row>
    <row r="6123" spans="1:13" ht="15" customHeight="1">
      <c r="A6123" s="10">
        <v>46194</v>
      </c>
      <c r="B6123" t="s">
        <v>201</v>
      </c>
      <c r="C6123" t="s">
        <v>88</v>
      </c>
      <c r="D6123">
        <v>2</v>
      </c>
      <c r="E6123">
        <v>286</v>
      </c>
      <c r="I6123">
        <v>2</v>
      </c>
      <c r="J6123">
        <v>279</v>
      </c>
      <c r="M6123" t="s">
        <v>6247</v>
      </c>
    </row>
    <row r="6124" spans="1:13" ht="15" customHeight="1">
      <c r="A6124" s="10">
        <v>46194</v>
      </c>
      <c r="B6124" t="s">
        <v>201</v>
      </c>
      <c r="C6124" t="s">
        <v>89</v>
      </c>
      <c r="D6124">
        <v>1</v>
      </c>
      <c r="E6124">
        <v>277</v>
      </c>
      <c r="I6124">
        <v>1</v>
      </c>
      <c r="J6124">
        <v>274</v>
      </c>
      <c r="M6124" t="s">
        <v>6248</v>
      </c>
    </row>
    <row r="6125" spans="1:13" ht="15" customHeight="1">
      <c r="A6125" s="10">
        <v>46194</v>
      </c>
      <c r="B6125" t="s">
        <v>201</v>
      </c>
      <c r="C6125" t="s">
        <v>90</v>
      </c>
      <c r="D6125">
        <v>1</v>
      </c>
      <c r="E6125">
        <v>395</v>
      </c>
      <c r="I6125">
        <v>1</v>
      </c>
      <c r="J6125">
        <v>322</v>
      </c>
      <c r="M6125" t="s">
        <v>6249</v>
      </c>
    </row>
    <row r="6126" spans="1:13" ht="15" customHeight="1">
      <c r="A6126" s="10">
        <v>46194</v>
      </c>
      <c r="B6126" t="s">
        <v>201</v>
      </c>
      <c r="C6126" t="s">
        <v>92</v>
      </c>
      <c r="D6126">
        <v>1</v>
      </c>
      <c r="E6126">
        <v>459</v>
      </c>
      <c r="I6126">
        <v>1</v>
      </c>
      <c r="J6126">
        <v>397</v>
      </c>
      <c r="M6126" t="s">
        <v>6250</v>
      </c>
    </row>
    <row r="6127" spans="1:13" ht="15" customHeight="1">
      <c r="A6127" s="10">
        <v>46194</v>
      </c>
      <c r="B6127" t="s">
        <v>201</v>
      </c>
      <c r="C6127" t="s">
        <v>94</v>
      </c>
      <c r="D6127">
        <v>3</v>
      </c>
      <c r="E6127">
        <v>500</v>
      </c>
      <c r="I6127">
        <v>3</v>
      </c>
      <c r="J6127">
        <v>410</v>
      </c>
      <c r="M6127" t="s">
        <v>6251</v>
      </c>
    </row>
    <row r="6128" spans="1:13" ht="15" customHeight="1">
      <c r="A6128" s="10">
        <v>46194</v>
      </c>
      <c r="B6128" t="s">
        <v>201</v>
      </c>
      <c r="C6128" t="s">
        <v>96</v>
      </c>
      <c r="D6128">
        <v>0</v>
      </c>
      <c r="E6128">
        <v>0</v>
      </c>
      <c r="I6128">
        <v>0</v>
      </c>
      <c r="J6128">
        <v>0</v>
      </c>
      <c r="M6128" t="s">
        <v>6252</v>
      </c>
    </row>
    <row r="6129" spans="1:13" ht="15" customHeight="1">
      <c r="A6129" s="10">
        <v>46194</v>
      </c>
      <c r="B6129" t="s">
        <v>201</v>
      </c>
      <c r="C6129" t="s">
        <v>98</v>
      </c>
      <c r="D6129">
        <v>2</v>
      </c>
      <c r="E6129">
        <v>390</v>
      </c>
      <c r="I6129">
        <v>2</v>
      </c>
      <c r="J6129">
        <v>348</v>
      </c>
      <c r="M6129" t="s">
        <v>6253</v>
      </c>
    </row>
    <row r="6130" spans="1:13" ht="15" customHeight="1">
      <c r="A6130" s="10">
        <v>46194</v>
      </c>
      <c r="B6130" t="s">
        <v>201</v>
      </c>
      <c r="C6130" t="s">
        <v>203</v>
      </c>
      <c r="D6130">
        <v>2</v>
      </c>
      <c r="E6130">
        <v>0</v>
      </c>
      <c r="I6130">
        <v>2</v>
      </c>
      <c r="J6130">
        <v>0</v>
      </c>
      <c r="M6130" t="s">
        <v>6254</v>
      </c>
    </row>
    <row r="6131" spans="1:13" ht="15" customHeight="1">
      <c r="A6131" s="10">
        <v>46194</v>
      </c>
      <c r="B6131" t="s">
        <v>201</v>
      </c>
      <c r="C6131" t="s">
        <v>100</v>
      </c>
      <c r="D6131">
        <v>0</v>
      </c>
      <c r="E6131">
        <v>0</v>
      </c>
      <c r="I6131">
        <v>0</v>
      </c>
      <c r="J6131">
        <v>0</v>
      </c>
      <c r="M6131" t="s">
        <v>6255</v>
      </c>
    </row>
    <row r="6132" spans="1:13" ht="15" customHeight="1">
      <c r="A6132" s="10">
        <v>46194</v>
      </c>
      <c r="B6132" t="s">
        <v>201</v>
      </c>
      <c r="C6132" t="s">
        <v>101</v>
      </c>
      <c r="D6132">
        <v>0</v>
      </c>
      <c r="E6132">
        <v>596</v>
      </c>
      <c r="I6132">
        <v>0</v>
      </c>
      <c r="J6132">
        <v>582</v>
      </c>
      <c r="M6132" t="s">
        <v>6256</v>
      </c>
    </row>
    <row r="6133" spans="1:13" ht="15" customHeight="1">
      <c r="A6133" s="10">
        <v>46194</v>
      </c>
      <c r="B6133" t="s">
        <v>201</v>
      </c>
      <c r="C6133" t="s">
        <v>103</v>
      </c>
      <c r="D6133">
        <v>0</v>
      </c>
      <c r="E6133">
        <v>7</v>
      </c>
      <c r="G6133">
        <v>8</v>
      </c>
      <c r="I6133">
        <v>0</v>
      </c>
      <c r="J6133">
        <v>13</v>
      </c>
      <c r="M6133" t="s">
        <v>6257</v>
      </c>
    </row>
    <row r="6134" spans="1:13" ht="15" customHeight="1">
      <c r="A6134" s="10">
        <v>46194</v>
      </c>
      <c r="B6134" t="s">
        <v>201</v>
      </c>
      <c r="C6134" t="s">
        <v>106</v>
      </c>
      <c r="D6134">
        <v>1</v>
      </c>
      <c r="E6134">
        <v>680</v>
      </c>
      <c r="I6134">
        <v>1</v>
      </c>
      <c r="J6134">
        <v>466</v>
      </c>
      <c r="M6134" t="s">
        <v>6258</v>
      </c>
    </row>
    <row r="6135" spans="1:13" ht="15" customHeight="1">
      <c r="A6135" s="10">
        <v>46194</v>
      </c>
      <c r="B6135" t="s">
        <v>201</v>
      </c>
      <c r="C6135" t="s">
        <v>108</v>
      </c>
      <c r="D6135">
        <v>1</v>
      </c>
      <c r="E6135">
        <v>918</v>
      </c>
      <c r="I6135">
        <v>1</v>
      </c>
      <c r="J6135">
        <v>883</v>
      </c>
      <c r="M6135" t="s">
        <v>6259</v>
      </c>
    </row>
    <row r="6136" spans="1:13" ht="15" customHeight="1">
      <c r="A6136" s="10">
        <v>46194</v>
      </c>
      <c r="B6136" t="s">
        <v>201</v>
      </c>
      <c r="C6136" t="s">
        <v>109</v>
      </c>
      <c r="D6136">
        <v>1</v>
      </c>
      <c r="E6136">
        <v>850</v>
      </c>
      <c r="I6136">
        <v>1</v>
      </c>
      <c r="J6136">
        <v>825</v>
      </c>
      <c r="M6136" t="s">
        <v>6260</v>
      </c>
    </row>
    <row r="6137" spans="1:13" ht="15" customHeight="1">
      <c r="A6137" s="10">
        <v>46194</v>
      </c>
      <c r="B6137" t="s">
        <v>201</v>
      </c>
      <c r="C6137" t="s">
        <v>112</v>
      </c>
      <c r="D6137">
        <v>1</v>
      </c>
      <c r="E6137">
        <v>20</v>
      </c>
      <c r="I6137">
        <v>1</v>
      </c>
      <c r="J6137">
        <v>18</v>
      </c>
      <c r="L6137" t="s">
        <v>6261</v>
      </c>
      <c r="M6137" t="s">
        <v>6262</v>
      </c>
    </row>
    <row r="6138" spans="1:13" ht="15" customHeight="1">
      <c r="A6138" s="10">
        <v>46194</v>
      </c>
      <c r="B6138" t="s">
        <v>201</v>
      </c>
      <c r="C6138" t="s">
        <v>114</v>
      </c>
      <c r="D6138">
        <v>3</v>
      </c>
      <c r="E6138">
        <v>9</v>
      </c>
      <c r="I6138">
        <v>2</v>
      </c>
      <c r="J6138">
        <v>49</v>
      </c>
      <c r="M6138" t="s">
        <v>6263</v>
      </c>
    </row>
    <row r="6139" spans="1:13" ht="15" customHeight="1">
      <c r="A6139" s="10">
        <v>46194</v>
      </c>
      <c r="B6139" t="s">
        <v>201</v>
      </c>
      <c r="C6139" t="s">
        <v>115</v>
      </c>
      <c r="D6139">
        <v>1</v>
      </c>
      <c r="E6139">
        <v>21</v>
      </c>
      <c r="I6139">
        <v>1</v>
      </c>
      <c r="J6139">
        <v>17</v>
      </c>
      <c r="M6139" t="s">
        <v>6264</v>
      </c>
    </row>
    <row r="6140" spans="1:13" ht="15" customHeight="1">
      <c r="A6140" s="10">
        <v>46194</v>
      </c>
      <c r="B6140" t="s">
        <v>201</v>
      </c>
      <c r="C6140" t="s">
        <v>116</v>
      </c>
      <c r="D6140">
        <v>2</v>
      </c>
      <c r="E6140">
        <v>39</v>
      </c>
      <c r="I6140">
        <v>2</v>
      </c>
      <c r="J6140">
        <v>25</v>
      </c>
      <c r="M6140" t="s">
        <v>6265</v>
      </c>
    </row>
    <row r="6141" spans="1:13" ht="15" customHeight="1">
      <c r="A6141" s="10">
        <v>46194</v>
      </c>
      <c r="B6141" t="s">
        <v>201</v>
      </c>
      <c r="C6141" t="s">
        <v>119</v>
      </c>
      <c r="D6141">
        <v>2</v>
      </c>
      <c r="E6141">
        <v>0</v>
      </c>
      <c r="I6141">
        <v>2</v>
      </c>
      <c r="M6141" t="s">
        <v>6266</v>
      </c>
    </row>
    <row r="6142" spans="1:13" ht="15" customHeight="1">
      <c r="A6142" s="10">
        <v>46194</v>
      </c>
      <c r="B6142" t="s">
        <v>201</v>
      </c>
      <c r="C6142" t="s">
        <v>120</v>
      </c>
      <c r="D6142">
        <v>2</v>
      </c>
      <c r="E6142">
        <v>0</v>
      </c>
      <c r="I6142">
        <v>2</v>
      </c>
      <c r="M6142" t="s">
        <v>6267</v>
      </c>
    </row>
    <row r="6143" spans="1:13" ht="15" customHeight="1">
      <c r="A6143" s="10">
        <v>46194</v>
      </c>
      <c r="B6143" t="s">
        <v>201</v>
      </c>
      <c r="C6143" t="s">
        <v>121</v>
      </c>
      <c r="D6143">
        <v>2</v>
      </c>
      <c r="E6143">
        <v>0</v>
      </c>
      <c r="I6143">
        <v>2</v>
      </c>
      <c r="M6143" t="s">
        <v>6268</v>
      </c>
    </row>
    <row r="6144" spans="1:13" ht="15" customHeight="1">
      <c r="A6144" s="10">
        <v>46194</v>
      </c>
      <c r="B6144" t="s">
        <v>201</v>
      </c>
      <c r="C6144" t="s">
        <v>123</v>
      </c>
      <c r="D6144">
        <v>2</v>
      </c>
      <c r="E6144">
        <v>0</v>
      </c>
      <c r="I6144">
        <v>2</v>
      </c>
      <c r="M6144" t="s">
        <v>6269</v>
      </c>
    </row>
    <row r="6145" spans="1:13" ht="15" customHeight="1">
      <c r="A6145" s="10">
        <v>46194</v>
      </c>
      <c r="B6145" t="s">
        <v>201</v>
      </c>
      <c r="C6145" t="s">
        <v>124</v>
      </c>
      <c r="D6145">
        <v>2</v>
      </c>
      <c r="E6145">
        <v>0</v>
      </c>
      <c r="I6145">
        <v>2</v>
      </c>
      <c r="M6145" t="s">
        <v>6270</v>
      </c>
    </row>
    <row r="6146" spans="1:13" ht="15" customHeight="1">
      <c r="A6146" s="10">
        <v>46194</v>
      </c>
      <c r="B6146" t="s">
        <v>201</v>
      </c>
      <c r="C6146" t="s">
        <v>125</v>
      </c>
      <c r="D6146">
        <v>2</v>
      </c>
      <c r="E6146">
        <v>0</v>
      </c>
      <c r="I6146">
        <v>2</v>
      </c>
      <c r="M6146" t="s">
        <v>6271</v>
      </c>
    </row>
    <row r="6147" spans="1:13" ht="15" customHeight="1">
      <c r="A6147" s="10">
        <v>46194</v>
      </c>
      <c r="B6147" t="s">
        <v>201</v>
      </c>
      <c r="C6147" t="s">
        <v>126</v>
      </c>
      <c r="D6147">
        <v>2</v>
      </c>
      <c r="E6147">
        <v>0</v>
      </c>
      <c r="I6147">
        <v>2</v>
      </c>
      <c r="M6147" t="s">
        <v>6272</v>
      </c>
    </row>
    <row r="6148" spans="1:13" ht="15" customHeight="1">
      <c r="A6148" s="10">
        <v>46194</v>
      </c>
      <c r="B6148" t="s">
        <v>201</v>
      </c>
      <c r="C6148" t="s">
        <v>128</v>
      </c>
      <c r="D6148">
        <v>2</v>
      </c>
      <c r="E6148">
        <v>0</v>
      </c>
      <c r="I6148">
        <v>2</v>
      </c>
      <c r="M6148" t="s">
        <v>6273</v>
      </c>
    </row>
    <row r="6149" spans="1:13" ht="15" customHeight="1">
      <c r="A6149" s="10">
        <v>46194</v>
      </c>
      <c r="B6149" t="s">
        <v>201</v>
      </c>
      <c r="C6149" t="s">
        <v>130</v>
      </c>
      <c r="D6149">
        <v>2</v>
      </c>
      <c r="E6149">
        <v>0</v>
      </c>
      <c r="I6149">
        <v>2</v>
      </c>
      <c r="M6149" t="s">
        <v>6274</v>
      </c>
    </row>
    <row r="6150" spans="1:13" ht="15" customHeight="1">
      <c r="A6150" s="10">
        <v>46194</v>
      </c>
      <c r="B6150" t="s">
        <v>201</v>
      </c>
      <c r="C6150" t="s">
        <v>285</v>
      </c>
      <c r="D6150">
        <v>2</v>
      </c>
      <c r="E6150">
        <v>0</v>
      </c>
      <c r="I6150">
        <v>2</v>
      </c>
      <c r="M6150" t="s">
        <v>6275</v>
      </c>
    </row>
    <row r="6151" spans="1:13" ht="15" customHeight="1">
      <c r="A6151" s="10">
        <v>46194</v>
      </c>
      <c r="B6151" t="s">
        <v>201</v>
      </c>
      <c r="C6151" t="s">
        <v>287</v>
      </c>
      <c r="D6151">
        <v>5</v>
      </c>
      <c r="E6151">
        <v>0</v>
      </c>
      <c r="I6151">
        <v>5</v>
      </c>
      <c r="M6151" t="s">
        <v>6276</v>
      </c>
    </row>
    <row r="6152" spans="1:13" ht="15" customHeight="1">
      <c r="A6152" s="10">
        <v>46194</v>
      </c>
      <c r="B6152" t="s">
        <v>201</v>
      </c>
      <c r="C6152" t="s">
        <v>289</v>
      </c>
      <c r="D6152">
        <v>2</v>
      </c>
      <c r="E6152">
        <v>0</v>
      </c>
      <c r="I6152">
        <v>2</v>
      </c>
      <c r="M6152" t="s">
        <v>6277</v>
      </c>
    </row>
    <row r="6153" spans="1:13" ht="15" customHeight="1">
      <c r="A6153" s="10">
        <v>46194</v>
      </c>
      <c r="B6153" t="s">
        <v>201</v>
      </c>
      <c r="C6153" t="s">
        <v>291</v>
      </c>
      <c r="D6153">
        <v>2</v>
      </c>
      <c r="E6153">
        <v>0</v>
      </c>
      <c r="I6153">
        <v>2</v>
      </c>
      <c r="M6153" t="s">
        <v>6278</v>
      </c>
    </row>
    <row r="6154" spans="1:13" ht="15" customHeight="1">
      <c r="A6154" s="10">
        <v>46194</v>
      </c>
      <c r="B6154" t="s">
        <v>201</v>
      </c>
      <c r="C6154" t="s">
        <v>293</v>
      </c>
      <c r="D6154">
        <v>1</v>
      </c>
      <c r="E6154">
        <v>0</v>
      </c>
      <c r="I6154">
        <v>1</v>
      </c>
      <c r="M6154" t="s">
        <v>6279</v>
      </c>
    </row>
    <row r="6155" spans="1:13" ht="15" customHeight="1">
      <c r="A6155" s="10">
        <v>46194</v>
      </c>
      <c r="B6155" t="s">
        <v>201</v>
      </c>
      <c r="C6155" s="135" t="s">
        <v>138</v>
      </c>
      <c r="D6155">
        <v>0</v>
      </c>
      <c r="E6155">
        <v>78</v>
      </c>
      <c r="I6155">
        <v>0</v>
      </c>
      <c r="J6155">
        <v>75</v>
      </c>
      <c r="M6155" t="s">
        <v>6280</v>
      </c>
    </row>
    <row r="6156" spans="1:13" ht="15" customHeight="1">
      <c r="A6156" s="10">
        <v>46194</v>
      </c>
      <c r="B6156" t="s">
        <v>201</v>
      </c>
      <c r="C6156" s="135" t="s">
        <v>139</v>
      </c>
      <c r="D6156">
        <v>0</v>
      </c>
      <c r="E6156">
        <v>30</v>
      </c>
      <c r="I6156">
        <v>0</v>
      </c>
      <c r="J6156">
        <v>29</v>
      </c>
      <c r="M6156" t="s">
        <v>6281</v>
      </c>
    </row>
    <row r="6157" spans="1:13" ht="15" customHeight="1">
      <c r="A6157" s="10">
        <v>46194</v>
      </c>
      <c r="B6157" t="s">
        <v>201</v>
      </c>
      <c r="C6157" s="135" t="s">
        <v>140</v>
      </c>
      <c r="D6157">
        <v>0</v>
      </c>
      <c r="E6157">
        <v>31</v>
      </c>
      <c r="I6157">
        <v>0</v>
      </c>
      <c r="J6157">
        <v>31</v>
      </c>
      <c r="M6157" t="s">
        <v>6282</v>
      </c>
    </row>
    <row r="6158" spans="1:13" ht="15" customHeight="1">
      <c r="A6158" s="10">
        <v>46194</v>
      </c>
      <c r="B6158" t="s">
        <v>201</v>
      </c>
      <c r="C6158" s="135" t="s">
        <v>141</v>
      </c>
      <c r="D6158">
        <v>0</v>
      </c>
      <c r="E6158">
        <v>1</v>
      </c>
      <c r="I6158">
        <v>0</v>
      </c>
      <c r="J6158">
        <v>1</v>
      </c>
      <c r="M6158" t="s">
        <v>6283</v>
      </c>
    </row>
    <row r="6159" spans="1:13" ht="15" customHeight="1">
      <c r="A6159" s="10">
        <v>46194</v>
      </c>
      <c r="B6159" t="s">
        <v>201</v>
      </c>
      <c r="C6159" s="135" t="s">
        <v>143</v>
      </c>
      <c r="D6159">
        <v>0</v>
      </c>
      <c r="E6159">
        <v>64</v>
      </c>
      <c r="I6159">
        <v>0</v>
      </c>
      <c r="J6159">
        <v>59</v>
      </c>
      <c r="M6159" t="s">
        <v>6284</v>
      </c>
    </row>
    <row r="6160" spans="1:13" ht="15" customHeight="1">
      <c r="A6160" s="10">
        <v>46194</v>
      </c>
      <c r="B6160" t="s">
        <v>201</v>
      </c>
      <c r="C6160" s="135" t="s">
        <v>145</v>
      </c>
      <c r="D6160">
        <v>0</v>
      </c>
      <c r="E6160">
        <v>27</v>
      </c>
      <c r="I6160">
        <v>0</v>
      </c>
      <c r="J6160">
        <v>26</v>
      </c>
      <c r="M6160" t="s">
        <v>6285</v>
      </c>
    </row>
    <row r="6161" spans="1:13" ht="15" customHeight="1">
      <c r="A6161" s="10">
        <v>46194</v>
      </c>
      <c r="B6161" t="s">
        <v>201</v>
      </c>
      <c r="C6161" s="135" t="s">
        <v>147</v>
      </c>
      <c r="D6161">
        <v>0</v>
      </c>
      <c r="E6161">
        <v>29</v>
      </c>
      <c r="I6161">
        <v>0</v>
      </c>
      <c r="J6161">
        <v>28</v>
      </c>
      <c r="M6161" t="s">
        <v>6286</v>
      </c>
    </row>
    <row r="6162" spans="1:13" ht="15" customHeight="1">
      <c r="A6162" s="10">
        <v>46194</v>
      </c>
      <c r="B6162" t="s">
        <v>201</v>
      </c>
      <c r="C6162" t="s">
        <v>302</v>
      </c>
      <c r="D6162">
        <v>1</v>
      </c>
      <c r="E6162">
        <v>2</v>
      </c>
      <c r="I6162">
        <v>1</v>
      </c>
      <c r="M6162" t="s">
        <v>6287</v>
      </c>
    </row>
    <row r="6163" spans="1:13" ht="15" customHeight="1">
      <c r="A6163" s="10">
        <v>46194</v>
      </c>
      <c r="B6163" t="s">
        <v>201</v>
      </c>
      <c r="C6163" t="s">
        <v>150</v>
      </c>
      <c r="D6163">
        <v>4</v>
      </c>
      <c r="E6163">
        <v>0</v>
      </c>
      <c r="I6163">
        <v>4</v>
      </c>
      <c r="M6163" t="s">
        <v>6288</v>
      </c>
    </row>
    <row r="6164" spans="1:13" ht="15" customHeight="1">
      <c r="A6164" s="10">
        <v>46194</v>
      </c>
      <c r="B6164" t="s">
        <v>201</v>
      </c>
      <c r="C6164" t="s">
        <v>151</v>
      </c>
      <c r="D6164">
        <v>2</v>
      </c>
      <c r="E6164">
        <v>0</v>
      </c>
      <c r="I6164">
        <v>2</v>
      </c>
      <c r="M6164" t="s">
        <v>6289</v>
      </c>
    </row>
    <row r="6165" spans="1:13" ht="15" customHeight="1">
      <c r="A6165" s="10">
        <v>46194</v>
      </c>
      <c r="B6165" t="s">
        <v>201</v>
      </c>
      <c r="C6165" t="s">
        <v>152</v>
      </c>
      <c r="D6165">
        <v>2</v>
      </c>
      <c r="E6165">
        <v>0</v>
      </c>
      <c r="I6165">
        <v>2</v>
      </c>
      <c r="M6165" t="s">
        <v>6290</v>
      </c>
    </row>
    <row r="6166" spans="1:13" ht="15" customHeight="1">
      <c r="A6166" s="10">
        <v>46194</v>
      </c>
      <c r="B6166" t="s">
        <v>201</v>
      </c>
      <c r="C6166" t="s">
        <v>153</v>
      </c>
      <c r="D6166">
        <v>2</v>
      </c>
      <c r="E6166">
        <v>0</v>
      </c>
      <c r="I6166">
        <v>2</v>
      </c>
      <c r="M6166" t="s">
        <v>6291</v>
      </c>
    </row>
    <row r="6167" spans="1:13" ht="15" customHeight="1">
      <c r="A6167" s="10">
        <v>46194</v>
      </c>
      <c r="B6167" t="s">
        <v>201</v>
      </c>
      <c r="C6167" t="s">
        <v>308</v>
      </c>
      <c r="D6167">
        <v>0</v>
      </c>
      <c r="E6167">
        <v>2</v>
      </c>
      <c r="I6167">
        <v>0</v>
      </c>
      <c r="J6167">
        <v>2</v>
      </c>
      <c r="M6167" t="s">
        <v>6292</v>
      </c>
    </row>
    <row r="6168" spans="1:13" ht="15" customHeight="1">
      <c r="A6168" s="10">
        <v>46194</v>
      </c>
      <c r="B6168" t="s">
        <v>201</v>
      </c>
      <c r="C6168" t="s">
        <v>310</v>
      </c>
      <c r="D6168">
        <v>0</v>
      </c>
      <c r="E6168">
        <v>2</v>
      </c>
      <c r="I6168">
        <v>0</v>
      </c>
      <c r="J6168">
        <v>2</v>
      </c>
      <c r="M6168" t="s">
        <v>6293</v>
      </c>
    </row>
    <row r="6169" spans="1:13" ht="15" customHeight="1">
      <c r="A6169" s="10">
        <v>46194</v>
      </c>
      <c r="B6169" t="s">
        <v>201</v>
      </c>
      <c r="C6169" t="s">
        <v>312</v>
      </c>
      <c r="D6169">
        <v>0</v>
      </c>
      <c r="E6169">
        <v>4</v>
      </c>
      <c r="I6169">
        <v>0</v>
      </c>
      <c r="J6169">
        <v>3</v>
      </c>
      <c r="M6169" t="s">
        <v>6294</v>
      </c>
    </row>
    <row r="6170" spans="1:13" ht="15" customHeight="1">
      <c r="A6170" s="10">
        <v>46194</v>
      </c>
      <c r="B6170" t="s">
        <v>201</v>
      </c>
      <c r="C6170" t="s">
        <v>314</v>
      </c>
      <c r="D6170">
        <v>1</v>
      </c>
      <c r="E6170">
        <v>0</v>
      </c>
      <c r="I6170">
        <v>1</v>
      </c>
      <c r="M6170" t="s">
        <v>6295</v>
      </c>
    </row>
    <row r="6171" spans="1:13" ht="15" customHeight="1">
      <c r="A6171" s="10">
        <v>46194</v>
      </c>
      <c r="B6171" t="s">
        <v>201</v>
      </c>
      <c r="C6171" t="s">
        <v>316</v>
      </c>
      <c r="D6171">
        <v>1</v>
      </c>
      <c r="E6171">
        <v>0</v>
      </c>
      <c r="I6171">
        <v>1</v>
      </c>
      <c r="M6171" t="s">
        <v>6296</v>
      </c>
    </row>
    <row r="6172" spans="1:13" ht="15" customHeight="1">
      <c r="A6172" s="10">
        <v>46194</v>
      </c>
      <c r="B6172" t="s">
        <v>201</v>
      </c>
      <c r="C6172" t="s">
        <v>318</v>
      </c>
      <c r="D6172">
        <v>2</v>
      </c>
      <c r="E6172">
        <v>0</v>
      </c>
      <c r="I6172">
        <v>2</v>
      </c>
      <c r="M6172" t="s">
        <v>6297</v>
      </c>
    </row>
    <row r="6173" spans="1:13" ht="15" customHeight="1">
      <c r="A6173" s="10">
        <v>46194</v>
      </c>
      <c r="B6173" t="s">
        <v>201</v>
      </c>
      <c r="C6173" t="s">
        <v>320</v>
      </c>
      <c r="D6173">
        <v>2</v>
      </c>
      <c r="E6173">
        <v>0</v>
      </c>
      <c r="I6173">
        <v>2</v>
      </c>
      <c r="M6173" t="s">
        <v>6298</v>
      </c>
    </row>
    <row r="6174" spans="1:13" ht="15" customHeight="1">
      <c r="A6174" s="10">
        <v>46194</v>
      </c>
      <c r="B6174" t="s">
        <v>201</v>
      </c>
      <c r="C6174" t="s">
        <v>322</v>
      </c>
      <c r="D6174">
        <v>2</v>
      </c>
      <c r="E6174">
        <v>0</v>
      </c>
      <c r="I6174">
        <v>2</v>
      </c>
      <c r="M6174" t="s">
        <v>6299</v>
      </c>
    </row>
    <row r="6175" spans="1:13" ht="15" customHeight="1">
      <c r="A6175" s="10">
        <v>46194</v>
      </c>
      <c r="B6175" t="s">
        <v>201</v>
      </c>
      <c r="C6175" s="135" t="s">
        <v>168</v>
      </c>
      <c r="D6175">
        <v>1</v>
      </c>
      <c r="E6175">
        <v>0</v>
      </c>
      <c r="I6175">
        <v>1</v>
      </c>
      <c r="M6175" t="s">
        <v>6300</v>
      </c>
    </row>
    <row r="6176" spans="1:13" ht="15" customHeight="1">
      <c r="A6176" s="10">
        <v>46194</v>
      </c>
      <c r="B6176" t="s">
        <v>201</v>
      </c>
      <c r="C6176" s="135" t="s">
        <v>170</v>
      </c>
      <c r="D6176">
        <v>1</v>
      </c>
      <c r="E6176">
        <v>0</v>
      </c>
      <c r="I6176">
        <v>1</v>
      </c>
      <c r="M6176" t="s">
        <v>6301</v>
      </c>
    </row>
    <row r="6177" spans="1:13" ht="15" customHeight="1">
      <c r="A6177" s="10">
        <v>46194</v>
      </c>
      <c r="B6177" t="s">
        <v>201</v>
      </c>
      <c r="C6177" s="135" t="s">
        <v>171</v>
      </c>
      <c r="D6177">
        <v>3</v>
      </c>
      <c r="E6177">
        <v>0</v>
      </c>
      <c r="I6177">
        <v>3</v>
      </c>
      <c r="M6177" t="s">
        <v>6302</v>
      </c>
    </row>
    <row r="6178" spans="1:13" ht="15" customHeight="1">
      <c r="A6178" s="10">
        <v>46194</v>
      </c>
      <c r="B6178" t="s">
        <v>201</v>
      </c>
      <c r="C6178" s="135" t="s">
        <v>172</v>
      </c>
      <c r="D6178">
        <v>1</v>
      </c>
      <c r="E6178">
        <v>0</v>
      </c>
      <c r="I6178">
        <v>1</v>
      </c>
      <c r="M6178" t="s">
        <v>6303</v>
      </c>
    </row>
    <row r="6179" spans="1:13" ht="15" customHeight="1">
      <c r="A6179" s="10">
        <v>46194</v>
      </c>
      <c r="B6179" t="s">
        <v>201</v>
      </c>
      <c r="C6179" s="135" t="s">
        <v>173</v>
      </c>
      <c r="D6179">
        <v>0</v>
      </c>
      <c r="E6179">
        <v>0</v>
      </c>
      <c r="I6179">
        <v>0</v>
      </c>
      <c r="M6179" t="s">
        <v>6304</v>
      </c>
    </row>
    <row r="6180" spans="1:13" ht="15" customHeight="1">
      <c r="A6180" s="10">
        <v>46194</v>
      </c>
      <c r="B6180" t="s">
        <v>201</v>
      </c>
      <c r="C6180" t="s">
        <v>176</v>
      </c>
      <c r="D6180">
        <v>0</v>
      </c>
      <c r="E6180">
        <v>21</v>
      </c>
      <c r="I6180">
        <v>0</v>
      </c>
      <c r="J6180">
        <v>21</v>
      </c>
      <c r="M6180" t="s">
        <v>6305</v>
      </c>
    </row>
    <row r="6181" spans="1:13" ht="15" customHeight="1">
      <c r="A6181" s="10">
        <v>46194</v>
      </c>
      <c r="B6181" t="s">
        <v>201</v>
      </c>
      <c r="C6181" t="s">
        <v>178</v>
      </c>
      <c r="D6181">
        <v>0</v>
      </c>
      <c r="E6181">
        <v>25</v>
      </c>
      <c r="I6181">
        <v>0</v>
      </c>
      <c r="J6181">
        <v>25</v>
      </c>
      <c r="M6181" t="s">
        <v>6306</v>
      </c>
    </row>
    <row r="6182" spans="1:13" ht="15" customHeight="1">
      <c r="A6182" s="10">
        <v>46194</v>
      </c>
      <c r="B6182" t="s">
        <v>201</v>
      </c>
      <c r="C6182" t="s">
        <v>179</v>
      </c>
      <c r="D6182">
        <v>0</v>
      </c>
      <c r="E6182">
        <v>17</v>
      </c>
      <c r="I6182">
        <v>0</v>
      </c>
      <c r="J6182">
        <v>17</v>
      </c>
      <c r="M6182" t="s">
        <v>6307</v>
      </c>
    </row>
    <row r="6183" spans="1:13" ht="15" customHeight="1">
      <c r="A6183" s="10">
        <v>46194</v>
      </c>
      <c r="B6183" t="s">
        <v>201</v>
      </c>
      <c r="C6183" t="s">
        <v>180</v>
      </c>
      <c r="D6183">
        <v>0</v>
      </c>
      <c r="E6183">
        <v>12</v>
      </c>
      <c r="H6183">
        <v>3</v>
      </c>
      <c r="I6183">
        <v>0</v>
      </c>
      <c r="J6183">
        <v>9</v>
      </c>
      <c r="M6183" t="s">
        <v>6308</v>
      </c>
    </row>
    <row r="6184" spans="1:13" ht="15" customHeight="1">
      <c r="A6184" s="10">
        <v>46194</v>
      </c>
      <c r="B6184" t="s">
        <v>201</v>
      </c>
      <c r="C6184" s="135" t="s">
        <v>182</v>
      </c>
      <c r="D6184">
        <v>1</v>
      </c>
      <c r="E6184">
        <v>150</v>
      </c>
      <c r="I6184">
        <v>1</v>
      </c>
      <c r="J6184">
        <v>150</v>
      </c>
      <c r="M6184" t="s">
        <v>6309</v>
      </c>
    </row>
    <row r="6185" spans="1:13" ht="15" customHeight="1">
      <c r="A6185" s="10">
        <v>46194</v>
      </c>
      <c r="B6185" t="s">
        <v>201</v>
      </c>
      <c r="C6185" s="135" t="s">
        <v>184</v>
      </c>
      <c r="D6185">
        <v>0</v>
      </c>
      <c r="E6185">
        <v>88</v>
      </c>
      <c r="I6185">
        <v>0</v>
      </c>
      <c r="J6185">
        <v>78</v>
      </c>
      <c r="M6185" t="s">
        <v>6310</v>
      </c>
    </row>
    <row r="6186" spans="1:13" ht="15" customHeight="1">
      <c r="A6186" s="10">
        <v>46194</v>
      </c>
      <c r="B6186" t="s">
        <v>201</v>
      </c>
      <c r="C6186" s="135" t="s">
        <v>185</v>
      </c>
      <c r="D6186">
        <v>1</v>
      </c>
      <c r="E6186">
        <v>30</v>
      </c>
      <c r="I6186">
        <v>1</v>
      </c>
      <c r="J6186">
        <v>30</v>
      </c>
      <c r="M6186" t="s">
        <v>6311</v>
      </c>
    </row>
    <row r="6187" spans="1:13" ht="15" customHeight="1">
      <c r="A6187" s="10">
        <v>46194</v>
      </c>
      <c r="B6187" t="s">
        <v>201</v>
      </c>
      <c r="C6187" s="135" t="s">
        <v>186</v>
      </c>
      <c r="D6187">
        <v>1</v>
      </c>
      <c r="E6187">
        <v>570</v>
      </c>
      <c r="I6187">
        <v>1</v>
      </c>
      <c r="J6187">
        <v>560</v>
      </c>
      <c r="M6187" t="s">
        <v>6312</v>
      </c>
    </row>
    <row r="6188" spans="1:13" ht="15" customHeight="1">
      <c r="A6188" s="10">
        <v>46194</v>
      </c>
      <c r="B6188" t="s">
        <v>201</v>
      </c>
      <c r="C6188" t="s">
        <v>337</v>
      </c>
      <c r="D6188">
        <v>1</v>
      </c>
      <c r="E6188">
        <v>342</v>
      </c>
      <c r="I6188">
        <v>1</v>
      </c>
      <c r="J6188">
        <v>264</v>
      </c>
      <c r="M6188" t="s">
        <v>6313</v>
      </c>
    </row>
    <row r="6189" spans="1:13" ht="15" customHeight="1">
      <c r="A6189" s="10">
        <v>46194</v>
      </c>
      <c r="B6189" t="s">
        <v>201</v>
      </c>
      <c r="C6189" t="s">
        <v>339</v>
      </c>
      <c r="D6189">
        <v>0</v>
      </c>
      <c r="E6189">
        <v>0</v>
      </c>
      <c r="I6189">
        <v>0</v>
      </c>
      <c r="J6189">
        <v>0</v>
      </c>
      <c r="M6189" t="s">
        <v>6314</v>
      </c>
    </row>
    <row r="6190" spans="1:13" ht="15" customHeight="1">
      <c r="A6190" s="10">
        <v>46194</v>
      </c>
      <c r="B6190" t="s">
        <v>201</v>
      </c>
      <c r="C6190" s="135" t="s">
        <v>191</v>
      </c>
      <c r="D6190">
        <v>0</v>
      </c>
      <c r="E6190">
        <v>612</v>
      </c>
      <c r="I6190">
        <v>0</v>
      </c>
      <c r="J6190">
        <v>555</v>
      </c>
      <c r="M6190" t="s">
        <v>6315</v>
      </c>
    </row>
    <row r="6191" spans="1:13" ht="15" customHeight="1">
      <c r="A6191" s="10">
        <v>46194</v>
      </c>
      <c r="B6191" t="s">
        <v>201</v>
      </c>
      <c r="C6191" s="135" t="s">
        <v>193</v>
      </c>
      <c r="D6191">
        <v>1</v>
      </c>
      <c r="E6191">
        <v>125</v>
      </c>
      <c r="I6191">
        <v>1</v>
      </c>
      <c r="J6191">
        <v>101</v>
      </c>
      <c r="M6191" t="s">
        <v>6316</v>
      </c>
    </row>
    <row r="6192" spans="1:13" ht="15" customHeight="1">
      <c r="A6192" s="10">
        <v>46194</v>
      </c>
      <c r="B6192" t="s">
        <v>201</v>
      </c>
      <c r="C6192" s="135" t="s">
        <v>194</v>
      </c>
      <c r="D6192">
        <v>1</v>
      </c>
      <c r="E6192">
        <v>18</v>
      </c>
      <c r="I6192">
        <v>1</v>
      </c>
      <c r="J6192">
        <v>18</v>
      </c>
      <c r="M6192" t="s">
        <v>6317</v>
      </c>
    </row>
    <row r="6193" spans="1:13" ht="15" customHeight="1">
      <c r="A6193" s="10">
        <v>46194</v>
      </c>
      <c r="B6193" t="s">
        <v>201</v>
      </c>
      <c r="C6193" s="135" t="s">
        <v>196</v>
      </c>
      <c r="D6193">
        <v>0</v>
      </c>
      <c r="E6193">
        <v>446</v>
      </c>
      <c r="I6193">
        <v>0</v>
      </c>
      <c r="J6193">
        <v>446</v>
      </c>
      <c r="M6193" t="s">
        <v>6318</v>
      </c>
    </row>
    <row r="6194" spans="1:13" ht="15" customHeight="1">
      <c r="A6194" s="10">
        <v>46194</v>
      </c>
      <c r="B6194" t="s">
        <v>201</v>
      </c>
      <c r="C6194" s="135" t="s">
        <v>199</v>
      </c>
      <c r="D6194">
        <v>0</v>
      </c>
      <c r="E6194">
        <v>567</v>
      </c>
      <c r="I6194">
        <v>0</v>
      </c>
      <c r="J6194">
        <v>531</v>
      </c>
      <c r="M6194" t="s">
        <v>6319</v>
      </c>
    </row>
    <row r="6195" spans="1:13" ht="15" customHeight="1">
      <c r="A6195" s="10">
        <v>46194</v>
      </c>
      <c r="B6195" t="s">
        <v>201</v>
      </c>
      <c r="C6195" s="135" t="s">
        <v>200</v>
      </c>
      <c r="D6195">
        <v>0</v>
      </c>
      <c r="E6195">
        <v>883</v>
      </c>
      <c r="I6195">
        <v>0</v>
      </c>
      <c r="J6195">
        <v>857</v>
      </c>
      <c r="M6195" t="s">
        <v>6320</v>
      </c>
    </row>
    <row r="6196" spans="1:13" ht="15" customHeight="1">
      <c r="A6196" s="10">
        <v>46194</v>
      </c>
      <c r="B6196" t="s">
        <v>201</v>
      </c>
      <c r="C6196" s="135" t="s">
        <v>202</v>
      </c>
      <c r="D6196">
        <v>0</v>
      </c>
      <c r="E6196">
        <v>711</v>
      </c>
      <c r="I6196">
        <v>0</v>
      </c>
      <c r="J6196">
        <v>690</v>
      </c>
      <c r="M6196" t="s">
        <v>6321</v>
      </c>
    </row>
    <row r="6197" spans="1:13" ht="15" customHeight="1">
      <c r="A6197" s="10">
        <v>46195</v>
      </c>
      <c r="B6197" t="s">
        <v>201</v>
      </c>
      <c r="C6197" t="s">
        <v>23</v>
      </c>
      <c r="D6197">
        <v>5</v>
      </c>
      <c r="E6197">
        <v>1266</v>
      </c>
      <c r="I6197">
        <v>5</v>
      </c>
      <c r="J6197">
        <v>634</v>
      </c>
      <c r="M6197" t="s">
        <v>6322</v>
      </c>
    </row>
    <row r="6198" spans="1:13" ht="15" customHeight="1">
      <c r="A6198" s="10">
        <v>46195</v>
      </c>
      <c r="B6198" t="s">
        <v>201</v>
      </c>
      <c r="C6198" t="s">
        <v>26</v>
      </c>
      <c r="D6198">
        <v>2</v>
      </c>
      <c r="E6198">
        <v>1074</v>
      </c>
      <c r="I6198">
        <v>2</v>
      </c>
      <c r="J6198">
        <v>839</v>
      </c>
      <c r="M6198" t="s">
        <v>6323</v>
      </c>
    </row>
    <row r="6199" spans="1:13" ht="15" customHeight="1">
      <c r="A6199" s="10">
        <v>46195</v>
      </c>
      <c r="B6199" t="s">
        <v>201</v>
      </c>
      <c r="C6199" t="s">
        <v>27</v>
      </c>
      <c r="D6199">
        <v>1</v>
      </c>
      <c r="E6199">
        <v>800</v>
      </c>
      <c r="I6199">
        <v>1</v>
      </c>
      <c r="J6199">
        <v>620</v>
      </c>
      <c r="M6199" t="s">
        <v>6324</v>
      </c>
    </row>
    <row r="6200" spans="1:13" ht="15" customHeight="1">
      <c r="A6200" s="10">
        <v>46195</v>
      </c>
      <c r="B6200" t="s">
        <v>201</v>
      </c>
      <c r="C6200" t="s">
        <v>28</v>
      </c>
      <c r="D6200">
        <v>0</v>
      </c>
      <c r="E6200">
        <v>0</v>
      </c>
      <c r="I6200">
        <v>0</v>
      </c>
      <c r="J6200">
        <v>0</v>
      </c>
      <c r="M6200" t="s">
        <v>6325</v>
      </c>
    </row>
    <row r="6201" spans="1:13" ht="15" customHeight="1">
      <c r="A6201" s="10">
        <v>46195</v>
      </c>
      <c r="B6201" t="s">
        <v>201</v>
      </c>
      <c r="C6201" t="s">
        <v>29</v>
      </c>
      <c r="D6201">
        <v>0</v>
      </c>
      <c r="E6201">
        <v>1101</v>
      </c>
      <c r="I6201">
        <v>0</v>
      </c>
      <c r="J6201">
        <v>1078</v>
      </c>
      <c r="M6201" t="s">
        <v>6326</v>
      </c>
    </row>
    <row r="6202" spans="1:13" ht="15" customHeight="1">
      <c r="A6202" s="10">
        <v>46195</v>
      </c>
      <c r="B6202" t="s">
        <v>201</v>
      </c>
      <c r="C6202" t="s">
        <v>30</v>
      </c>
      <c r="D6202">
        <v>1</v>
      </c>
      <c r="E6202">
        <v>953</v>
      </c>
      <c r="I6202">
        <v>1</v>
      </c>
      <c r="J6202">
        <v>853</v>
      </c>
      <c r="M6202" t="s">
        <v>6327</v>
      </c>
    </row>
    <row r="6203" spans="1:13" ht="15" customHeight="1">
      <c r="A6203" s="10">
        <v>46195</v>
      </c>
      <c r="B6203" t="s">
        <v>201</v>
      </c>
      <c r="C6203" t="s">
        <v>31</v>
      </c>
      <c r="D6203">
        <v>1</v>
      </c>
      <c r="E6203">
        <v>758</v>
      </c>
      <c r="I6203">
        <v>1</v>
      </c>
      <c r="J6203">
        <v>422</v>
      </c>
      <c r="M6203" t="s">
        <v>6328</v>
      </c>
    </row>
    <row r="6204" spans="1:13" ht="15" customHeight="1">
      <c r="A6204" s="10">
        <v>46195</v>
      </c>
      <c r="B6204" t="s">
        <v>201</v>
      </c>
      <c r="C6204" t="s">
        <v>32</v>
      </c>
      <c r="D6204">
        <v>1</v>
      </c>
      <c r="E6204">
        <v>509</v>
      </c>
      <c r="I6204">
        <v>1</v>
      </c>
      <c r="J6204">
        <v>502</v>
      </c>
      <c r="M6204" t="s">
        <v>6329</v>
      </c>
    </row>
    <row r="6205" spans="1:13" ht="15" customHeight="1">
      <c r="A6205" s="10">
        <v>46195</v>
      </c>
      <c r="B6205" t="s">
        <v>201</v>
      </c>
      <c r="C6205" t="s">
        <v>223</v>
      </c>
      <c r="D6205">
        <v>4</v>
      </c>
      <c r="E6205">
        <v>921</v>
      </c>
      <c r="I6205">
        <v>4</v>
      </c>
      <c r="J6205">
        <v>200</v>
      </c>
      <c r="M6205" t="s">
        <v>6330</v>
      </c>
    </row>
    <row r="6206" spans="1:13" ht="15" customHeight="1">
      <c r="A6206" s="10">
        <v>46195</v>
      </c>
      <c r="B6206" t="s">
        <v>201</v>
      </c>
      <c r="C6206" t="s">
        <v>35</v>
      </c>
      <c r="D6206">
        <v>3</v>
      </c>
      <c r="E6206">
        <v>0</v>
      </c>
      <c r="H6206">
        <v>1</v>
      </c>
      <c r="I6206">
        <v>2</v>
      </c>
      <c r="M6206" t="s">
        <v>6331</v>
      </c>
    </row>
    <row r="6207" spans="1:13" ht="15" customHeight="1">
      <c r="A6207" s="10">
        <v>46195</v>
      </c>
      <c r="B6207" t="s">
        <v>201</v>
      </c>
      <c r="C6207" t="s">
        <v>37</v>
      </c>
      <c r="D6207">
        <v>4</v>
      </c>
      <c r="E6207">
        <v>0</v>
      </c>
      <c r="H6207">
        <v>1</v>
      </c>
      <c r="I6207">
        <v>3</v>
      </c>
      <c r="M6207" t="s">
        <v>6332</v>
      </c>
    </row>
    <row r="6208" spans="1:13" ht="15" customHeight="1">
      <c r="A6208" s="10">
        <v>46195</v>
      </c>
      <c r="B6208" t="s">
        <v>201</v>
      </c>
      <c r="C6208" t="s">
        <v>39</v>
      </c>
      <c r="D6208">
        <v>6</v>
      </c>
      <c r="E6208">
        <v>0</v>
      </c>
      <c r="H6208">
        <v>3</v>
      </c>
      <c r="I6208">
        <v>3</v>
      </c>
      <c r="M6208" t="s">
        <v>6333</v>
      </c>
    </row>
    <row r="6209" spans="1:13" ht="15" customHeight="1">
      <c r="A6209" s="10">
        <v>46195</v>
      </c>
      <c r="B6209" t="s">
        <v>201</v>
      </c>
      <c r="C6209" t="s">
        <v>41</v>
      </c>
      <c r="D6209">
        <v>18</v>
      </c>
      <c r="E6209">
        <v>0</v>
      </c>
      <c r="H6209">
        <v>0</v>
      </c>
      <c r="I6209">
        <v>18</v>
      </c>
      <c r="M6209" t="s">
        <v>6334</v>
      </c>
    </row>
    <row r="6210" spans="1:13" ht="15" customHeight="1">
      <c r="A6210" s="10">
        <v>46195</v>
      </c>
      <c r="B6210" t="s">
        <v>201</v>
      </c>
      <c r="C6210" s="135" t="s">
        <v>44</v>
      </c>
      <c r="D6210">
        <v>6</v>
      </c>
      <c r="E6210">
        <v>8759</v>
      </c>
      <c r="I6210">
        <v>6</v>
      </c>
      <c r="J6210">
        <v>7881</v>
      </c>
      <c r="M6210" t="s">
        <v>6335</v>
      </c>
    </row>
    <row r="6211" spans="1:13" ht="15" customHeight="1">
      <c r="A6211" s="10">
        <v>46195</v>
      </c>
      <c r="B6211" t="s">
        <v>201</v>
      </c>
      <c r="C6211" t="s">
        <v>230</v>
      </c>
      <c r="D6211">
        <v>1</v>
      </c>
      <c r="E6211">
        <v>718</v>
      </c>
      <c r="I6211">
        <v>1</v>
      </c>
      <c r="J6211">
        <v>680</v>
      </c>
      <c r="M6211" t="s">
        <v>6336</v>
      </c>
    </row>
    <row r="6212" spans="1:13" ht="15" customHeight="1">
      <c r="A6212" s="10">
        <v>46195</v>
      </c>
      <c r="B6212" t="s">
        <v>201</v>
      </c>
      <c r="C6212" t="s">
        <v>232</v>
      </c>
      <c r="D6212">
        <v>11</v>
      </c>
      <c r="E6212">
        <v>0</v>
      </c>
      <c r="I6212">
        <v>11</v>
      </c>
      <c r="M6212" t="s">
        <v>6337</v>
      </c>
    </row>
    <row r="6213" spans="1:13" ht="15" customHeight="1">
      <c r="A6213" s="10">
        <v>46195</v>
      </c>
      <c r="B6213" t="s">
        <v>201</v>
      </c>
      <c r="C6213" t="s">
        <v>234</v>
      </c>
      <c r="D6213">
        <v>55</v>
      </c>
      <c r="E6213">
        <v>0</v>
      </c>
      <c r="H6213">
        <v>5</v>
      </c>
      <c r="I6213">
        <v>50</v>
      </c>
      <c r="M6213" t="s">
        <v>6338</v>
      </c>
    </row>
    <row r="6214" spans="1:13" ht="15" customHeight="1">
      <c r="A6214" s="10">
        <v>46195</v>
      </c>
      <c r="B6214" t="s">
        <v>201</v>
      </c>
      <c r="C6214" t="s">
        <v>54</v>
      </c>
      <c r="D6214">
        <v>0</v>
      </c>
      <c r="E6214">
        <v>0</v>
      </c>
      <c r="H6214">
        <v>0</v>
      </c>
      <c r="I6214">
        <v>0</v>
      </c>
      <c r="M6214" t="s">
        <v>6339</v>
      </c>
    </row>
    <row r="6215" spans="1:13" ht="15" customHeight="1">
      <c r="A6215" s="10">
        <v>46195</v>
      </c>
      <c r="B6215" t="s">
        <v>201</v>
      </c>
      <c r="C6215" t="s">
        <v>237</v>
      </c>
      <c r="D6215">
        <v>15</v>
      </c>
      <c r="E6215">
        <v>0</v>
      </c>
      <c r="H6215">
        <v>0</v>
      </c>
      <c r="I6215">
        <v>15</v>
      </c>
      <c r="M6215" t="s">
        <v>6340</v>
      </c>
    </row>
    <row r="6216" spans="1:13" ht="15" customHeight="1">
      <c r="A6216" s="10">
        <v>46195</v>
      </c>
      <c r="B6216" t="s">
        <v>201</v>
      </c>
      <c r="C6216" s="135" t="s">
        <v>58</v>
      </c>
      <c r="D6216">
        <v>11</v>
      </c>
      <c r="E6216">
        <v>0</v>
      </c>
      <c r="H6216">
        <v>0</v>
      </c>
      <c r="I6216">
        <v>11</v>
      </c>
      <c r="M6216" t="s">
        <v>6341</v>
      </c>
    </row>
    <row r="6217" spans="1:13" ht="15" customHeight="1">
      <c r="A6217" s="10">
        <v>46195</v>
      </c>
      <c r="B6217" t="s">
        <v>201</v>
      </c>
      <c r="C6217" s="135" t="s">
        <v>60</v>
      </c>
      <c r="D6217">
        <v>8</v>
      </c>
      <c r="E6217">
        <v>0</v>
      </c>
      <c r="H6217">
        <v>2</v>
      </c>
      <c r="I6217">
        <v>6</v>
      </c>
      <c r="M6217" t="s">
        <v>6342</v>
      </c>
    </row>
    <row r="6218" spans="1:13" ht="15" customHeight="1">
      <c r="A6218" s="10">
        <v>46195</v>
      </c>
      <c r="B6218" t="s">
        <v>201</v>
      </c>
      <c r="C6218" s="135" t="s">
        <v>61</v>
      </c>
      <c r="D6218">
        <v>9</v>
      </c>
      <c r="E6218">
        <v>0</v>
      </c>
      <c r="H6218">
        <v>0</v>
      </c>
      <c r="I6218">
        <v>9</v>
      </c>
      <c r="M6218" t="s">
        <v>6343</v>
      </c>
    </row>
    <row r="6219" spans="1:13" ht="15" customHeight="1">
      <c r="A6219" s="10">
        <v>46195</v>
      </c>
      <c r="B6219" t="s">
        <v>201</v>
      </c>
      <c r="C6219" s="135" t="s">
        <v>62</v>
      </c>
      <c r="D6219">
        <v>11</v>
      </c>
      <c r="E6219">
        <v>0</v>
      </c>
      <c r="H6219">
        <v>1</v>
      </c>
      <c r="I6219">
        <v>10</v>
      </c>
      <c r="M6219" t="s">
        <v>6344</v>
      </c>
    </row>
    <row r="6220" spans="1:13" ht="15" customHeight="1">
      <c r="A6220" s="10">
        <v>46195</v>
      </c>
      <c r="B6220" t="s">
        <v>201</v>
      </c>
      <c r="C6220" s="135" t="s">
        <v>63</v>
      </c>
      <c r="D6220">
        <v>7</v>
      </c>
      <c r="E6220">
        <v>0</v>
      </c>
      <c r="H6220">
        <v>1</v>
      </c>
      <c r="I6220">
        <v>6</v>
      </c>
      <c r="M6220" t="s">
        <v>6345</v>
      </c>
    </row>
    <row r="6221" spans="1:13" ht="15" customHeight="1">
      <c r="A6221" s="10">
        <v>46195</v>
      </c>
      <c r="B6221" t="s">
        <v>201</v>
      </c>
      <c r="C6221" s="135" t="s">
        <v>64</v>
      </c>
      <c r="D6221">
        <v>7</v>
      </c>
      <c r="E6221">
        <v>0</v>
      </c>
      <c r="H6221">
        <v>1</v>
      </c>
      <c r="I6221">
        <v>6</v>
      </c>
      <c r="M6221" t="s">
        <v>6346</v>
      </c>
    </row>
    <row r="6222" spans="1:13" ht="15" customHeight="1">
      <c r="A6222" s="10">
        <v>46195</v>
      </c>
      <c r="B6222" t="s">
        <v>201</v>
      </c>
      <c r="C6222" t="s">
        <v>66</v>
      </c>
      <c r="D6222">
        <v>3</v>
      </c>
      <c r="E6222">
        <v>0</v>
      </c>
      <c r="I6222">
        <v>3</v>
      </c>
      <c r="M6222" t="s">
        <v>6347</v>
      </c>
    </row>
    <row r="6223" spans="1:13" ht="15" customHeight="1">
      <c r="A6223" s="10">
        <v>46195</v>
      </c>
      <c r="B6223" t="s">
        <v>201</v>
      </c>
      <c r="C6223" t="s">
        <v>67</v>
      </c>
      <c r="D6223">
        <v>6</v>
      </c>
      <c r="E6223">
        <v>0</v>
      </c>
      <c r="I6223">
        <v>6</v>
      </c>
      <c r="M6223" t="s">
        <v>6348</v>
      </c>
    </row>
    <row r="6224" spans="1:13" ht="15" customHeight="1">
      <c r="A6224" s="10">
        <v>46195</v>
      </c>
      <c r="B6224" t="s">
        <v>201</v>
      </c>
      <c r="C6224" t="s">
        <v>68</v>
      </c>
      <c r="D6224">
        <v>3</v>
      </c>
      <c r="E6224">
        <v>0</v>
      </c>
      <c r="I6224">
        <v>3</v>
      </c>
      <c r="M6224" t="s">
        <v>6349</v>
      </c>
    </row>
    <row r="6225" spans="1:13" ht="15" customHeight="1">
      <c r="A6225" s="10">
        <v>46195</v>
      </c>
      <c r="B6225" t="s">
        <v>201</v>
      </c>
      <c r="C6225" t="s">
        <v>71</v>
      </c>
      <c r="D6225">
        <v>1</v>
      </c>
      <c r="E6225">
        <v>816</v>
      </c>
      <c r="I6225">
        <v>1</v>
      </c>
      <c r="J6225">
        <v>788</v>
      </c>
      <c r="M6225" t="s">
        <v>6350</v>
      </c>
    </row>
    <row r="6226" spans="1:13" ht="15" customHeight="1">
      <c r="A6226" s="10">
        <v>46195</v>
      </c>
      <c r="B6226" t="s">
        <v>201</v>
      </c>
      <c r="C6226" t="s">
        <v>73</v>
      </c>
      <c r="D6226">
        <v>2</v>
      </c>
      <c r="E6226">
        <v>391</v>
      </c>
      <c r="I6226">
        <v>2</v>
      </c>
      <c r="J6226">
        <v>390</v>
      </c>
      <c r="M6226" t="s">
        <v>6351</v>
      </c>
    </row>
    <row r="6227" spans="1:13" ht="15" customHeight="1">
      <c r="A6227" s="10">
        <v>46195</v>
      </c>
      <c r="B6227" t="s">
        <v>201</v>
      </c>
      <c r="C6227" t="s">
        <v>75</v>
      </c>
      <c r="D6227">
        <v>0</v>
      </c>
      <c r="E6227">
        <v>349</v>
      </c>
      <c r="I6227">
        <v>0</v>
      </c>
      <c r="J6227">
        <v>348</v>
      </c>
      <c r="M6227" t="s">
        <v>6352</v>
      </c>
    </row>
    <row r="6228" spans="1:13" ht="15" customHeight="1">
      <c r="A6228" s="10">
        <v>46195</v>
      </c>
      <c r="B6228" t="s">
        <v>201</v>
      </c>
      <c r="C6228" t="s">
        <v>77</v>
      </c>
      <c r="D6228">
        <v>1</v>
      </c>
      <c r="E6228">
        <v>282</v>
      </c>
      <c r="I6228">
        <v>1</v>
      </c>
      <c r="J6228">
        <v>267</v>
      </c>
      <c r="M6228" t="s">
        <v>6353</v>
      </c>
    </row>
    <row r="6229" spans="1:13" ht="15" customHeight="1">
      <c r="A6229" s="10">
        <v>46195</v>
      </c>
      <c r="B6229" t="s">
        <v>201</v>
      </c>
      <c r="C6229" t="s">
        <v>79</v>
      </c>
      <c r="D6229">
        <v>1</v>
      </c>
      <c r="E6229">
        <v>436</v>
      </c>
      <c r="I6229">
        <v>1</v>
      </c>
      <c r="J6229">
        <v>304</v>
      </c>
      <c r="M6229" t="s">
        <v>6354</v>
      </c>
    </row>
    <row r="6230" spans="1:13" ht="15" customHeight="1">
      <c r="A6230" s="10">
        <v>46195</v>
      </c>
      <c r="B6230" t="s">
        <v>201</v>
      </c>
      <c r="C6230" t="s">
        <v>81</v>
      </c>
      <c r="D6230">
        <v>1</v>
      </c>
      <c r="E6230">
        <v>302</v>
      </c>
      <c r="I6230">
        <v>1</v>
      </c>
      <c r="J6230">
        <v>302</v>
      </c>
      <c r="M6230" t="s">
        <v>6355</v>
      </c>
    </row>
    <row r="6231" spans="1:13" ht="15" customHeight="1">
      <c r="A6231" s="10">
        <v>46195</v>
      </c>
      <c r="B6231" t="s">
        <v>201</v>
      </c>
      <c r="C6231" t="s">
        <v>83</v>
      </c>
      <c r="D6231">
        <v>0</v>
      </c>
      <c r="E6231">
        <v>416</v>
      </c>
      <c r="I6231">
        <v>0</v>
      </c>
      <c r="J6231">
        <v>416</v>
      </c>
      <c r="M6231" t="s">
        <v>6356</v>
      </c>
    </row>
    <row r="6232" spans="1:13" ht="15" customHeight="1">
      <c r="A6232" s="10">
        <v>46195</v>
      </c>
      <c r="B6232" t="s">
        <v>201</v>
      </c>
      <c r="C6232" t="s">
        <v>84</v>
      </c>
      <c r="D6232">
        <v>1</v>
      </c>
      <c r="E6232">
        <v>289</v>
      </c>
      <c r="I6232">
        <v>1</v>
      </c>
      <c r="J6232">
        <v>289</v>
      </c>
      <c r="M6232" t="s">
        <v>6357</v>
      </c>
    </row>
    <row r="6233" spans="1:13" ht="15" customHeight="1">
      <c r="A6233" s="10">
        <v>46195</v>
      </c>
      <c r="B6233" t="s">
        <v>201</v>
      </c>
      <c r="C6233" t="s">
        <v>85</v>
      </c>
      <c r="D6233">
        <v>0</v>
      </c>
      <c r="E6233">
        <v>200</v>
      </c>
      <c r="I6233">
        <v>0</v>
      </c>
      <c r="J6233">
        <v>200</v>
      </c>
      <c r="M6233" t="s">
        <v>6358</v>
      </c>
    </row>
    <row r="6234" spans="1:13" ht="15" customHeight="1">
      <c r="A6234" s="10">
        <v>46195</v>
      </c>
      <c r="B6234" t="s">
        <v>201</v>
      </c>
      <c r="C6234" t="s">
        <v>87</v>
      </c>
      <c r="D6234">
        <v>2</v>
      </c>
      <c r="E6234">
        <v>135</v>
      </c>
      <c r="I6234">
        <v>2</v>
      </c>
      <c r="J6234">
        <v>130</v>
      </c>
      <c r="M6234" t="s">
        <v>6359</v>
      </c>
    </row>
    <row r="6235" spans="1:13" ht="15" customHeight="1">
      <c r="A6235" s="10">
        <v>46195</v>
      </c>
      <c r="B6235" t="s">
        <v>201</v>
      </c>
      <c r="C6235" t="s">
        <v>88</v>
      </c>
      <c r="D6235">
        <v>2</v>
      </c>
      <c r="E6235">
        <v>279</v>
      </c>
      <c r="I6235">
        <v>2</v>
      </c>
      <c r="J6235">
        <v>270</v>
      </c>
      <c r="M6235" t="s">
        <v>6360</v>
      </c>
    </row>
    <row r="6236" spans="1:13" ht="15" customHeight="1">
      <c r="A6236" s="10">
        <v>46195</v>
      </c>
      <c r="B6236" t="s">
        <v>201</v>
      </c>
      <c r="C6236" t="s">
        <v>89</v>
      </c>
      <c r="D6236">
        <v>1</v>
      </c>
      <c r="E6236">
        <v>274</v>
      </c>
      <c r="I6236">
        <v>2</v>
      </c>
      <c r="J6236">
        <v>271</v>
      </c>
      <c r="M6236" t="s">
        <v>6361</v>
      </c>
    </row>
    <row r="6237" spans="1:13" ht="15" customHeight="1">
      <c r="A6237" s="10">
        <v>46195</v>
      </c>
      <c r="B6237" t="s">
        <v>201</v>
      </c>
      <c r="C6237" t="s">
        <v>90</v>
      </c>
      <c r="D6237">
        <v>1</v>
      </c>
      <c r="E6237">
        <v>322</v>
      </c>
      <c r="I6237">
        <v>1</v>
      </c>
      <c r="J6237">
        <v>297</v>
      </c>
      <c r="M6237" t="s">
        <v>6362</v>
      </c>
    </row>
    <row r="6238" spans="1:13" ht="15" customHeight="1">
      <c r="A6238" s="10">
        <v>46195</v>
      </c>
      <c r="B6238" t="s">
        <v>201</v>
      </c>
      <c r="C6238" t="s">
        <v>92</v>
      </c>
      <c r="D6238">
        <v>1</v>
      </c>
      <c r="E6238">
        <v>397</v>
      </c>
      <c r="I6238">
        <v>1</v>
      </c>
      <c r="J6238">
        <v>381</v>
      </c>
      <c r="M6238" t="s">
        <v>6363</v>
      </c>
    </row>
    <row r="6239" spans="1:13" ht="15" customHeight="1">
      <c r="A6239" s="10">
        <v>46195</v>
      </c>
      <c r="B6239" t="s">
        <v>201</v>
      </c>
      <c r="C6239" t="s">
        <v>94</v>
      </c>
      <c r="D6239">
        <v>3</v>
      </c>
      <c r="E6239">
        <v>410</v>
      </c>
      <c r="I6239">
        <v>1</v>
      </c>
      <c r="J6239">
        <v>591</v>
      </c>
      <c r="M6239" t="s">
        <v>6364</v>
      </c>
    </row>
    <row r="6240" spans="1:13" ht="15" customHeight="1">
      <c r="A6240" s="10">
        <v>46195</v>
      </c>
      <c r="B6240" t="s">
        <v>201</v>
      </c>
      <c r="C6240" t="s">
        <v>96</v>
      </c>
      <c r="D6240">
        <v>0</v>
      </c>
      <c r="E6240">
        <v>0</v>
      </c>
      <c r="I6240">
        <v>0</v>
      </c>
      <c r="J6240">
        <v>0</v>
      </c>
      <c r="M6240" t="s">
        <v>6365</v>
      </c>
    </row>
    <row r="6241" spans="1:13" ht="15" customHeight="1">
      <c r="A6241" s="10">
        <v>46195</v>
      </c>
      <c r="B6241" t="s">
        <v>201</v>
      </c>
      <c r="C6241" t="s">
        <v>98</v>
      </c>
      <c r="D6241">
        <v>2</v>
      </c>
      <c r="E6241">
        <v>348</v>
      </c>
      <c r="I6241">
        <v>2</v>
      </c>
      <c r="J6241">
        <v>103</v>
      </c>
      <c r="M6241" t="s">
        <v>6366</v>
      </c>
    </row>
    <row r="6242" spans="1:13" ht="15" customHeight="1">
      <c r="A6242" s="10">
        <v>46195</v>
      </c>
      <c r="B6242" t="s">
        <v>201</v>
      </c>
      <c r="C6242" t="s">
        <v>203</v>
      </c>
      <c r="D6242">
        <v>2</v>
      </c>
      <c r="E6242">
        <v>0</v>
      </c>
      <c r="I6242">
        <v>2</v>
      </c>
      <c r="J6242">
        <v>0</v>
      </c>
      <c r="M6242" t="s">
        <v>6367</v>
      </c>
    </row>
    <row r="6243" spans="1:13" ht="15" customHeight="1">
      <c r="A6243" s="10">
        <v>46195</v>
      </c>
      <c r="B6243" t="s">
        <v>201</v>
      </c>
      <c r="C6243" t="s">
        <v>100</v>
      </c>
      <c r="D6243">
        <v>0</v>
      </c>
      <c r="E6243">
        <v>0</v>
      </c>
      <c r="I6243">
        <v>0</v>
      </c>
      <c r="J6243">
        <v>0</v>
      </c>
      <c r="M6243" t="s">
        <v>6368</v>
      </c>
    </row>
    <row r="6244" spans="1:13" ht="15" customHeight="1">
      <c r="A6244" s="10">
        <v>46195</v>
      </c>
      <c r="B6244" t="s">
        <v>201</v>
      </c>
      <c r="C6244" t="s">
        <v>101</v>
      </c>
      <c r="D6244">
        <v>0</v>
      </c>
      <c r="E6244">
        <v>582</v>
      </c>
      <c r="I6244">
        <v>0</v>
      </c>
      <c r="J6244">
        <v>572</v>
      </c>
      <c r="M6244" t="s">
        <v>6369</v>
      </c>
    </row>
    <row r="6245" spans="1:13" ht="15" customHeight="1">
      <c r="A6245" s="10">
        <v>46195</v>
      </c>
      <c r="B6245" t="s">
        <v>201</v>
      </c>
      <c r="C6245" t="s">
        <v>103</v>
      </c>
      <c r="D6245">
        <v>0</v>
      </c>
      <c r="E6245">
        <v>13</v>
      </c>
      <c r="I6245">
        <v>0</v>
      </c>
      <c r="J6245">
        <v>8</v>
      </c>
      <c r="M6245" t="s">
        <v>6370</v>
      </c>
    </row>
    <row r="6246" spans="1:13" ht="15" customHeight="1">
      <c r="A6246" s="10">
        <v>46195</v>
      </c>
      <c r="B6246" t="s">
        <v>201</v>
      </c>
      <c r="C6246" t="s">
        <v>106</v>
      </c>
      <c r="D6246">
        <v>1</v>
      </c>
      <c r="E6246">
        <v>466</v>
      </c>
      <c r="I6246">
        <v>1</v>
      </c>
      <c r="J6246">
        <v>367</v>
      </c>
      <c r="M6246" t="s">
        <v>6371</v>
      </c>
    </row>
    <row r="6247" spans="1:13" ht="15" customHeight="1">
      <c r="A6247" s="10">
        <v>46195</v>
      </c>
      <c r="B6247" t="s">
        <v>201</v>
      </c>
      <c r="C6247" t="s">
        <v>108</v>
      </c>
      <c r="D6247">
        <v>1</v>
      </c>
      <c r="E6247">
        <v>883</v>
      </c>
      <c r="I6247">
        <v>1</v>
      </c>
      <c r="J6247">
        <v>880</v>
      </c>
      <c r="M6247" t="s">
        <v>6372</v>
      </c>
    </row>
    <row r="6248" spans="1:13" ht="15" customHeight="1">
      <c r="A6248" s="10">
        <v>46195</v>
      </c>
      <c r="B6248" t="s">
        <v>201</v>
      </c>
      <c r="C6248" t="s">
        <v>109</v>
      </c>
      <c r="D6248">
        <v>1</v>
      </c>
      <c r="E6248">
        <v>825</v>
      </c>
      <c r="I6248">
        <v>1</v>
      </c>
      <c r="J6248">
        <v>811</v>
      </c>
      <c r="M6248" t="s">
        <v>6373</v>
      </c>
    </row>
    <row r="6249" spans="1:13" ht="15" customHeight="1">
      <c r="A6249" s="10">
        <v>46195</v>
      </c>
      <c r="B6249" t="s">
        <v>201</v>
      </c>
      <c r="C6249" t="s">
        <v>112</v>
      </c>
      <c r="D6249">
        <v>1</v>
      </c>
      <c r="E6249">
        <v>18</v>
      </c>
      <c r="I6249">
        <v>1</v>
      </c>
      <c r="J6249">
        <v>17</v>
      </c>
      <c r="M6249" t="s">
        <v>6374</v>
      </c>
    </row>
    <row r="6250" spans="1:13" ht="15" customHeight="1">
      <c r="A6250" s="10">
        <v>46195</v>
      </c>
      <c r="B6250" t="s">
        <v>201</v>
      </c>
      <c r="C6250" t="s">
        <v>114</v>
      </c>
      <c r="D6250">
        <v>2</v>
      </c>
      <c r="E6250">
        <v>49</v>
      </c>
      <c r="I6250">
        <v>2</v>
      </c>
      <c r="J6250">
        <v>39</v>
      </c>
      <c r="M6250" t="s">
        <v>6375</v>
      </c>
    </row>
    <row r="6251" spans="1:13" ht="15" customHeight="1">
      <c r="A6251" s="10">
        <v>46195</v>
      </c>
      <c r="B6251" t="s">
        <v>201</v>
      </c>
      <c r="C6251" t="s">
        <v>115</v>
      </c>
      <c r="D6251">
        <v>1</v>
      </c>
      <c r="E6251">
        <v>17</v>
      </c>
      <c r="I6251">
        <v>1</v>
      </c>
      <c r="J6251">
        <v>15</v>
      </c>
      <c r="M6251" t="s">
        <v>6376</v>
      </c>
    </row>
    <row r="6252" spans="1:13" ht="15" customHeight="1">
      <c r="A6252" s="10">
        <v>46195</v>
      </c>
      <c r="B6252" t="s">
        <v>201</v>
      </c>
      <c r="C6252" t="s">
        <v>116</v>
      </c>
      <c r="D6252">
        <v>2</v>
      </c>
      <c r="E6252">
        <v>25</v>
      </c>
      <c r="I6252">
        <v>2</v>
      </c>
      <c r="J6252">
        <v>17</v>
      </c>
      <c r="M6252" t="s">
        <v>6377</v>
      </c>
    </row>
    <row r="6253" spans="1:13" ht="15" customHeight="1">
      <c r="A6253" s="10">
        <v>46195</v>
      </c>
      <c r="B6253" t="s">
        <v>201</v>
      </c>
      <c r="C6253" t="s">
        <v>119</v>
      </c>
      <c r="D6253">
        <v>2</v>
      </c>
      <c r="E6253">
        <v>0</v>
      </c>
      <c r="I6253">
        <v>0</v>
      </c>
      <c r="M6253" t="s">
        <v>6378</v>
      </c>
    </row>
    <row r="6254" spans="1:13" ht="15" customHeight="1">
      <c r="A6254" s="10">
        <v>46195</v>
      </c>
      <c r="B6254" t="s">
        <v>201</v>
      </c>
      <c r="C6254" t="s">
        <v>120</v>
      </c>
      <c r="D6254">
        <v>2</v>
      </c>
      <c r="E6254">
        <v>0</v>
      </c>
      <c r="I6254">
        <v>2</v>
      </c>
      <c r="M6254" t="s">
        <v>6379</v>
      </c>
    </row>
    <row r="6255" spans="1:13" ht="15" customHeight="1">
      <c r="A6255" s="10">
        <v>46195</v>
      </c>
      <c r="B6255" t="s">
        <v>201</v>
      </c>
      <c r="C6255" t="s">
        <v>121</v>
      </c>
      <c r="D6255">
        <v>2</v>
      </c>
      <c r="E6255">
        <v>0</v>
      </c>
      <c r="I6255">
        <v>1</v>
      </c>
      <c r="M6255" t="s">
        <v>6380</v>
      </c>
    </row>
    <row r="6256" spans="1:13" ht="15" customHeight="1">
      <c r="A6256" s="10">
        <v>46195</v>
      </c>
      <c r="B6256" t="s">
        <v>201</v>
      </c>
      <c r="C6256" t="s">
        <v>123</v>
      </c>
      <c r="D6256">
        <v>2</v>
      </c>
      <c r="E6256">
        <v>0</v>
      </c>
      <c r="I6256">
        <v>1</v>
      </c>
      <c r="M6256" t="s">
        <v>6381</v>
      </c>
    </row>
    <row r="6257" spans="1:13" ht="15" customHeight="1">
      <c r="A6257" s="10">
        <v>46195</v>
      </c>
      <c r="B6257" t="s">
        <v>201</v>
      </c>
      <c r="C6257" t="s">
        <v>124</v>
      </c>
      <c r="D6257">
        <v>2</v>
      </c>
      <c r="E6257">
        <v>0</v>
      </c>
      <c r="I6257">
        <v>1</v>
      </c>
      <c r="M6257" t="s">
        <v>6382</v>
      </c>
    </row>
    <row r="6258" spans="1:13" ht="15" customHeight="1">
      <c r="A6258" s="10">
        <v>46195</v>
      </c>
      <c r="B6258" t="s">
        <v>201</v>
      </c>
      <c r="C6258" t="s">
        <v>125</v>
      </c>
      <c r="D6258">
        <v>2</v>
      </c>
      <c r="E6258">
        <v>0</v>
      </c>
      <c r="I6258">
        <v>2</v>
      </c>
      <c r="M6258" t="s">
        <v>6383</v>
      </c>
    </row>
    <row r="6259" spans="1:13" ht="15" customHeight="1">
      <c r="A6259" s="10">
        <v>46195</v>
      </c>
      <c r="B6259" t="s">
        <v>201</v>
      </c>
      <c r="C6259" t="s">
        <v>126</v>
      </c>
      <c r="D6259">
        <v>2</v>
      </c>
      <c r="E6259">
        <v>0</v>
      </c>
      <c r="I6259">
        <v>2</v>
      </c>
      <c r="M6259" t="s">
        <v>6384</v>
      </c>
    </row>
    <row r="6260" spans="1:13" ht="15" customHeight="1">
      <c r="A6260" s="10">
        <v>46195</v>
      </c>
      <c r="B6260" t="s">
        <v>201</v>
      </c>
      <c r="C6260" t="s">
        <v>128</v>
      </c>
      <c r="D6260">
        <v>2</v>
      </c>
      <c r="E6260">
        <v>0</v>
      </c>
      <c r="I6260">
        <v>1</v>
      </c>
      <c r="M6260" t="s">
        <v>6385</v>
      </c>
    </row>
    <row r="6261" spans="1:13" ht="15" customHeight="1">
      <c r="A6261" s="10">
        <v>46195</v>
      </c>
      <c r="B6261" t="s">
        <v>201</v>
      </c>
      <c r="C6261" t="s">
        <v>130</v>
      </c>
      <c r="D6261">
        <v>2</v>
      </c>
      <c r="E6261">
        <v>0</v>
      </c>
      <c r="I6261">
        <v>2</v>
      </c>
      <c r="M6261" t="s">
        <v>6386</v>
      </c>
    </row>
    <row r="6262" spans="1:13" ht="15" customHeight="1">
      <c r="A6262" s="10">
        <v>46195</v>
      </c>
      <c r="B6262" t="s">
        <v>201</v>
      </c>
      <c r="C6262" t="s">
        <v>285</v>
      </c>
      <c r="D6262">
        <v>2</v>
      </c>
      <c r="E6262">
        <v>0</v>
      </c>
      <c r="I6262">
        <v>2</v>
      </c>
      <c r="M6262" t="s">
        <v>6387</v>
      </c>
    </row>
    <row r="6263" spans="1:13" ht="15" customHeight="1">
      <c r="A6263" s="10">
        <v>46195</v>
      </c>
      <c r="B6263" t="s">
        <v>201</v>
      </c>
      <c r="C6263" t="s">
        <v>287</v>
      </c>
      <c r="D6263">
        <v>5</v>
      </c>
      <c r="E6263">
        <v>0</v>
      </c>
      <c r="I6263">
        <v>6</v>
      </c>
      <c r="M6263" t="s">
        <v>6388</v>
      </c>
    </row>
    <row r="6264" spans="1:13" ht="15" customHeight="1">
      <c r="A6264" s="10">
        <v>46195</v>
      </c>
      <c r="B6264" t="s">
        <v>201</v>
      </c>
      <c r="C6264" t="s">
        <v>289</v>
      </c>
      <c r="D6264">
        <v>2</v>
      </c>
      <c r="E6264">
        <v>0</v>
      </c>
      <c r="I6264">
        <v>1</v>
      </c>
      <c r="M6264" t="s">
        <v>6389</v>
      </c>
    </row>
    <row r="6265" spans="1:13" ht="15" customHeight="1">
      <c r="A6265" s="10">
        <v>46195</v>
      </c>
      <c r="B6265" t="s">
        <v>201</v>
      </c>
      <c r="C6265" t="s">
        <v>291</v>
      </c>
      <c r="D6265">
        <v>2</v>
      </c>
      <c r="E6265">
        <v>0</v>
      </c>
      <c r="I6265">
        <v>1</v>
      </c>
      <c r="M6265" t="s">
        <v>6390</v>
      </c>
    </row>
    <row r="6266" spans="1:13" ht="15" customHeight="1">
      <c r="A6266" s="10">
        <v>46195</v>
      </c>
      <c r="B6266" t="s">
        <v>201</v>
      </c>
      <c r="C6266" t="s">
        <v>293</v>
      </c>
      <c r="D6266">
        <v>1</v>
      </c>
      <c r="E6266">
        <v>0</v>
      </c>
      <c r="I6266">
        <v>1</v>
      </c>
      <c r="M6266" t="s">
        <v>6391</v>
      </c>
    </row>
    <row r="6267" spans="1:13" ht="15" customHeight="1">
      <c r="A6267" s="10">
        <v>46195</v>
      </c>
      <c r="B6267" t="s">
        <v>201</v>
      </c>
      <c r="C6267" s="135" t="s">
        <v>138</v>
      </c>
      <c r="D6267">
        <v>0</v>
      </c>
      <c r="E6267">
        <v>75</v>
      </c>
      <c r="I6267">
        <v>0</v>
      </c>
      <c r="J6267">
        <v>69</v>
      </c>
      <c r="M6267" t="s">
        <v>6392</v>
      </c>
    </row>
    <row r="6268" spans="1:13" ht="15" customHeight="1">
      <c r="A6268" s="10">
        <v>46195</v>
      </c>
      <c r="B6268" t="s">
        <v>201</v>
      </c>
      <c r="C6268" s="135" t="s">
        <v>139</v>
      </c>
      <c r="D6268">
        <v>0</v>
      </c>
      <c r="E6268">
        <v>29</v>
      </c>
      <c r="I6268">
        <v>0</v>
      </c>
      <c r="J6268">
        <v>26</v>
      </c>
      <c r="M6268" t="s">
        <v>6393</v>
      </c>
    </row>
    <row r="6269" spans="1:13" ht="15" customHeight="1">
      <c r="A6269" s="10">
        <v>46195</v>
      </c>
      <c r="B6269" t="s">
        <v>201</v>
      </c>
      <c r="C6269" s="135" t="s">
        <v>140</v>
      </c>
      <c r="D6269">
        <v>0</v>
      </c>
      <c r="E6269">
        <v>31</v>
      </c>
      <c r="I6269">
        <v>0</v>
      </c>
      <c r="J6269">
        <v>31</v>
      </c>
      <c r="M6269" t="s">
        <v>6394</v>
      </c>
    </row>
    <row r="6270" spans="1:13" ht="15" customHeight="1">
      <c r="A6270" s="10">
        <v>46195</v>
      </c>
      <c r="B6270" t="s">
        <v>201</v>
      </c>
      <c r="C6270" s="135" t="s">
        <v>141</v>
      </c>
      <c r="D6270">
        <v>0</v>
      </c>
      <c r="E6270">
        <v>1</v>
      </c>
      <c r="I6270">
        <v>0</v>
      </c>
      <c r="J6270">
        <v>1</v>
      </c>
      <c r="M6270" t="s">
        <v>6395</v>
      </c>
    </row>
    <row r="6271" spans="1:13" ht="15" customHeight="1">
      <c r="A6271" s="10">
        <v>46195</v>
      </c>
      <c r="B6271" t="s">
        <v>201</v>
      </c>
      <c r="C6271" s="135" t="s">
        <v>143</v>
      </c>
      <c r="D6271">
        <v>0</v>
      </c>
      <c r="E6271">
        <v>59</v>
      </c>
      <c r="I6271">
        <v>0</v>
      </c>
      <c r="J6271">
        <v>43</v>
      </c>
      <c r="M6271" t="s">
        <v>6396</v>
      </c>
    </row>
    <row r="6272" spans="1:13" ht="15" customHeight="1">
      <c r="A6272" s="10">
        <v>46195</v>
      </c>
      <c r="B6272" t="s">
        <v>201</v>
      </c>
      <c r="C6272" s="135" t="s">
        <v>145</v>
      </c>
      <c r="D6272">
        <v>0</v>
      </c>
      <c r="E6272">
        <v>26</v>
      </c>
      <c r="I6272">
        <v>0</v>
      </c>
      <c r="J6272">
        <v>21</v>
      </c>
      <c r="M6272" t="s">
        <v>6397</v>
      </c>
    </row>
    <row r="6273" spans="1:13" ht="15" customHeight="1">
      <c r="A6273" s="10">
        <v>46195</v>
      </c>
      <c r="B6273" t="s">
        <v>201</v>
      </c>
      <c r="C6273" s="135" t="s">
        <v>147</v>
      </c>
      <c r="D6273">
        <v>0</v>
      </c>
      <c r="E6273">
        <v>28</v>
      </c>
      <c r="I6273">
        <v>0</v>
      </c>
      <c r="J6273">
        <v>28</v>
      </c>
      <c r="M6273" t="s">
        <v>6398</v>
      </c>
    </row>
    <row r="6274" spans="1:13" ht="15" customHeight="1">
      <c r="A6274" s="10">
        <v>46195</v>
      </c>
      <c r="B6274" t="s">
        <v>201</v>
      </c>
      <c r="C6274" t="s">
        <v>302</v>
      </c>
      <c r="D6274">
        <v>1</v>
      </c>
      <c r="E6274">
        <v>2</v>
      </c>
      <c r="I6274">
        <v>1</v>
      </c>
      <c r="M6274" t="s">
        <v>6399</v>
      </c>
    </row>
    <row r="6275" spans="1:13" ht="15" customHeight="1">
      <c r="A6275" s="10">
        <v>46195</v>
      </c>
      <c r="B6275" t="s">
        <v>201</v>
      </c>
      <c r="C6275" t="s">
        <v>150</v>
      </c>
      <c r="D6275">
        <v>4</v>
      </c>
      <c r="E6275">
        <v>0</v>
      </c>
      <c r="I6275">
        <v>3</v>
      </c>
      <c r="M6275" t="s">
        <v>6400</v>
      </c>
    </row>
    <row r="6276" spans="1:13" ht="15" customHeight="1">
      <c r="A6276" s="10">
        <v>46195</v>
      </c>
      <c r="B6276" t="s">
        <v>201</v>
      </c>
      <c r="C6276" t="s">
        <v>151</v>
      </c>
      <c r="D6276">
        <v>2</v>
      </c>
      <c r="E6276">
        <v>0</v>
      </c>
      <c r="I6276">
        <v>2</v>
      </c>
      <c r="M6276" t="s">
        <v>6401</v>
      </c>
    </row>
    <row r="6277" spans="1:13" ht="15" customHeight="1">
      <c r="A6277" s="10">
        <v>46195</v>
      </c>
      <c r="B6277" t="s">
        <v>201</v>
      </c>
      <c r="C6277" t="s">
        <v>152</v>
      </c>
      <c r="D6277">
        <v>2</v>
      </c>
      <c r="E6277">
        <v>0</v>
      </c>
      <c r="I6277">
        <v>2</v>
      </c>
      <c r="M6277" t="s">
        <v>6402</v>
      </c>
    </row>
    <row r="6278" spans="1:13" ht="15" customHeight="1">
      <c r="A6278" s="10">
        <v>46195</v>
      </c>
      <c r="B6278" t="s">
        <v>201</v>
      </c>
      <c r="C6278" t="s">
        <v>153</v>
      </c>
      <c r="D6278">
        <v>2</v>
      </c>
      <c r="E6278">
        <v>0</v>
      </c>
      <c r="I6278">
        <v>2</v>
      </c>
      <c r="M6278" t="s">
        <v>6403</v>
      </c>
    </row>
    <row r="6279" spans="1:13" ht="15" customHeight="1">
      <c r="A6279" s="10">
        <v>46195</v>
      </c>
      <c r="B6279" t="s">
        <v>201</v>
      </c>
      <c r="C6279" t="s">
        <v>308</v>
      </c>
      <c r="D6279">
        <v>0</v>
      </c>
      <c r="E6279">
        <v>2</v>
      </c>
      <c r="I6279">
        <v>0</v>
      </c>
      <c r="J6279">
        <v>1</v>
      </c>
      <c r="M6279" t="s">
        <v>6404</v>
      </c>
    </row>
    <row r="6280" spans="1:13" ht="15" customHeight="1">
      <c r="A6280" s="10">
        <v>46195</v>
      </c>
      <c r="B6280" t="s">
        <v>201</v>
      </c>
      <c r="C6280" t="s">
        <v>310</v>
      </c>
      <c r="D6280">
        <v>0</v>
      </c>
      <c r="E6280">
        <v>2</v>
      </c>
      <c r="I6280">
        <v>0</v>
      </c>
      <c r="J6280">
        <v>2</v>
      </c>
      <c r="M6280" t="s">
        <v>6405</v>
      </c>
    </row>
    <row r="6281" spans="1:13" ht="15" customHeight="1">
      <c r="A6281" s="10">
        <v>46195</v>
      </c>
      <c r="B6281" t="s">
        <v>201</v>
      </c>
      <c r="C6281" t="s">
        <v>312</v>
      </c>
      <c r="D6281">
        <v>0</v>
      </c>
      <c r="E6281">
        <v>3</v>
      </c>
      <c r="I6281">
        <v>0</v>
      </c>
      <c r="J6281">
        <v>3</v>
      </c>
      <c r="M6281" t="s">
        <v>6406</v>
      </c>
    </row>
    <row r="6282" spans="1:13" ht="15" customHeight="1">
      <c r="A6282" s="10">
        <v>46195</v>
      </c>
      <c r="B6282" t="s">
        <v>201</v>
      </c>
      <c r="C6282" t="s">
        <v>314</v>
      </c>
      <c r="D6282">
        <v>1</v>
      </c>
      <c r="E6282">
        <v>0</v>
      </c>
      <c r="I6282">
        <v>1</v>
      </c>
      <c r="M6282" t="s">
        <v>6407</v>
      </c>
    </row>
    <row r="6283" spans="1:13" ht="15" customHeight="1">
      <c r="A6283" s="10">
        <v>46195</v>
      </c>
      <c r="B6283" t="s">
        <v>201</v>
      </c>
      <c r="C6283" t="s">
        <v>316</v>
      </c>
      <c r="D6283">
        <v>1</v>
      </c>
      <c r="E6283">
        <v>0</v>
      </c>
      <c r="I6283">
        <v>1</v>
      </c>
      <c r="M6283" t="s">
        <v>6408</v>
      </c>
    </row>
    <row r="6284" spans="1:13" ht="15" customHeight="1">
      <c r="A6284" s="10">
        <v>46195</v>
      </c>
      <c r="B6284" t="s">
        <v>201</v>
      </c>
      <c r="C6284" t="s">
        <v>318</v>
      </c>
      <c r="D6284">
        <v>2</v>
      </c>
      <c r="E6284">
        <v>0</v>
      </c>
      <c r="I6284">
        <v>1</v>
      </c>
      <c r="M6284" t="s">
        <v>6409</v>
      </c>
    </row>
    <row r="6285" spans="1:13" ht="15" customHeight="1">
      <c r="A6285" s="10">
        <v>46195</v>
      </c>
      <c r="B6285" t="s">
        <v>201</v>
      </c>
      <c r="C6285" t="s">
        <v>320</v>
      </c>
      <c r="D6285">
        <v>2</v>
      </c>
      <c r="E6285">
        <v>0</v>
      </c>
      <c r="I6285">
        <v>2</v>
      </c>
      <c r="M6285" t="s">
        <v>6410</v>
      </c>
    </row>
    <row r="6286" spans="1:13" ht="15" customHeight="1">
      <c r="A6286" s="10">
        <v>46195</v>
      </c>
      <c r="B6286" t="s">
        <v>201</v>
      </c>
      <c r="C6286" t="s">
        <v>322</v>
      </c>
      <c r="D6286">
        <v>2</v>
      </c>
      <c r="E6286">
        <v>0</v>
      </c>
      <c r="I6286">
        <v>2</v>
      </c>
      <c r="M6286" t="s">
        <v>6411</v>
      </c>
    </row>
    <row r="6287" spans="1:13" ht="15" customHeight="1">
      <c r="A6287" s="10">
        <v>46195</v>
      </c>
      <c r="B6287" t="s">
        <v>201</v>
      </c>
      <c r="C6287" s="135" t="s">
        <v>168</v>
      </c>
      <c r="D6287">
        <v>1</v>
      </c>
      <c r="E6287">
        <v>0</v>
      </c>
      <c r="I6287">
        <v>1</v>
      </c>
      <c r="M6287" t="s">
        <v>6412</v>
      </c>
    </row>
    <row r="6288" spans="1:13" ht="15" customHeight="1">
      <c r="A6288" s="10">
        <v>46195</v>
      </c>
      <c r="B6288" t="s">
        <v>201</v>
      </c>
      <c r="C6288" s="135" t="s">
        <v>170</v>
      </c>
      <c r="D6288">
        <v>1</v>
      </c>
      <c r="E6288">
        <v>0</v>
      </c>
      <c r="I6288">
        <v>1</v>
      </c>
      <c r="M6288" t="s">
        <v>6413</v>
      </c>
    </row>
    <row r="6289" spans="1:13" ht="15" customHeight="1">
      <c r="A6289" s="10">
        <v>46195</v>
      </c>
      <c r="B6289" t="s">
        <v>201</v>
      </c>
      <c r="C6289" s="135" t="s">
        <v>171</v>
      </c>
      <c r="D6289">
        <v>3</v>
      </c>
      <c r="E6289">
        <v>0</v>
      </c>
      <c r="I6289">
        <v>3</v>
      </c>
      <c r="M6289" t="s">
        <v>6414</v>
      </c>
    </row>
    <row r="6290" spans="1:13" ht="15" customHeight="1">
      <c r="A6290" s="10">
        <v>46195</v>
      </c>
      <c r="B6290" t="s">
        <v>201</v>
      </c>
      <c r="C6290" s="135" t="s">
        <v>172</v>
      </c>
      <c r="D6290">
        <v>1</v>
      </c>
      <c r="E6290">
        <v>0</v>
      </c>
      <c r="I6290">
        <v>1</v>
      </c>
      <c r="M6290" t="s">
        <v>6415</v>
      </c>
    </row>
    <row r="6291" spans="1:13" ht="15" customHeight="1">
      <c r="A6291" s="10">
        <v>46195</v>
      </c>
      <c r="B6291" t="s">
        <v>201</v>
      </c>
      <c r="C6291" s="135" t="s">
        <v>173</v>
      </c>
      <c r="D6291">
        <v>0</v>
      </c>
      <c r="E6291">
        <v>0</v>
      </c>
      <c r="I6291">
        <v>0</v>
      </c>
      <c r="M6291" t="s">
        <v>6416</v>
      </c>
    </row>
    <row r="6292" spans="1:13" ht="15" customHeight="1">
      <c r="A6292" s="10">
        <v>46195</v>
      </c>
      <c r="B6292" t="s">
        <v>201</v>
      </c>
      <c r="C6292" t="s">
        <v>176</v>
      </c>
      <c r="D6292">
        <v>0</v>
      </c>
      <c r="E6292">
        <v>21</v>
      </c>
      <c r="I6292">
        <v>0</v>
      </c>
      <c r="J6292">
        <v>21</v>
      </c>
      <c r="M6292" t="s">
        <v>6417</v>
      </c>
    </row>
    <row r="6293" spans="1:13" ht="15" customHeight="1">
      <c r="A6293" s="10">
        <v>46195</v>
      </c>
      <c r="B6293" t="s">
        <v>201</v>
      </c>
      <c r="C6293" t="s">
        <v>178</v>
      </c>
      <c r="D6293">
        <v>0</v>
      </c>
      <c r="E6293">
        <v>25</v>
      </c>
      <c r="H6293">
        <v>2</v>
      </c>
      <c r="I6293">
        <v>0</v>
      </c>
      <c r="J6293">
        <v>23</v>
      </c>
      <c r="M6293" t="s">
        <v>6418</v>
      </c>
    </row>
    <row r="6294" spans="1:13" ht="15" customHeight="1">
      <c r="A6294" s="10">
        <v>46195</v>
      </c>
      <c r="B6294" t="s">
        <v>201</v>
      </c>
      <c r="C6294" t="s">
        <v>179</v>
      </c>
      <c r="D6294">
        <v>0</v>
      </c>
      <c r="E6294">
        <v>17</v>
      </c>
      <c r="H6294">
        <v>1</v>
      </c>
      <c r="I6294">
        <v>0</v>
      </c>
      <c r="J6294">
        <v>16</v>
      </c>
      <c r="M6294" t="s">
        <v>6419</v>
      </c>
    </row>
    <row r="6295" spans="1:13" ht="15" customHeight="1">
      <c r="A6295" s="10">
        <v>46195</v>
      </c>
      <c r="B6295" t="s">
        <v>201</v>
      </c>
      <c r="C6295" t="s">
        <v>180</v>
      </c>
      <c r="D6295">
        <v>0</v>
      </c>
      <c r="E6295">
        <v>9</v>
      </c>
      <c r="I6295">
        <v>0</v>
      </c>
      <c r="J6295">
        <v>9</v>
      </c>
      <c r="M6295" t="s">
        <v>6420</v>
      </c>
    </row>
    <row r="6296" spans="1:13" ht="15" customHeight="1">
      <c r="A6296" s="10">
        <v>46195</v>
      </c>
      <c r="B6296" t="s">
        <v>201</v>
      </c>
      <c r="C6296" s="135" t="s">
        <v>182</v>
      </c>
      <c r="D6296">
        <v>1</v>
      </c>
      <c r="E6296">
        <v>150</v>
      </c>
      <c r="I6296">
        <v>1</v>
      </c>
      <c r="J6296">
        <v>150</v>
      </c>
      <c r="M6296" t="s">
        <v>6421</v>
      </c>
    </row>
    <row r="6297" spans="1:13" ht="15" customHeight="1">
      <c r="A6297" s="10">
        <v>46195</v>
      </c>
      <c r="B6297" t="s">
        <v>201</v>
      </c>
      <c r="C6297" s="135" t="s">
        <v>184</v>
      </c>
      <c r="D6297">
        <v>0</v>
      </c>
      <c r="E6297">
        <v>78</v>
      </c>
      <c r="I6297">
        <v>0</v>
      </c>
      <c r="J6297">
        <v>78</v>
      </c>
      <c r="M6297" t="s">
        <v>6422</v>
      </c>
    </row>
    <row r="6298" spans="1:13" ht="15" customHeight="1">
      <c r="A6298" s="10">
        <v>46195</v>
      </c>
      <c r="B6298" t="s">
        <v>201</v>
      </c>
      <c r="C6298" s="135" t="s">
        <v>185</v>
      </c>
      <c r="D6298">
        <v>1</v>
      </c>
      <c r="E6298">
        <v>30</v>
      </c>
      <c r="I6298">
        <v>1</v>
      </c>
      <c r="J6298">
        <v>29</v>
      </c>
      <c r="M6298" t="s">
        <v>6423</v>
      </c>
    </row>
    <row r="6299" spans="1:13" ht="15" customHeight="1">
      <c r="A6299" s="10">
        <v>46195</v>
      </c>
      <c r="B6299" t="s">
        <v>201</v>
      </c>
      <c r="C6299" s="135" t="s">
        <v>186</v>
      </c>
      <c r="D6299">
        <v>1</v>
      </c>
      <c r="E6299">
        <v>560</v>
      </c>
      <c r="I6299">
        <v>1</v>
      </c>
      <c r="J6299">
        <v>560</v>
      </c>
      <c r="M6299" t="s">
        <v>6424</v>
      </c>
    </row>
    <row r="6300" spans="1:13" ht="15" customHeight="1">
      <c r="A6300" s="10">
        <v>46195</v>
      </c>
      <c r="B6300" t="s">
        <v>201</v>
      </c>
      <c r="C6300" t="s">
        <v>337</v>
      </c>
      <c r="D6300">
        <v>1</v>
      </c>
      <c r="E6300">
        <v>264</v>
      </c>
      <c r="I6300">
        <v>1</v>
      </c>
      <c r="J6300">
        <v>245</v>
      </c>
      <c r="M6300" t="s">
        <v>6425</v>
      </c>
    </row>
    <row r="6301" spans="1:13" ht="15" customHeight="1">
      <c r="A6301" s="10">
        <v>46195</v>
      </c>
      <c r="B6301" t="s">
        <v>201</v>
      </c>
      <c r="C6301" t="s">
        <v>339</v>
      </c>
      <c r="D6301">
        <v>0</v>
      </c>
      <c r="E6301">
        <v>0</v>
      </c>
      <c r="I6301">
        <v>0</v>
      </c>
      <c r="J6301">
        <v>0</v>
      </c>
      <c r="M6301" t="s">
        <v>6426</v>
      </c>
    </row>
    <row r="6302" spans="1:13" ht="15" customHeight="1">
      <c r="A6302" s="10">
        <v>46195</v>
      </c>
      <c r="B6302" t="s">
        <v>201</v>
      </c>
      <c r="C6302" s="135" t="s">
        <v>191</v>
      </c>
      <c r="D6302">
        <v>0</v>
      </c>
      <c r="E6302">
        <v>555</v>
      </c>
      <c r="I6302">
        <v>0</v>
      </c>
      <c r="J6302">
        <v>553</v>
      </c>
      <c r="M6302" t="s">
        <v>6427</v>
      </c>
    </row>
    <row r="6303" spans="1:13" ht="15" customHeight="1">
      <c r="A6303" s="10">
        <v>46195</v>
      </c>
      <c r="B6303" t="s">
        <v>201</v>
      </c>
      <c r="C6303" s="135" t="s">
        <v>193</v>
      </c>
      <c r="D6303">
        <v>1</v>
      </c>
      <c r="E6303">
        <v>101</v>
      </c>
      <c r="I6303">
        <v>0</v>
      </c>
      <c r="J6303">
        <v>561</v>
      </c>
      <c r="M6303" t="s">
        <v>6428</v>
      </c>
    </row>
    <row r="6304" spans="1:13" ht="15" customHeight="1">
      <c r="A6304" s="10">
        <v>46195</v>
      </c>
      <c r="B6304" t="s">
        <v>201</v>
      </c>
      <c r="C6304" s="135" t="s">
        <v>194</v>
      </c>
      <c r="D6304">
        <v>1</v>
      </c>
      <c r="E6304">
        <v>18</v>
      </c>
      <c r="I6304">
        <v>1</v>
      </c>
      <c r="J6304">
        <v>18</v>
      </c>
      <c r="M6304" t="s">
        <v>6429</v>
      </c>
    </row>
    <row r="6305" spans="1:13" ht="15" customHeight="1">
      <c r="A6305" s="10">
        <v>46195</v>
      </c>
      <c r="B6305" t="s">
        <v>201</v>
      </c>
      <c r="C6305" s="135" t="s">
        <v>196</v>
      </c>
      <c r="D6305">
        <v>0</v>
      </c>
      <c r="E6305">
        <v>446</v>
      </c>
      <c r="I6305">
        <v>0</v>
      </c>
      <c r="J6305">
        <v>446</v>
      </c>
      <c r="M6305" t="s">
        <v>6430</v>
      </c>
    </row>
    <row r="6306" spans="1:13" ht="15" customHeight="1">
      <c r="A6306" s="10">
        <v>46195</v>
      </c>
      <c r="B6306" t="s">
        <v>201</v>
      </c>
      <c r="C6306" s="135" t="s">
        <v>199</v>
      </c>
      <c r="D6306">
        <v>0</v>
      </c>
      <c r="E6306">
        <v>531</v>
      </c>
      <c r="I6306">
        <v>0</v>
      </c>
      <c r="J6306">
        <v>510</v>
      </c>
      <c r="M6306" t="s">
        <v>6431</v>
      </c>
    </row>
    <row r="6307" spans="1:13" ht="15" customHeight="1">
      <c r="A6307" s="10">
        <v>46195</v>
      </c>
      <c r="B6307" t="s">
        <v>201</v>
      </c>
      <c r="C6307" s="135" t="s">
        <v>200</v>
      </c>
      <c r="D6307">
        <v>0</v>
      </c>
      <c r="E6307">
        <v>857</v>
      </c>
      <c r="I6307">
        <v>0</v>
      </c>
      <c r="J6307">
        <v>841</v>
      </c>
      <c r="M6307" t="s">
        <v>6432</v>
      </c>
    </row>
    <row r="6308" spans="1:13" ht="15" customHeight="1">
      <c r="A6308" s="10">
        <v>46195</v>
      </c>
      <c r="B6308" t="s">
        <v>201</v>
      </c>
      <c r="C6308" s="135" t="s">
        <v>202</v>
      </c>
      <c r="D6308">
        <v>0</v>
      </c>
      <c r="E6308">
        <v>690</v>
      </c>
      <c r="I6308">
        <v>0</v>
      </c>
      <c r="J6308">
        <v>678</v>
      </c>
      <c r="M6308" t="s">
        <v>6433</v>
      </c>
    </row>
    <row r="6309" spans="1:13" ht="15" customHeight="1">
      <c r="A6309" s="10">
        <v>46196</v>
      </c>
      <c r="B6309" t="s">
        <v>201</v>
      </c>
      <c r="C6309" t="s">
        <v>23</v>
      </c>
      <c r="D6309">
        <v>5</v>
      </c>
      <c r="E6309">
        <v>634</v>
      </c>
      <c r="I6309">
        <v>4</v>
      </c>
      <c r="J6309">
        <v>662</v>
      </c>
      <c r="M6309" t="s">
        <v>6434</v>
      </c>
    </row>
    <row r="6310" spans="1:13" ht="15" customHeight="1">
      <c r="A6310" s="10">
        <v>46196</v>
      </c>
      <c r="B6310" t="s">
        <v>201</v>
      </c>
      <c r="C6310" t="s">
        <v>26</v>
      </c>
      <c r="D6310">
        <v>2</v>
      </c>
      <c r="E6310">
        <v>839</v>
      </c>
      <c r="I6310">
        <v>2</v>
      </c>
      <c r="J6310">
        <v>817</v>
      </c>
      <c r="M6310" t="s">
        <v>6435</v>
      </c>
    </row>
    <row r="6311" spans="1:13" ht="15" customHeight="1">
      <c r="A6311" s="10">
        <v>46196</v>
      </c>
      <c r="B6311" t="s">
        <v>201</v>
      </c>
      <c r="C6311" t="s">
        <v>27</v>
      </c>
      <c r="D6311">
        <v>1</v>
      </c>
      <c r="E6311">
        <v>620</v>
      </c>
      <c r="I6311">
        <v>1</v>
      </c>
      <c r="J6311">
        <v>445</v>
      </c>
      <c r="M6311" t="s">
        <v>6436</v>
      </c>
    </row>
    <row r="6312" spans="1:13" ht="15" customHeight="1">
      <c r="A6312" s="10">
        <v>46196</v>
      </c>
      <c r="B6312" t="s">
        <v>201</v>
      </c>
      <c r="C6312" t="s">
        <v>28</v>
      </c>
      <c r="D6312">
        <v>0</v>
      </c>
      <c r="E6312">
        <v>0</v>
      </c>
      <c r="I6312">
        <v>0</v>
      </c>
      <c r="J6312">
        <v>0</v>
      </c>
      <c r="M6312" t="s">
        <v>6437</v>
      </c>
    </row>
    <row r="6313" spans="1:13" ht="15" customHeight="1">
      <c r="A6313" s="10">
        <v>46196</v>
      </c>
      <c r="B6313" t="s">
        <v>201</v>
      </c>
      <c r="C6313" t="s">
        <v>29</v>
      </c>
      <c r="D6313">
        <v>0</v>
      </c>
      <c r="E6313">
        <v>1078</v>
      </c>
      <c r="I6313">
        <v>0</v>
      </c>
      <c r="J6313">
        <v>1060</v>
      </c>
      <c r="M6313" t="s">
        <v>6438</v>
      </c>
    </row>
    <row r="6314" spans="1:13" ht="15" customHeight="1">
      <c r="A6314" s="10">
        <v>46196</v>
      </c>
      <c r="B6314" t="s">
        <v>201</v>
      </c>
      <c r="C6314" t="s">
        <v>30</v>
      </c>
      <c r="D6314">
        <v>1</v>
      </c>
      <c r="E6314">
        <v>853</v>
      </c>
      <c r="I6314">
        <v>1</v>
      </c>
      <c r="J6314">
        <v>833</v>
      </c>
      <c r="M6314" t="s">
        <v>6439</v>
      </c>
    </row>
    <row r="6315" spans="1:13" ht="15" customHeight="1">
      <c r="A6315" s="10">
        <v>46196</v>
      </c>
      <c r="B6315" t="s">
        <v>201</v>
      </c>
      <c r="C6315" t="s">
        <v>31</v>
      </c>
      <c r="D6315">
        <v>1</v>
      </c>
      <c r="E6315">
        <v>422</v>
      </c>
      <c r="I6315">
        <v>0</v>
      </c>
      <c r="J6315">
        <v>1097</v>
      </c>
      <c r="M6315" t="s">
        <v>6440</v>
      </c>
    </row>
    <row r="6316" spans="1:13" ht="15" customHeight="1">
      <c r="A6316" s="10">
        <v>46196</v>
      </c>
      <c r="B6316" t="s">
        <v>201</v>
      </c>
      <c r="C6316" t="s">
        <v>32</v>
      </c>
      <c r="D6316">
        <v>1</v>
      </c>
      <c r="E6316">
        <v>502</v>
      </c>
      <c r="I6316">
        <v>0</v>
      </c>
      <c r="J6316">
        <v>997</v>
      </c>
      <c r="M6316" t="s">
        <v>6441</v>
      </c>
    </row>
    <row r="6317" spans="1:13" ht="15" customHeight="1">
      <c r="A6317" s="10">
        <v>46196</v>
      </c>
      <c r="B6317" t="s">
        <v>201</v>
      </c>
      <c r="C6317" t="s">
        <v>223</v>
      </c>
      <c r="D6317">
        <v>4</v>
      </c>
      <c r="E6317">
        <v>200</v>
      </c>
      <c r="I6317">
        <v>3</v>
      </c>
      <c r="J6317">
        <v>637</v>
      </c>
      <c r="M6317" t="s">
        <v>6442</v>
      </c>
    </row>
    <row r="6318" spans="1:13" ht="15" customHeight="1">
      <c r="A6318" s="10">
        <v>46196</v>
      </c>
      <c r="B6318" t="s">
        <v>201</v>
      </c>
      <c r="C6318" t="s">
        <v>35</v>
      </c>
      <c r="D6318">
        <v>2</v>
      </c>
      <c r="E6318">
        <v>0</v>
      </c>
      <c r="I6318">
        <v>2</v>
      </c>
      <c r="M6318" t="s">
        <v>6443</v>
      </c>
    </row>
    <row r="6319" spans="1:13" ht="15" customHeight="1">
      <c r="A6319" s="10">
        <v>46196</v>
      </c>
      <c r="B6319" t="s">
        <v>201</v>
      </c>
      <c r="C6319" t="s">
        <v>37</v>
      </c>
      <c r="D6319">
        <v>3</v>
      </c>
      <c r="E6319">
        <v>0</v>
      </c>
      <c r="I6319">
        <v>3</v>
      </c>
      <c r="M6319" t="s">
        <v>6444</v>
      </c>
    </row>
    <row r="6320" spans="1:13" ht="15" customHeight="1">
      <c r="A6320" s="10">
        <v>46196</v>
      </c>
      <c r="B6320" t="s">
        <v>201</v>
      </c>
      <c r="C6320" t="s">
        <v>39</v>
      </c>
      <c r="D6320">
        <v>3</v>
      </c>
      <c r="E6320">
        <v>0</v>
      </c>
      <c r="I6320">
        <v>3</v>
      </c>
      <c r="M6320" t="s">
        <v>6445</v>
      </c>
    </row>
    <row r="6321" spans="1:13" ht="15" customHeight="1">
      <c r="A6321" s="10">
        <v>46196</v>
      </c>
      <c r="B6321" t="s">
        <v>201</v>
      </c>
      <c r="C6321" t="s">
        <v>41</v>
      </c>
      <c r="D6321">
        <v>18</v>
      </c>
      <c r="E6321">
        <v>0</v>
      </c>
      <c r="H6321">
        <v>2</v>
      </c>
      <c r="I6321">
        <v>16</v>
      </c>
      <c r="M6321" t="s">
        <v>6446</v>
      </c>
    </row>
    <row r="6322" spans="1:13" ht="15" customHeight="1">
      <c r="A6322" s="10">
        <v>46196</v>
      </c>
      <c r="B6322" t="s">
        <v>201</v>
      </c>
      <c r="C6322" s="135" t="s">
        <v>44</v>
      </c>
      <c r="D6322">
        <v>6</v>
      </c>
      <c r="E6322">
        <v>7881</v>
      </c>
      <c r="I6322">
        <v>6</v>
      </c>
      <c r="J6322">
        <v>6428</v>
      </c>
      <c r="M6322" t="s">
        <v>6447</v>
      </c>
    </row>
    <row r="6323" spans="1:13" ht="15" customHeight="1">
      <c r="A6323" s="10">
        <v>46196</v>
      </c>
      <c r="B6323" t="s">
        <v>201</v>
      </c>
      <c r="C6323" t="s">
        <v>230</v>
      </c>
      <c r="D6323">
        <v>1</v>
      </c>
      <c r="E6323">
        <v>680</v>
      </c>
      <c r="I6323">
        <v>1</v>
      </c>
      <c r="J6323">
        <v>664</v>
      </c>
      <c r="M6323" t="s">
        <v>6448</v>
      </c>
    </row>
    <row r="6324" spans="1:13" ht="15" customHeight="1">
      <c r="A6324" s="10">
        <v>46196</v>
      </c>
      <c r="B6324" t="s">
        <v>201</v>
      </c>
      <c r="C6324" t="s">
        <v>232</v>
      </c>
      <c r="D6324">
        <v>11</v>
      </c>
      <c r="E6324">
        <v>0</v>
      </c>
      <c r="I6324">
        <v>11</v>
      </c>
      <c r="M6324" t="s">
        <v>6449</v>
      </c>
    </row>
    <row r="6325" spans="1:13" ht="15" customHeight="1">
      <c r="A6325" s="10">
        <v>46196</v>
      </c>
      <c r="B6325" t="s">
        <v>201</v>
      </c>
      <c r="C6325" t="s">
        <v>234</v>
      </c>
      <c r="D6325">
        <v>50</v>
      </c>
      <c r="E6325">
        <v>0</v>
      </c>
      <c r="H6325">
        <v>7</v>
      </c>
      <c r="I6325">
        <v>43</v>
      </c>
      <c r="M6325" t="s">
        <v>6450</v>
      </c>
    </row>
    <row r="6326" spans="1:13" ht="15" customHeight="1">
      <c r="A6326" s="10">
        <v>46196</v>
      </c>
      <c r="B6326" t="s">
        <v>201</v>
      </c>
      <c r="C6326" t="s">
        <v>54</v>
      </c>
      <c r="D6326">
        <v>0</v>
      </c>
      <c r="E6326">
        <v>0</v>
      </c>
      <c r="I6326">
        <v>0</v>
      </c>
      <c r="M6326" t="s">
        <v>6451</v>
      </c>
    </row>
    <row r="6327" spans="1:13" ht="15" customHeight="1">
      <c r="A6327" s="10">
        <v>46196</v>
      </c>
      <c r="B6327" t="s">
        <v>201</v>
      </c>
      <c r="C6327" t="s">
        <v>237</v>
      </c>
      <c r="D6327">
        <v>15</v>
      </c>
      <c r="E6327">
        <v>0</v>
      </c>
      <c r="H6327">
        <v>1</v>
      </c>
      <c r="I6327">
        <v>14</v>
      </c>
      <c r="M6327" t="s">
        <v>6452</v>
      </c>
    </row>
    <row r="6328" spans="1:13" ht="15" customHeight="1">
      <c r="A6328" s="10">
        <v>46196</v>
      </c>
      <c r="B6328" t="s">
        <v>201</v>
      </c>
      <c r="C6328" s="135" t="s">
        <v>58</v>
      </c>
      <c r="D6328">
        <v>11</v>
      </c>
      <c r="E6328">
        <v>0</v>
      </c>
      <c r="H6328">
        <v>2</v>
      </c>
      <c r="I6328">
        <v>9</v>
      </c>
      <c r="M6328" t="s">
        <v>6453</v>
      </c>
    </row>
    <row r="6329" spans="1:13" ht="15" customHeight="1">
      <c r="A6329" s="10">
        <v>46196</v>
      </c>
      <c r="B6329" t="s">
        <v>201</v>
      </c>
      <c r="C6329" s="135" t="s">
        <v>60</v>
      </c>
      <c r="D6329">
        <v>6</v>
      </c>
      <c r="E6329">
        <v>0</v>
      </c>
      <c r="H6329">
        <v>2</v>
      </c>
      <c r="I6329">
        <v>4</v>
      </c>
      <c r="M6329" t="s">
        <v>6454</v>
      </c>
    </row>
    <row r="6330" spans="1:13" ht="15" customHeight="1">
      <c r="A6330" s="10">
        <v>46196</v>
      </c>
      <c r="B6330" t="s">
        <v>201</v>
      </c>
      <c r="C6330" s="135" t="s">
        <v>61</v>
      </c>
      <c r="D6330">
        <v>9</v>
      </c>
      <c r="E6330">
        <v>0</v>
      </c>
      <c r="H6330">
        <v>5</v>
      </c>
      <c r="I6330">
        <v>4</v>
      </c>
      <c r="M6330" t="s">
        <v>6455</v>
      </c>
    </row>
    <row r="6331" spans="1:13" ht="15" customHeight="1">
      <c r="A6331" s="10">
        <v>46196</v>
      </c>
      <c r="B6331" t="s">
        <v>201</v>
      </c>
      <c r="C6331" s="135" t="s">
        <v>62</v>
      </c>
      <c r="D6331">
        <v>10</v>
      </c>
      <c r="E6331">
        <v>0</v>
      </c>
      <c r="H6331">
        <v>3</v>
      </c>
      <c r="I6331">
        <v>7</v>
      </c>
      <c r="M6331" t="s">
        <v>6456</v>
      </c>
    </row>
    <row r="6332" spans="1:13" ht="15" customHeight="1">
      <c r="A6332" s="10">
        <v>46196</v>
      </c>
      <c r="B6332" t="s">
        <v>201</v>
      </c>
      <c r="C6332" s="135" t="s">
        <v>63</v>
      </c>
      <c r="D6332">
        <v>6</v>
      </c>
      <c r="E6332">
        <v>0</v>
      </c>
      <c r="I6332">
        <v>6</v>
      </c>
      <c r="M6332" t="s">
        <v>6457</v>
      </c>
    </row>
    <row r="6333" spans="1:13" ht="15" customHeight="1">
      <c r="A6333" s="10">
        <v>46196</v>
      </c>
      <c r="B6333" t="s">
        <v>201</v>
      </c>
      <c r="C6333" s="135" t="s">
        <v>64</v>
      </c>
      <c r="D6333">
        <v>6</v>
      </c>
      <c r="E6333">
        <v>0</v>
      </c>
      <c r="I6333">
        <v>6</v>
      </c>
      <c r="M6333" t="s">
        <v>6458</v>
      </c>
    </row>
    <row r="6334" spans="1:13" ht="15" customHeight="1">
      <c r="A6334" s="10">
        <v>46196</v>
      </c>
      <c r="B6334" t="s">
        <v>201</v>
      </c>
      <c r="C6334" t="s">
        <v>66</v>
      </c>
      <c r="D6334">
        <v>3</v>
      </c>
      <c r="E6334">
        <v>0</v>
      </c>
      <c r="I6334">
        <v>3</v>
      </c>
      <c r="M6334" t="s">
        <v>6459</v>
      </c>
    </row>
    <row r="6335" spans="1:13" ht="15" customHeight="1">
      <c r="A6335" s="10">
        <v>46196</v>
      </c>
      <c r="B6335" t="s">
        <v>201</v>
      </c>
      <c r="C6335" t="s">
        <v>67</v>
      </c>
      <c r="D6335">
        <v>6</v>
      </c>
      <c r="E6335">
        <v>0</v>
      </c>
      <c r="I6335">
        <v>6</v>
      </c>
      <c r="M6335" t="s">
        <v>6460</v>
      </c>
    </row>
    <row r="6336" spans="1:13" ht="15" customHeight="1">
      <c r="A6336" s="10">
        <v>46196</v>
      </c>
      <c r="B6336" t="s">
        <v>201</v>
      </c>
      <c r="C6336" t="s">
        <v>68</v>
      </c>
      <c r="D6336">
        <v>3</v>
      </c>
      <c r="E6336">
        <v>0</v>
      </c>
      <c r="I6336">
        <v>3</v>
      </c>
      <c r="M6336" t="s">
        <v>6461</v>
      </c>
    </row>
    <row r="6337" spans="1:13" ht="15" customHeight="1">
      <c r="A6337" s="10">
        <v>46196</v>
      </c>
      <c r="B6337" t="s">
        <v>201</v>
      </c>
      <c r="C6337" t="s">
        <v>71</v>
      </c>
      <c r="D6337">
        <v>1</v>
      </c>
      <c r="E6337">
        <v>788</v>
      </c>
      <c r="I6337">
        <v>1</v>
      </c>
      <c r="J6337">
        <v>737</v>
      </c>
      <c r="M6337" t="s">
        <v>6462</v>
      </c>
    </row>
    <row r="6338" spans="1:13" ht="15" customHeight="1">
      <c r="A6338" s="10">
        <v>46196</v>
      </c>
      <c r="B6338" t="s">
        <v>201</v>
      </c>
      <c r="C6338" t="s">
        <v>73</v>
      </c>
      <c r="D6338">
        <v>2</v>
      </c>
      <c r="E6338">
        <v>390</v>
      </c>
      <c r="I6338">
        <v>2</v>
      </c>
      <c r="J6338">
        <v>375</v>
      </c>
      <c r="M6338" t="s">
        <v>6463</v>
      </c>
    </row>
    <row r="6339" spans="1:13" ht="15" customHeight="1">
      <c r="A6339" s="10">
        <v>46196</v>
      </c>
      <c r="B6339" t="s">
        <v>201</v>
      </c>
      <c r="C6339" t="s">
        <v>75</v>
      </c>
      <c r="D6339">
        <v>0</v>
      </c>
      <c r="E6339">
        <v>348</v>
      </c>
      <c r="I6339">
        <v>0</v>
      </c>
      <c r="J6339">
        <v>317</v>
      </c>
      <c r="M6339" t="s">
        <v>6464</v>
      </c>
    </row>
    <row r="6340" spans="1:13" ht="15" customHeight="1">
      <c r="A6340" s="10">
        <v>46196</v>
      </c>
      <c r="B6340" t="s">
        <v>201</v>
      </c>
      <c r="C6340" t="s">
        <v>77</v>
      </c>
      <c r="D6340">
        <v>1</v>
      </c>
      <c r="E6340">
        <v>267</v>
      </c>
      <c r="I6340">
        <v>1</v>
      </c>
      <c r="J6340">
        <v>237</v>
      </c>
      <c r="M6340" t="s">
        <v>6465</v>
      </c>
    </row>
    <row r="6341" spans="1:13" ht="15" customHeight="1">
      <c r="A6341" s="10">
        <v>46196</v>
      </c>
      <c r="B6341" t="s">
        <v>201</v>
      </c>
      <c r="C6341" t="s">
        <v>79</v>
      </c>
      <c r="D6341">
        <v>1</v>
      </c>
      <c r="E6341">
        <v>304</v>
      </c>
      <c r="I6341">
        <v>1</v>
      </c>
      <c r="J6341">
        <v>241</v>
      </c>
      <c r="M6341" t="s">
        <v>6466</v>
      </c>
    </row>
    <row r="6342" spans="1:13" ht="15" customHeight="1">
      <c r="A6342" s="10">
        <v>46196</v>
      </c>
      <c r="B6342" t="s">
        <v>201</v>
      </c>
      <c r="C6342" t="s">
        <v>81</v>
      </c>
      <c r="D6342">
        <v>1</v>
      </c>
      <c r="E6342">
        <v>302</v>
      </c>
      <c r="I6342">
        <v>1</v>
      </c>
      <c r="J6342">
        <v>302</v>
      </c>
      <c r="M6342" t="s">
        <v>6467</v>
      </c>
    </row>
    <row r="6343" spans="1:13" ht="15" customHeight="1">
      <c r="A6343" s="10">
        <v>46196</v>
      </c>
      <c r="B6343" t="s">
        <v>201</v>
      </c>
      <c r="C6343" t="s">
        <v>83</v>
      </c>
      <c r="D6343">
        <v>0</v>
      </c>
      <c r="E6343">
        <v>416</v>
      </c>
      <c r="I6343">
        <v>0</v>
      </c>
      <c r="J6343">
        <v>416</v>
      </c>
      <c r="M6343" t="s">
        <v>6468</v>
      </c>
    </row>
    <row r="6344" spans="1:13" ht="15" customHeight="1">
      <c r="A6344" s="10">
        <v>46196</v>
      </c>
      <c r="B6344" t="s">
        <v>201</v>
      </c>
      <c r="C6344" t="s">
        <v>84</v>
      </c>
      <c r="D6344">
        <v>1</v>
      </c>
      <c r="E6344">
        <v>289</v>
      </c>
      <c r="I6344">
        <v>1</v>
      </c>
      <c r="J6344">
        <v>289</v>
      </c>
      <c r="M6344" t="s">
        <v>6469</v>
      </c>
    </row>
    <row r="6345" spans="1:13" ht="15" customHeight="1">
      <c r="A6345" s="10">
        <v>46196</v>
      </c>
      <c r="B6345" t="s">
        <v>201</v>
      </c>
      <c r="C6345" t="s">
        <v>85</v>
      </c>
      <c r="D6345">
        <v>0</v>
      </c>
      <c r="E6345">
        <v>200</v>
      </c>
      <c r="I6345">
        <v>0</v>
      </c>
      <c r="J6345">
        <v>200</v>
      </c>
      <c r="M6345" t="s">
        <v>6470</v>
      </c>
    </row>
    <row r="6346" spans="1:13" ht="15" customHeight="1">
      <c r="A6346" s="10">
        <v>46196</v>
      </c>
      <c r="B6346" t="s">
        <v>201</v>
      </c>
      <c r="C6346" t="s">
        <v>87</v>
      </c>
      <c r="D6346">
        <v>2</v>
      </c>
      <c r="E6346">
        <v>130</v>
      </c>
      <c r="I6346">
        <v>2</v>
      </c>
      <c r="J6346">
        <v>124</v>
      </c>
      <c r="M6346" t="s">
        <v>6471</v>
      </c>
    </row>
    <row r="6347" spans="1:13" ht="15" customHeight="1">
      <c r="A6347" s="10">
        <v>46196</v>
      </c>
      <c r="B6347" t="s">
        <v>201</v>
      </c>
      <c r="C6347" t="s">
        <v>88</v>
      </c>
      <c r="D6347">
        <v>2</v>
      </c>
      <c r="E6347">
        <v>270</v>
      </c>
      <c r="I6347">
        <v>2</v>
      </c>
      <c r="J6347">
        <v>255</v>
      </c>
      <c r="M6347" t="s">
        <v>6472</v>
      </c>
    </row>
    <row r="6348" spans="1:13" ht="15" customHeight="1">
      <c r="A6348" s="10">
        <v>46196</v>
      </c>
      <c r="B6348" t="s">
        <v>201</v>
      </c>
      <c r="C6348" t="s">
        <v>89</v>
      </c>
      <c r="D6348">
        <v>2</v>
      </c>
      <c r="E6348">
        <v>271</v>
      </c>
      <c r="I6348">
        <v>2</v>
      </c>
      <c r="J6348">
        <v>268</v>
      </c>
      <c r="M6348" t="s">
        <v>6473</v>
      </c>
    </row>
    <row r="6349" spans="1:13" ht="15" customHeight="1">
      <c r="A6349" s="10">
        <v>46196</v>
      </c>
      <c r="B6349" t="s">
        <v>201</v>
      </c>
      <c r="C6349" t="s">
        <v>90</v>
      </c>
      <c r="D6349">
        <v>1</v>
      </c>
      <c r="E6349">
        <v>297</v>
      </c>
      <c r="I6349">
        <v>1</v>
      </c>
      <c r="J6349">
        <v>242</v>
      </c>
      <c r="M6349" t="s">
        <v>6474</v>
      </c>
    </row>
    <row r="6350" spans="1:13" ht="15" customHeight="1">
      <c r="A6350" s="10">
        <v>46196</v>
      </c>
      <c r="B6350" t="s">
        <v>201</v>
      </c>
      <c r="C6350" t="s">
        <v>92</v>
      </c>
      <c r="D6350">
        <v>1</v>
      </c>
      <c r="E6350">
        <v>381</v>
      </c>
      <c r="I6350">
        <v>1</v>
      </c>
      <c r="J6350">
        <v>274</v>
      </c>
      <c r="M6350" t="s">
        <v>6475</v>
      </c>
    </row>
    <row r="6351" spans="1:13" ht="15" customHeight="1">
      <c r="A6351" s="10">
        <v>46196</v>
      </c>
      <c r="B6351" t="s">
        <v>201</v>
      </c>
      <c r="C6351" t="s">
        <v>94</v>
      </c>
      <c r="D6351">
        <v>1</v>
      </c>
      <c r="E6351">
        <v>591</v>
      </c>
      <c r="I6351">
        <v>1</v>
      </c>
      <c r="J6351">
        <v>394</v>
      </c>
      <c r="K6351">
        <v>612</v>
      </c>
      <c r="M6351" t="s">
        <v>6476</v>
      </c>
    </row>
    <row r="6352" spans="1:13" ht="15" customHeight="1">
      <c r="A6352" s="10">
        <v>46196</v>
      </c>
      <c r="B6352" t="s">
        <v>201</v>
      </c>
      <c r="C6352" t="s">
        <v>98</v>
      </c>
      <c r="D6352">
        <v>2</v>
      </c>
      <c r="E6352">
        <v>103</v>
      </c>
      <c r="I6352">
        <v>0</v>
      </c>
      <c r="J6352">
        <v>155</v>
      </c>
      <c r="K6352">
        <v>288</v>
      </c>
      <c r="M6352" t="s">
        <v>6477</v>
      </c>
    </row>
    <row r="6353" spans="1:13" ht="15" customHeight="1">
      <c r="A6353" s="10">
        <v>46196</v>
      </c>
      <c r="B6353" t="s">
        <v>201</v>
      </c>
      <c r="C6353" t="s">
        <v>203</v>
      </c>
      <c r="D6353">
        <v>2</v>
      </c>
      <c r="E6353">
        <v>0</v>
      </c>
      <c r="I6353">
        <v>2</v>
      </c>
      <c r="M6353" t="s">
        <v>6478</v>
      </c>
    </row>
    <row r="6354" spans="1:13" ht="15" customHeight="1">
      <c r="A6354" s="10">
        <v>46196</v>
      </c>
      <c r="B6354" t="s">
        <v>201</v>
      </c>
      <c r="C6354" t="s">
        <v>101</v>
      </c>
      <c r="D6354">
        <v>0</v>
      </c>
      <c r="E6354">
        <v>572</v>
      </c>
      <c r="I6354">
        <v>0</v>
      </c>
      <c r="J6354">
        <v>521</v>
      </c>
      <c r="M6354" t="s">
        <v>6479</v>
      </c>
    </row>
    <row r="6355" spans="1:13" ht="15" customHeight="1">
      <c r="A6355" s="10">
        <v>46196</v>
      </c>
      <c r="B6355" t="s">
        <v>201</v>
      </c>
      <c r="C6355" t="s">
        <v>103</v>
      </c>
      <c r="D6355">
        <v>0</v>
      </c>
      <c r="E6355">
        <v>8</v>
      </c>
      <c r="I6355">
        <v>0</v>
      </c>
      <c r="J6355">
        <v>6</v>
      </c>
      <c r="M6355" t="s">
        <v>6480</v>
      </c>
    </row>
    <row r="6356" spans="1:13" ht="15" customHeight="1">
      <c r="A6356" s="10">
        <v>46196</v>
      </c>
      <c r="B6356" t="s">
        <v>201</v>
      </c>
      <c r="C6356" t="s">
        <v>106</v>
      </c>
      <c r="D6356">
        <v>1</v>
      </c>
      <c r="E6356">
        <v>367</v>
      </c>
      <c r="I6356">
        <v>1</v>
      </c>
      <c r="J6356">
        <v>318</v>
      </c>
      <c r="M6356" t="s">
        <v>6481</v>
      </c>
    </row>
    <row r="6357" spans="1:13" ht="15" customHeight="1">
      <c r="A6357" s="10">
        <v>46196</v>
      </c>
      <c r="B6357" t="s">
        <v>201</v>
      </c>
      <c r="C6357" t="s">
        <v>108</v>
      </c>
      <c r="D6357">
        <v>1</v>
      </c>
      <c r="E6357">
        <v>880</v>
      </c>
      <c r="I6357">
        <v>1</v>
      </c>
      <c r="J6357">
        <v>819</v>
      </c>
      <c r="M6357" t="s">
        <v>6482</v>
      </c>
    </row>
    <row r="6358" spans="1:13" ht="15" customHeight="1">
      <c r="A6358" s="10">
        <v>46196</v>
      </c>
      <c r="B6358" t="s">
        <v>201</v>
      </c>
      <c r="C6358" t="s">
        <v>109</v>
      </c>
      <c r="D6358">
        <v>1</v>
      </c>
      <c r="E6358">
        <v>811</v>
      </c>
      <c r="I6358">
        <v>1</v>
      </c>
      <c r="J6358">
        <v>694</v>
      </c>
      <c r="M6358" t="s">
        <v>6483</v>
      </c>
    </row>
    <row r="6359" spans="1:13" ht="15" customHeight="1">
      <c r="A6359" s="10">
        <v>46196</v>
      </c>
      <c r="B6359" t="s">
        <v>201</v>
      </c>
      <c r="C6359" t="s">
        <v>112</v>
      </c>
      <c r="D6359">
        <v>1</v>
      </c>
      <c r="E6359">
        <v>17</v>
      </c>
      <c r="I6359">
        <v>1</v>
      </c>
      <c r="J6359">
        <v>12</v>
      </c>
      <c r="M6359" t="s">
        <v>6484</v>
      </c>
    </row>
    <row r="6360" spans="1:13" ht="15" customHeight="1">
      <c r="A6360" s="10">
        <v>46196</v>
      </c>
      <c r="B6360" t="s">
        <v>201</v>
      </c>
      <c r="C6360" t="s">
        <v>114</v>
      </c>
      <c r="D6360">
        <v>2</v>
      </c>
      <c r="E6360">
        <v>39</v>
      </c>
      <c r="I6360">
        <v>2</v>
      </c>
      <c r="J6360">
        <v>25</v>
      </c>
      <c r="M6360" t="s">
        <v>6485</v>
      </c>
    </row>
    <row r="6361" spans="1:13" ht="15" customHeight="1">
      <c r="A6361" s="10">
        <v>46196</v>
      </c>
      <c r="B6361" t="s">
        <v>201</v>
      </c>
      <c r="C6361" t="s">
        <v>115</v>
      </c>
      <c r="D6361">
        <v>1</v>
      </c>
      <c r="E6361">
        <v>15</v>
      </c>
      <c r="I6361">
        <v>1</v>
      </c>
      <c r="J6361">
        <v>9</v>
      </c>
      <c r="M6361" t="s">
        <v>6486</v>
      </c>
    </row>
    <row r="6362" spans="1:13" ht="15" customHeight="1">
      <c r="A6362" s="10">
        <v>46196</v>
      </c>
      <c r="B6362" t="s">
        <v>201</v>
      </c>
      <c r="C6362" t="s">
        <v>116</v>
      </c>
      <c r="D6362">
        <v>2</v>
      </c>
      <c r="E6362">
        <v>17</v>
      </c>
      <c r="I6362">
        <v>2</v>
      </c>
      <c r="J6362">
        <v>9</v>
      </c>
      <c r="M6362" t="s">
        <v>6487</v>
      </c>
    </row>
    <row r="6363" spans="1:13" ht="15" customHeight="1">
      <c r="A6363" s="10">
        <v>46196</v>
      </c>
      <c r="B6363" t="s">
        <v>201</v>
      </c>
      <c r="C6363" t="s">
        <v>119</v>
      </c>
      <c r="D6363">
        <v>0</v>
      </c>
      <c r="E6363">
        <v>0</v>
      </c>
      <c r="I6363">
        <v>0</v>
      </c>
      <c r="M6363" t="s">
        <v>6488</v>
      </c>
    </row>
    <row r="6364" spans="1:13" ht="15" customHeight="1">
      <c r="A6364" s="10">
        <v>46196</v>
      </c>
      <c r="B6364" t="s">
        <v>201</v>
      </c>
      <c r="C6364" t="s">
        <v>120</v>
      </c>
      <c r="D6364">
        <v>2</v>
      </c>
      <c r="E6364">
        <v>0</v>
      </c>
      <c r="I6364">
        <v>2</v>
      </c>
      <c r="M6364" t="s">
        <v>6489</v>
      </c>
    </row>
    <row r="6365" spans="1:13" ht="15" customHeight="1">
      <c r="A6365" s="10">
        <v>46196</v>
      </c>
      <c r="B6365" t="s">
        <v>201</v>
      </c>
      <c r="C6365" t="s">
        <v>121</v>
      </c>
      <c r="D6365">
        <v>1</v>
      </c>
      <c r="E6365">
        <v>0</v>
      </c>
      <c r="I6365">
        <v>1</v>
      </c>
      <c r="M6365" t="s">
        <v>6490</v>
      </c>
    </row>
    <row r="6366" spans="1:13" ht="15" customHeight="1">
      <c r="A6366" s="10">
        <v>46196</v>
      </c>
      <c r="B6366" t="s">
        <v>201</v>
      </c>
      <c r="C6366" t="s">
        <v>123</v>
      </c>
      <c r="D6366">
        <v>1</v>
      </c>
      <c r="E6366">
        <v>0</v>
      </c>
      <c r="I6366">
        <v>1</v>
      </c>
      <c r="M6366" t="s">
        <v>6491</v>
      </c>
    </row>
    <row r="6367" spans="1:13" ht="15" customHeight="1">
      <c r="A6367" s="10">
        <v>46196</v>
      </c>
      <c r="B6367" t="s">
        <v>201</v>
      </c>
      <c r="C6367" t="s">
        <v>124</v>
      </c>
      <c r="D6367">
        <v>1</v>
      </c>
      <c r="E6367">
        <v>0</v>
      </c>
      <c r="I6367">
        <v>1</v>
      </c>
      <c r="M6367" t="s">
        <v>6492</v>
      </c>
    </row>
    <row r="6368" spans="1:13" ht="15" customHeight="1">
      <c r="A6368" s="10">
        <v>46196</v>
      </c>
      <c r="B6368" t="s">
        <v>201</v>
      </c>
      <c r="C6368" t="s">
        <v>125</v>
      </c>
      <c r="D6368">
        <v>2</v>
      </c>
      <c r="E6368">
        <v>0</v>
      </c>
      <c r="I6368">
        <v>2</v>
      </c>
      <c r="M6368" t="s">
        <v>6493</v>
      </c>
    </row>
    <row r="6369" spans="1:13" ht="15" customHeight="1">
      <c r="A6369" s="10">
        <v>46196</v>
      </c>
      <c r="B6369" t="s">
        <v>201</v>
      </c>
      <c r="C6369" t="s">
        <v>126</v>
      </c>
      <c r="D6369">
        <v>2</v>
      </c>
      <c r="E6369">
        <v>0</v>
      </c>
      <c r="I6369">
        <v>2</v>
      </c>
      <c r="M6369" t="s">
        <v>6494</v>
      </c>
    </row>
    <row r="6370" spans="1:13" ht="15" customHeight="1">
      <c r="A6370" s="10">
        <v>46196</v>
      </c>
      <c r="B6370" t="s">
        <v>201</v>
      </c>
      <c r="C6370" t="s">
        <v>128</v>
      </c>
      <c r="D6370">
        <v>1</v>
      </c>
      <c r="E6370">
        <v>0</v>
      </c>
      <c r="I6370">
        <v>1</v>
      </c>
      <c r="M6370" t="s">
        <v>6495</v>
      </c>
    </row>
    <row r="6371" spans="1:13" ht="15" customHeight="1">
      <c r="A6371" s="10">
        <v>46196</v>
      </c>
      <c r="B6371" t="s">
        <v>201</v>
      </c>
      <c r="C6371" t="s">
        <v>130</v>
      </c>
      <c r="D6371">
        <v>2</v>
      </c>
      <c r="E6371">
        <v>0</v>
      </c>
      <c r="I6371">
        <v>2</v>
      </c>
      <c r="M6371" t="s">
        <v>6496</v>
      </c>
    </row>
    <row r="6372" spans="1:13" ht="15" customHeight="1">
      <c r="A6372" s="10">
        <v>46196</v>
      </c>
      <c r="B6372" t="s">
        <v>201</v>
      </c>
      <c r="C6372" t="s">
        <v>285</v>
      </c>
      <c r="D6372">
        <v>2</v>
      </c>
      <c r="E6372">
        <v>0</v>
      </c>
      <c r="I6372">
        <v>2</v>
      </c>
      <c r="M6372" t="s">
        <v>6497</v>
      </c>
    </row>
    <row r="6373" spans="1:13" ht="15" customHeight="1">
      <c r="A6373" s="10">
        <v>46196</v>
      </c>
      <c r="B6373" t="s">
        <v>201</v>
      </c>
      <c r="C6373" t="s">
        <v>287</v>
      </c>
      <c r="D6373">
        <v>6</v>
      </c>
      <c r="E6373">
        <v>0</v>
      </c>
      <c r="I6373">
        <v>6</v>
      </c>
      <c r="M6373" t="s">
        <v>6498</v>
      </c>
    </row>
    <row r="6374" spans="1:13" ht="15" customHeight="1">
      <c r="A6374" s="10">
        <v>46196</v>
      </c>
      <c r="B6374" t="s">
        <v>201</v>
      </c>
      <c r="C6374" t="s">
        <v>289</v>
      </c>
      <c r="D6374">
        <v>1</v>
      </c>
      <c r="E6374">
        <v>0</v>
      </c>
      <c r="I6374">
        <v>1</v>
      </c>
      <c r="M6374" t="s">
        <v>6499</v>
      </c>
    </row>
    <row r="6375" spans="1:13" ht="15" customHeight="1">
      <c r="A6375" s="10">
        <v>46196</v>
      </c>
      <c r="B6375" t="s">
        <v>201</v>
      </c>
      <c r="C6375" t="s">
        <v>291</v>
      </c>
      <c r="D6375">
        <v>1</v>
      </c>
      <c r="E6375">
        <v>0</v>
      </c>
      <c r="I6375">
        <v>1</v>
      </c>
      <c r="M6375" t="s">
        <v>6500</v>
      </c>
    </row>
    <row r="6376" spans="1:13" ht="15" customHeight="1">
      <c r="A6376" s="10">
        <v>46196</v>
      </c>
      <c r="B6376" t="s">
        <v>201</v>
      </c>
      <c r="C6376" t="s">
        <v>293</v>
      </c>
      <c r="D6376">
        <v>1</v>
      </c>
      <c r="E6376">
        <v>0</v>
      </c>
      <c r="I6376">
        <v>1</v>
      </c>
      <c r="M6376" t="s">
        <v>6501</v>
      </c>
    </row>
    <row r="6377" spans="1:13" ht="15" customHeight="1">
      <c r="A6377" s="10">
        <v>46196</v>
      </c>
      <c r="B6377" t="s">
        <v>201</v>
      </c>
      <c r="C6377" s="135" t="s">
        <v>138</v>
      </c>
      <c r="D6377">
        <v>0</v>
      </c>
      <c r="E6377">
        <v>69</v>
      </c>
      <c r="I6377">
        <v>0</v>
      </c>
      <c r="J6377">
        <v>67</v>
      </c>
      <c r="M6377" t="s">
        <v>6502</v>
      </c>
    </row>
    <row r="6378" spans="1:13" ht="15" customHeight="1">
      <c r="A6378" s="10">
        <v>46196</v>
      </c>
      <c r="B6378" t="s">
        <v>201</v>
      </c>
      <c r="C6378" s="135" t="s">
        <v>139</v>
      </c>
      <c r="D6378">
        <v>0</v>
      </c>
      <c r="E6378">
        <v>26</v>
      </c>
      <c r="I6378">
        <v>0</v>
      </c>
      <c r="J6378">
        <v>25</v>
      </c>
      <c r="M6378" t="s">
        <v>6503</v>
      </c>
    </row>
    <row r="6379" spans="1:13" ht="15" customHeight="1">
      <c r="A6379" s="10">
        <v>46196</v>
      </c>
      <c r="B6379" t="s">
        <v>201</v>
      </c>
      <c r="C6379" s="135" t="s">
        <v>140</v>
      </c>
      <c r="D6379">
        <v>0</v>
      </c>
      <c r="E6379">
        <v>31</v>
      </c>
      <c r="I6379">
        <v>0</v>
      </c>
      <c r="J6379">
        <v>31</v>
      </c>
      <c r="M6379" t="s">
        <v>6504</v>
      </c>
    </row>
    <row r="6380" spans="1:13" ht="15" customHeight="1">
      <c r="A6380" s="10">
        <v>46196</v>
      </c>
      <c r="B6380" t="s">
        <v>201</v>
      </c>
      <c r="C6380" s="135" t="s">
        <v>141</v>
      </c>
      <c r="D6380">
        <v>0</v>
      </c>
      <c r="E6380">
        <v>1</v>
      </c>
      <c r="I6380">
        <v>0</v>
      </c>
      <c r="J6380">
        <v>1</v>
      </c>
      <c r="M6380" t="s">
        <v>6505</v>
      </c>
    </row>
    <row r="6381" spans="1:13" ht="15" customHeight="1">
      <c r="A6381" s="10">
        <v>46196</v>
      </c>
      <c r="B6381" t="s">
        <v>201</v>
      </c>
      <c r="C6381" s="135" t="s">
        <v>143</v>
      </c>
      <c r="D6381">
        <v>0</v>
      </c>
      <c r="E6381">
        <v>43</v>
      </c>
      <c r="I6381">
        <v>0</v>
      </c>
      <c r="J6381">
        <v>50</v>
      </c>
      <c r="M6381" t="s">
        <v>6506</v>
      </c>
    </row>
    <row r="6382" spans="1:13" ht="15" customHeight="1">
      <c r="A6382" s="10">
        <v>46196</v>
      </c>
      <c r="B6382" t="s">
        <v>201</v>
      </c>
      <c r="C6382" s="135" t="s">
        <v>145</v>
      </c>
      <c r="D6382">
        <v>0</v>
      </c>
      <c r="E6382">
        <v>21</v>
      </c>
      <c r="I6382">
        <v>0</v>
      </c>
      <c r="J6382">
        <v>20</v>
      </c>
      <c r="M6382" t="s">
        <v>6507</v>
      </c>
    </row>
    <row r="6383" spans="1:13" ht="15" customHeight="1">
      <c r="A6383" s="10">
        <v>46196</v>
      </c>
      <c r="B6383" t="s">
        <v>201</v>
      </c>
      <c r="C6383" s="135" t="s">
        <v>147</v>
      </c>
      <c r="D6383">
        <v>0</v>
      </c>
      <c r="E6383">
        <v>28</v>
      </c>
      <c r="I6383">
        <v>0</v>
      </c>
      <c r="J6383">
        <v>28</v>
      </c>
      <c r="M6383" t="s">
        <v>6508</v>
      </c>
    </row>
    <row r="6384" spans="1:13" ht="15" customHeight="1">
      <c r="A6384" s="10">
        <v>46196</v>
      </c>
      <c r="B6384" t="s">
        <v>201</v>
      </c>
      <c r="C6384" t="s">
        <v>302</v>
      </c>
      <c r="D6384">
        <v>1</v>
      </c>
      <c r="E6384">
        <v>2</v>
      </c>
      <c r="I6384">
        <v>1</v>
      </c>
      <c r="M6384" t="s">
        <v>6509</v>
      </c>
    </row>
    <row r="6385" spans="1:13" ht="15" customHeight="1">
      <c r="A6385" s="10">
        <v>46196</v>
      </c>
      <c r="B6385" t="s">
        <v>201</v>
      </c>
      <c r="C6385" t="s">
        <v>150</v>
      </c>
      <c r="D6385">
        <v>3</v>
      </c>
      <c r="E6385">
        <v>0</v>
      </c>
      <c r="I6385">
        <v>3</v>
      </c>
      <c r="M6385" t="s">
        <v>6510</v>
      </c>
    </row>
    <row r="6386" spans="1:13" ht="15" customHeight="1">
      <c r="A6386" s="10">
        <v>46196</v>
      </c>
      <c r="B6386" t="s">
        <v>201</v>
      </c>
      <c r="C6386" t="s">
        <v>151</v>
      </c>
      <c r="D6386">
        <v>2</v>
      </c>
      <c r="E6386">
        <v>0</v>
      </c>
      <c r="I6386">
        <v>1</v>
      </c>
      <c r="M6386" t="s">
        <v>6511</v>
      </c>
    </row>
    <row r="6387" spans="1:13" ht="15" customHeight="1">
      <c r="A6387" s="10">
        <v>46196</v>
      </c>
      <c r="B6387" t="s">
        <v>201</v>
      </c>
      <c r="C6387" t="s">
        <v>152</v>
      </c>
      <c r="D6387">
        <v>2</v>
      </c>
      <c r="E6387">
        <v>0</v>
      </c>
      <c r="I6387">
        <v>2</v>
      </c>
      <c r="M6387" t="s">
        <v>6512</v>
      </c>
    </row>
    <row r="6388" spans="1:13" ht="15" customHeight="1">
      <c r="A6388" s="10">
        <v>46196</v>
      </c>
      <c r="B6388" t="s">
        <v>201</v>
      </c>
      <c r="C6388" t="s">
        <v>153</v>
      </c>
      <c r="D6388">
        <v>2</v>
      </c>
      <c r="E6388">
        <v>0</v>
      </c>
      <c r="I6388">
        <v>2</v>
      </c>
      <c r="M6388" t="s">
        <v>6513</v>
      </c>
    </row>
    <row r="6389" spans="1:13" ht="15" customHeight="1">
      <c r="A6389" s="10">
        <v>46196</v>
      </c>
      <c r="B6389" t="s">
        <v>201</v>
      </c>
      <c r="C6389" t="s">
        <v>308</v>
      </c>
      <c r="D6389">
        <v>0</v>
      </c>
      <c r="E6389">
        <v>1</v>
      </c>
      <c r="I6389">
        <v>0</v>
      </c>
      <c r="J6389">
        <v>1</v>
      </c>
      <c r="M6389" t="s">
        <v>6514</v>
      </c>
    </row>
    <row r="6390" spans="1:13" ht="15" customHeight="1">
      <c r="A6390" s="10">
        <v>46196</v>
      </c>
      <c r="B6390" t="s">
        <v>201</v>
      </c>
      <c r="C6390" t="s">
        <v>310</v>
      </c>
      <c r="D6390">
        <v>0</v>
      </c>
      <c r="E6390">
        <v>2</v>
      </c>
      <c r="I6390">
        <v>0</v>
      </c>
      <c r="J6390">
        <v>2</v>
      </c>
      <c r="M6390" t="s">
        <v>6515</v>
      </c>
    </row>
    <row r="6391" spans="1:13" ht="15" customHeight="1">
      <c r="A6391" s="10">
        <v>46196</v>
      </c>
      <c r="B6391" t="s">
        <v>201</v>
      </c>
      <c r="C6391" t="s">
        <v>312</v>
      </c>
      <c r="D6391">
        <v>0</v>
      </c>
      <c r="E6391">
        <v>3</v>
      </c>
      <c r="I6391">
        <v>0</v>
      </c>
      <c r="J6391">
        <v>3</v>
      </c>
      <c r="M6391" t="s">
        <v>6516</v>
      </c>
    </row>
    <row r="6392" spans="1:13" ht="15" customHeight="1">
      <c r="A6392" s="10">
        <v>46196</v>
      </c>
      <c r="B6392" t="s">
        <v>201</v>
      </c>
      <c r="C6392" t="s">
        <v>314</v>
      </c>
      <c r="D6392">
        <v>1</v>
      </c>
      <c r="E6392">
        <v>0</v>
      </c>
      <c r="I6392">
        <v>1</v>
      </c>
      <c r="M6392" t="s">
        <v>6517</v>
      </c>
    </row>
    <row r="6393" spans="1:13" ht="15" customHeight="1">
      <c r="A6393" s="10">
        <v>46196</v>
      </c>
      <c r="B6393" t="s">
        <v>201</v>
      </c>
      <c r="C6393" t="s">
        <v>316</v>
      </c>
      <c r="D6393">
        <v>1</v>
      </c>
      <c r="E6393">
        <v>0</v>
      </c>
      <c r="I6393">
        <v>1</v>
      </c>
      <c r="M6393" t="s">
        <v>6518</v>
      </c>
    </row>
    <row r="6394" spans="1:13" ht="15" customHeight="1">
      <c r="A6394" s="10">
        <v>46196</v>
      </c>
      <c r="B6394" t="s">
        <v>201</v>
      </c>
      <c r="C6394" t="s">
        <v>318</v>
      </c>
      <c r="D6394">
        <v>1</v>
      </c>
      <c r="E6394">
        <v>0</v>
      </c>
      <c r="I6394">
        <v>1</v>
      </c>
      <c r="M6394" t="s">
        <v>6519</v>
      </c>
    </row>
    <row r="6395" spans="1:13" ht="15" customHeight="1">
      <c r="A6395" s="10">
        <v>46196</v>
      </c>
      <c r="B6395" t="s">
        <v>201</v>
      </c>
      <c r="C6395" t="s">
        <v>320</v>
      </c>
      <c r="D6395">
        <v>2</v>
      </c>
      <c r="E6395">
        <v>0</v>
      </c>
      <c r="I6395">
        <v>2</v>
      </c>
      <c r="M6395" t="s">
        <v>6520</v>
      </c>
    </row>
    <row r="6396" spans="1:13" ht="15" customHeight="1">
      <c r="A6396" s="10">
        <v>46196</v>
      </c>
      <c r="B6396" t="s">
        <v>201</v>
      </c>
      <c r="C6396" t="s">
        <v>322</v>
      </c>
      <c r="D6396">
        <v>2</v>
      </c>
      <c r="E6396">
        <v>0</v>
      </c>
      <c r="I6396">
        <v>2</v>
      </c>
      <c r="M6396" t="s">
        <v>6521</v>
      </c>
    </row>
    <row r="6397" spans="1:13" ht="15" customHeight="1">
      <c r="A6397" s="10">
        <v>46196</v>
      </c>
      <c r="B6397" t="s">
        <v>201</v>
      </c>
      <c r="C6397" s="135" t="s">
        <v>168</v>
      </c>
      <c r="D6397">
        <v>1</v>
      </c>
      <c r="E6397">
        <v>0</v>
      </c>
      <c r="I6397">
        <v>1</v>
      </c>
      <c r="M6397" t="s">
        <v>6522</v>
      </c>
    </row>
    <row r="6398" spans="1:13" ht="15" customHeight="1">
      <c r="A6398" s="10">
        <v>46196</v>
      </c>
      <c r="B6398" t="s">
        <v>201</v>
      </c>
      <c r="C6398" s="135" t="s">
        <v>170</v>
      </c>
      <c r="D6398">
        <v>1</v>
      </c>
      <c r="E6398">
        <v>0</v>
      </c>
      <c r="I6398">
        <v>1</v>
      </c>
      <c r="M6398" t="s">
        <v>6523</v>
      </c>
    </row>
    <row r="6399" spans="1:13" ht="15" customHeight="1">
      <c r="A6399" s="10">
        <v>46196</v>
      </c>
      <c r="B6399" t="s">
        <v>201</v>
      </c>
      <c r="C6399" s="135" t="s">
        <v>171</v>
      </c>
      <c r="D6399">
        <v>3</v>
      </c>
      <c r="E6399">
        <v>0</v>
      </c>
      <c r="I6399">
        <v>3</v>
      </c>
      <c r="M6399" t="s">
        <v>6524</v>
      </c>
    </row>
    <row r="6400" spans="1:13" ht="15" customHeight="1">
      <c r="A6400" s="10">
        <v>46196</v>
      </c>
      <c r="B6400" t="s">
        <v>201</v>
      </c>
      <c r="C6400" s="135" t="s">
        <v>172</v>
      </c>
      <c r="D6400">
        <v>1</v>
      </c>
      <c r="E6400">
        <v>0</v>
      </c>
      <c r="I6400">
        <v>1</v>
      </c>
      <c r="M6400" t="s">
        <v>6525</v>
      </c>
    </row>
    <row r="6401" spans="1:13" ht="15" customHeight="1">
      <c r="A6401" s="10">
        <v>46196</v>
      </c>
      <c r="B6401" t="s">
        <v>201</v>
      </c>
      <c r="C6401" s="135" t="s">
        <v>173</v>
      </c>
      <c r="D6401">
        <v>0</v>
      </c>
      <c r="E6401">
        <v>0</v>
      </c>
      <c r="I6401">
        <v>0</v>
      </c>
      <c r="M6401" t="s">
        <v>6526</v>
      </c>
    </row>
    <row r="6402" spans="1:13" ht="15" customHeight="1">
      <c r="A6402" s="10">
        <v>46196</v>
      </c>
      <c r="B6402" t="s">
        <v>201</v>
      </c>
      <c r="C6402" t="s">
        <v>176</v>
      </c>
      <c r="D6402">
        <v>0</v>
      </c>
      <c r="E6402">
        <v>21</v>
      </c>
      <c r="I6402">
        <v>0</v>
      </c>
      <c r="J6402">
        <v>21</v>
      </c>
      <c r="M6402" t="s">
        <v>6527</v>
      </c>
    </row>
    <row r="6403" spans="1:13" ht="15" customHeight="1">
      <c r="A6403" s="10">
        <v>46196</v>
      </c>
      <c r="B6403" t="s">
        <v>201</v>
      </c>
      <c r="C6403" t="s">
        <v>178</v>
      </c>
      <c r="D6403">
        <v>0</v>
      </c>
      <c r="E6403">
        <v>23</v>
      </c>
      <c r="I6403">
        <v>0</v>
      </c>
      <c r="J6403">
        <v>23</v>
      </c>
      <c r="M6403" t="s">
        <v>6528</v>
      </c>
    </row>
    <row r="6404" spans="1:13" ht="15" customHeight="1">
      <c r="A6404" s="10">
        <v>46196</v>
      </c>
      <c r="B6404" t="s">
        <v>201</v>
      </c>
      <c r="C6404" t="s">
        <v>179</v>
      </c>
      <c r="D6404">
        <v>0</v>
      </c>
      <c r="E6404">
        <v>16</v>
      </c>
      <c r="I6404">
        <v>0</v>
      </c>
      <c r="J6404">
        <v>16</v>
      </c>
      <c r="M6404" t="s">
        <v>6529</v>
      </c>
    </row>
    <row r="6405" spans="1:13" ht="15" customHeight="1">
      <c r="A6405" s="10">
        <v>46196</v>
      </c>
      <c r="B6405" t="s">
        <v>201</v>
      </c>
      <c r="C6405" t="s">
        <v>180</v>
      </c>
      <c r="D6405">
        <v>0</v>
      </c>
      <c r="E6405">
        <v>9</v>
      </c>
      <c r="H6405">
        <v>1</v>
      </c>
      <c r="I6405">
        <v>0</v>
      </c>
      <c r="J6405">
        <v>8</v>
      </c>
      <c r="M6405" t="s">
        <v>6530</v>
      </c>
    </row>
    <row r="6406" spans="1:13" ht="15" customHeight="1">
      <c r="A6406" s="10">
        <v>46196</v>
      </c>
      <c r="B6406" t="s">
        <v>201</v>
      </c>
      <c r="C6406" s="135" t="s">
        <v>182</v>
      </c>
      <c r="D6406">
        <v>1</v>
      </c>
      <c r="E6406">
        <v>150</v>
      </c>
      <c r="I6406">
        <v>1</v>
      </c>
      <c r="J6406">
        <v>150</v>
      </c>
      <c r="M6406" t="s">
        <v>6531</v>
      </c>
    </row>
    <row r="6407" spans="1:13" ht="15" customHeight="1">
      <c r="A6407" s="10">
        <v>46196</v>
      </c>
      <c r="B6407" t="s">
        <v>201</v>
      </c>
      <c r="C6407" s="135" t="s">
        <v>184</v>
      </c>
      <c r="D6407">
        <v>0</v>
      </c>
      <c r="E6407">
        <v>78</v>
      </c>
      <c r="I6407">
        <v>0</v>
      </c>
      <c r="J6407">
        <v>76</v>
      </c>
      <c r="M6407" t="s">
        <v>6532</v>
      </c>
    </row>
    <row r="6408" spans="1:13" ht="15" customHeight="1">
      <c r="A6408" s="10">
        <v>46196</v>
      </c>
      <c r="B6408" t="s">
        <v>201</v>
      </c>
      <c r="C6408" s="135" t="s">
        <v>185</v>
      </c>
      <c r="D6408">
        <v>1</v>
      </c>
      <c r="E6408">
        <v>29</v>
      </c>
      <c r="I6408">
        <v>1</v>
      </c>
      <c r="J6408">
        <v>29</v>
      </c>
      <c r="M6408" t="s">
        <v>6533</v>
      </c>
    </row>
    <row r="6409" spans="1:13" ht="15" customHeight="1">
      <c r="A6409" s="10">
        <v>46196</v>
      </c>
      <c r="B6409" t="s">
        <v>201</v>
      </c>
      <c r="C6409" s="135" t="s">
        <v>186</v>
      </c>
      <c r="D6409">
        <v>1</v>
      </c>
      <c r="E6409">
        <v>560</v>
      </c>
      <c r="I6409">
        <v>1</v>
      </c>
      <c r="J6409">
        <v>560</v>
      </c>
      <c r="M6409" t="s">
        <v>6534</v>
      </c>
    </row>
    <row r="6410" spans="1:13" ht="15" customHeight="1">
      <c r="A6410" s="10">
        <v>46196</v>
      </c>
      <c r="B6410" t="s">
        <v>201</v>
      </c>
      <c r="C6410" t="s">
        <v>337</v>
      </c>
      <c r="D6410">
        <v>1</v>
      </c>
      <c r="E6410">
        <v>245</v>
      </c>
      <c r="I6410">
        <v>1</v>
      </c>
      <c r="J6410">
        <v>197</v>
      </c>
      <c r="M6410" t="s">
        <v>6535</v>
      </c>
    </row>
    <row r="6411" spans="1:13" ht="15" customHeight="1">
      <c r="A6411" s="10">
        <v>46196</v>
      </c>
      <c r="B6411" t="s">
        <v>201</v>
      </c>
      <c r="C6411" t="s">
        <v>339</v>
      </c>
      <c r="D6411">
        <v>0</v>
      </c>
      <c r="E6411">
        <v>0</v>
      </c>
      <c r="I6411">
        <v>0</v>
      </c>
      <c r="J6411">
        <v>0</v>
      </c>
      <c r="M6411" t="s">
        <v>6536</v>
      </c>
    </row>
    <row r="6412" spans="1:13" ht="15" customHeight="1">
      <c r="A6412" s="10">
        <v>46196</v>
      </c>
      <c r="B6412" t="s">
        <v>201</v>
      </c>
      <c r="C6412" s="135" t="s">
        <v>191</v>
      </c>
      <c r="D6412">
        <v>0</v>
      </c>
      <c r="E6412">
        <v>553</v>
      </c>
      <c r="I6412">
        <v>0</v>
      </c>
      <c r="J6412">
        <v>553</v>
      </c>
      <c r="M6412" t="s">
        <v>6537</v>
      </c>
    </row>
    <row r="6413" spans="1:13" ht="15" customHeight="1">
      <c r="A6413" s="10">
        <v>46196</v>
      </c>
      <c r="B6413" t="s">
        <v>201</v>
      </c>
      <c r="C6413" s="135" t="s">
        <v>193</v>
      </c>
      <c r="D6413">
        <v>0</v>
      </c>
      <c r="E6413">
        <v>561</v>
      </c>
      <c r="I6413">
        <v>0</v>
      </c>
      <c r="J6413">
        <v>543</v>
      </c>
      <c r="M6413" t="s">
        <v>6538</v>
      </c>
    </row>
    <row r="6414" spans="1:13" ht="15" customHeight="1">
      <c r="A6414" s="10">
        <v>46196</v>
      </c>
      <c r="B6414" t="s">
        <v>201</v>
      </c>
      <c r="C6414" s="135" t="s">
        <v>194</v>
      </c>
      <c r="D6414">
        <v>1</v>
      </c>
      <c r="E6414">
        <v>18</v>
      </c>
      <c r="I6414">
        <v>1</v>
      </c>
      <c r="J6414">
        <v>16</v>
      </c>
      <c r="M6414" t="s">
        <v>6539</v>
      </c>
    </row>
    <row r="6415" spans="1:13" ht="15" customHeight="1">
      <c r="A6415" s="10">
        <v>46196</v>
      </c>
      <c r="B6415" t="s">
        <v>201</v>
      </c>
      <c r="C6415" s="135" t="s">
        <v>196</v>
      </c>
      <c r="D6415">
        <v>0</v>
      </c>
      <c r="E6415">
        <v>446</v>
      </c>
      <c r="I6415">
        <v>0</v>
      </c>
      <c r="J6415">
        <v>446</v>
      </c>
      <c r="M6415" t="s">
        <v>6540</v>
      </c>
    </row>
    <row r="6416" spans="1:13" ht="15" customHeight="1">
      <c r="A6416" s="10">
        <v>46196</v>
      </c>
      <c r="B6416" t="s">
        <v>201</v>
      </c>
      <c r="C6416" s="135" t="s">
        <v>199</v>
      </c>
      <c r="D6416">
        <v>0</v>
      </c>
      <c r="E6416">
        <v>510</v>
      </c>
      <c r="I6416">
        <v>0</v>
      </c>
      <c r="J6416">
        <v>450</v>
      </c>
      <c r="M6416" t="s">
        <v>6541</v>
      </c>
    </row>
    <row r="6417" spans="1:13" ht="15" customHeight="1">
      <c r="A6417" s="10">
        <v>46196</v>
      </c>
      <c r="B6417" t="s">
        <v>201</v>
      </c>
      <c r="C6417" s="135" t="s">
        <v>200</v>
      </c>
      <c r="D6417">
        <v>0</v>
      </c>
      <c r="E6417">
        <v>841</v>
      </c>
      <c r="I6417">
        <v>0</v>
      </c>
      <c r="J6417">
        <v>795</v>
      </c>
      <c r="M6417" t="s">
        <v>6542</v>
      </c>
    </row>
    <row r="6418" spans="1:13" ht="15" customHeight="1">
      <c r="A6418" s="10">
        <v>46196</v>
      </c>
      <c r="B6418" t="s">
        <v>201</v>
      </c>
      <c r="C6418" s="135" t="s">
        <v>202</v>
      </c>
      <c r="D6418">
        <v>0</v>
      </c>
      <c r="E6418">
        <v>678</v>
      </c>
      <c r="I6418">
        <v>0</v>
      </c>
      <c r="J6418">
        <v>645</v>
      </c>
      <c r="M6418" t="s">
        <v>6543</v>
      </c>
    </row>
    <row r="6419" spans="1:13" ht="15" customHeight="1">
      <c r="A6419" s="10">
        <v>46197</v>
      </c>
      <c r="B6419" t="s">
        <v>201</v>
      </c>
      <c r="C6419" t="s">
        <v>23</v>
      </c>
      <c r="D6419">
        <v>4</v>
      </c>
      <c r="E6419">
        <v>662</v>
      </c>
      <c r="F6419">
        <v>3</v>
      </c>
      <c r="I6419">
        <v>6</v>
      </c>
      <c r="J6419">
        <v>408</v>
      </c>
      <c r="M6419" t="s">
        <v>6544</v>
      </c>
    </row>
    <row r="6420" spans="1:13" ht="15" customHeight="1">
      <c r="A6420" s="10">
        <v>46197</v>
      </c>
      <c r="B6420" t="s">
        <v>201</v>
      </c>
      <c r="C6420" t="s">
        <v>26</v>
      </c>
      <c r="D6420">
        <v>2</v>
      </c>
      <c r="E6420">
        <v>817</v>
      </c>
      <c r="I6420">
        <v>2</v>
      </c>
      <c r="J6420">
        <v>572</v>
      </c>
      <c r="M6420" t="s">
        <v>6545</v>
      </c>
    </row>
    <row r="6421" spans="1:13" ht="15" customHeight="1">
      <c r="A6421" s="10">
        <v>46197</v>
      </c>
      <c r="B6421" t="s">
        <v>201</v>
      </c>
      <c r="C6421" t="s">
        <v>27</v>
      </c>
      <c r="D6421">
        <v>1</v>
      </c>
      <c r="E6421">
        <v>445</v>
      </c>
      <c r="F6421">
        <v>2</v>
      </c>
      <c r="I6421">
        <v>2</v>
      </c>
      <c r="J6421">
        <v>597</v>
      </c>
      <c r="M6421" t="s">
        <v>6546</v>
      </c>
    </row>
    <row r="6422" spans="1:13" ht="15" customHeight="1">
      <c r="A6422" s="10">
        <v>46197</v>
      </c>
      <c r="B6422" t="s">
        <v>201</v>
      </c>
      <c r="C6422" t="s">
        <v>28</v>
      </c>
      <c r="D6422">
        <v>0</v>
      </c>
      <c r="E6422">
        <v>0</v>
      </c>
      <c r="I6422">
        <v>0</v>
      </c>
      <c r="J6422">
        <v>0</v>
      </c>
      <c r="M6422" t="s">
        <v>6547</v>
      </c>
    </row>
    <row r="6423" spans="1:13" ht="15" customHeight="1">
      <c r="A6423" s="10">
        <v>46197</v>
      </c>
      <c r="B6423" t="s">
        <v>201</v>
      </c>
      <c r="C6423" t="s">
        <v>29</v>
      </c>
      <c r="D6423">
        <v>0</v>
      </c>
      <c r="E6423">
        <v>1060</v>
      </c>
      <c r="F6423">
        <v>1</v>
      </c>
      <c r="G6423">
        <v>350</v>
      </c>
      <c r="I6423">
        <v>1</v>
      </c>
      <c r="J6423">
        <v>1163</v>
      </c>
      <c r="M6423" t="s">
        <v>6548</v>
      </c>
    </row>
    <row r="6424" spans="1:13" ht="15" customHeight="1">
      <c r="A6424" s="10">
        <v>46197</v>
      </c>
      <c r="B6424" t="s">
        <v>201</v>
      </c>
      <c r="C6424" t="s">
        <v>30</v>
      </c>
      <c r="D6424">
        <v>1</v>
      </c>
      <c r="E6424">
        <v>833</v>
      </c>
      <c r="I6424">
        <v>1</v>
      </c>
      <c r="J6424">
        <v>814</v>
      </c>
      <c r="M6424" t="s">
        <v>6549</v>
      </c>
    </row>
    <row r="6425" spans="1:13" ht="15" customHeight="1">
      <c r="A6425" s="10">
        <v>46197</v>
      </c>
      <c r="B6425" t="s">
        <v>201</v>
      </c>
      <c r="C6425" t="s">
        <v>31</v>
      </c>
      <c r="D6425">
        <v>0</v>
      </c>
      <c r="E6425">
        <v>1097</v>
      </c>
      <c r="F6425">
        <v>1</v>
      </c>
      <c r="I6425">
        <v>0</v>
      </c>
      <c r="J6425">
        <v>1293</v>
      </c>
      <c r="M6425" t="s">
        <v>6550</v>
      </c>
    </row>
    <row r="6426" spans="1:13" ht="15" customHeight="1">
      <c r="A6426" s="10">
        <v>46197</v>
      </c>
      <c r="B6426" t="s">
        <v>201</v>
      </c>
      <c r="C6426" t="s">
        <v>32</v>
      </c>
      <c r="D6426">
        <v>0</v>
      </c>
      <c r="E6426">
        <v>997</v>
      </c>
      <c r="I6426">
        <v>0</v>
      </c>
      <c r="J6426">
        <v>442</v>
      </c>
      <c r="M6426" t="s">
        <v>6551</v>
      </c>
    </row>
    <row r="6427" spans="1:13" ht="15" customHeight="1">
      <c r="A6427" s="10">
        <v>46197</v>
      </c>
      <c r="B6427" t="s">
        <v>201</v>
      </c>
      <c r="C6427" t="s">
        <v>223</v>
      </c>
      <c r="D6427">
        <v>3</v>
      </c>
      <c r="E6427">
        <v>637</v>
      </c>
      <c r="F6427">
        <v>3</v>
      </c>
      <c r="I6427">
        <v>5</v>
      </c>
      <c r="J6427">
        <v>655</v>
      </c>
      <c r="M6427" t="s">
        <v>6552</v>
      </c>
    </row>
    <row r="6428" spans="1:13" ht="15" customHeight="1">
      <c r="A6428" s="10">
        <v>46197</v>
      </c>
      <c r="B6428" t="s">
        <v>201</v>
      </c>
      <c r="C6428" t="s">
        <v>35</v>
      </c>
      <c r="D6428">
        <v>2</v>
      </c>
      <c r="E6428">
        <v>0</v>
      </c>
      <c r="F6428">
        <v>8</v>
      </c>
      <c r="H6428">
        <v>1</v>
      </c>
      <c r="I6428">
        <v>9</v>
      </c>
      <c r="M6428" t="s">
        <v>6553</v>
      </c>
    </row>
    <row r="6429" spans="1:13" ht="15" customHeight="1">
      <c r="A6429" s="10">
        <v>46197</v>
      </c>
      <c r="B6429" t="s">
        <v>201</v>
      </c>
      <c r="C6429" t="s">
        <v>37</v>
      </c>
      <c r="D6429">
        <v>3</v>
      </c>
      <c r="E6429">
        <v>0</v>
      </c>
      <c r="F6429">
        <v>2</v>
      </c>
      <c r="I6429">
        <v>5</v>
      </c>
      <c r="M6429" t="s">
        <v>6554</v>
      </c>
    </row>
    <row r="6430" spans="1:13" ht="15" customHeight="1">
      <c r="A6430" s="10">
        <v>46197</v>
      </c>
      <c r="B6430" t="s">
        <v>201</v>
      </c>
      <c r="C6430" t="s">
        <v>39</v>
      </c>
      <c r="D6430">
        <v>3</v>
      </c>
      <c r="E6430">
        <v>0</v>
      </c>
      <c r="F6430">
        <v>20</v>
      </c>
      <c r="H6430">
        <v>1</v>
      </c>
      <c r="I6430">
        <v>22</v>
      </c>
      <c r="M6430" t="s">
        <v>6555</v>
      </c>
    </row>
    <row r="6431" spans="1:13" ht="15" customHeight="1">
      <c r="A6431" s="10">
        <v>46197</v>
      </c>
      <c r="B6431" t="s">
        <v>201</v>
      </c>
      <c r="C6431" t="s">
        <v>41</v>
      </c>
      <c r="D6431">
        <v>16</v>
      </c>
      <c r="E6431">
        <v>0</v>
      </c>
      <c r="H6431">
        <v>1</v>
      </c>
      <c r="I6431">
        <v>15</v>
      </c>
      <c r="M6431" t="s">
        <v>6556</v>
      </c>
    </row>
    <row r="6432" spans="1:13" ht="15" customHeight="1">
      <c r="A6432" s="10">
        <v>46197</v>
      </c>
      <c r="B6432" t="s">
        <v>201</v>
      </c>
      <c r="C6432" s="135" t="s">
        <v>44</v>
      </c>
      <c r="D6432">
        <v>6</v>
      </c>
      <c r="E6432">
        <v>6428</v>
      </c>
      <c r="I6432">
        <v>6</v>
      </c>
      <c r="J6432">
        <v>5350</v>
      </c>
      <c r="M6432" t="s">
        <v>6557</v>
      </c>
    </row>
    <row r="6433" spans="1:13" ht="15" customHeight="1">
      <c r="A6433" s="10">
        <v>46197</v>
      </c>
      <c r="B6433" t="s">
        <v>201</v>
      </c>
      <c r="C6433" t="s">
        <v>230</v>
      </c>
      <c r="D6433">
        <v>1</v>
      </c>
      <c r="E6433">
        <v>664</v>
      </c>
      <c r="I6433">
        <v>1</v>
      </c>
      <c r="J6433">
        <v>664</v>
      </c>
      <c r="M6433" t="s">
        <v>6558</v>
      </c>
    </row>
    <row r="6434" spans="1:13" ht="15" customHeight="1">
      <c r="A6434" s="10">
        <v>46197</v>
      </c>
      <c r="B6434" t="s">
        <v>201</v>
      </c>
      <c r="C6434" t="s">
        <v>232</v>
      </c>
      <c r="D6434">
        <v>11</v>
      </c>
      <c r="E6434">
        <v>0</v>
      </c>
      <c r="I6434">
        <v>11</v>
      </c>
      <c r="M6434" t="s">
        <v>6559</v>
      </c>
    </row>
    <row r="6435" spans="1:13" ht="15" customHeight="1">
      <c r="A6435" s="10">
        <v>46197</v>
      </c>
      <c r="B6435" t="s">
        <v>201</v>
      </c>
      <c r="C6435" t="s">
        <v>234</v>
      </c>
      <c r="D6435">
        <v>43</v>
      </c>
      <c r="E6435">
        <v>0</v>
      </c>
      <c r="F6435">
        <v>50</v>
      </c>
      <c r="H6435">
        <v>6</v>
      </c>
      <c r="I6435">
        <v>87</v>
      </c>
      <c r="M6435" t="s">
        <v>6560</v>
      </c>
    </row>
    <row r="6436" spans="1:13" ht="15" customHeight="1">
      <c r="A6436" s="10">
        <v>46197</v>
      </c>
      <c r="B6436" t="s">
        <v>201</v>
      </c>
      <c r="C6436" t="s">
        <v>54</v>
      </c>
      <c r="D6436">
        <v>0</v>
      </c>
      <c r="E6436">
        <v>0</v>
      </c>
      <c r="I6436">
        <v>0</v>
      </c>
      <c r="M6436" t="s">
        <v>6561</v>
      </c>
    </row>
    <row r="6437" spans="1:13" ht="15" customHeight="1">
      <c r="A6437" s="10">
        <v>46197</v>
      </c>
      <c r="B6437" t="s">
        <v>201</v>
      </c>
      <c r="C6437" t="s">
        <v>237</v>
      </c>
      <c r="D6437">
        <v>14</v>
      </c>
      <c r="E6437">
        <v>0</v>
      </c>
      <c r="H6437">
        <v>1</v>
      </c>
      <c r="I6437">
        <v>13</v>
      </c>
      <c r="M6437" t="s">
        <v>6562</v>
      </c>
    </row>
    <row r="6438" spans="1:13" ht="15" customHeight="1">
      <c r="A6438" s="10">
        <v>46197</v>
      </c>
      <c r="B6438" t="s">
        <v>201</v>
      </c>
      <c r="C6438" s="135" t="s">
        <v>58</v>
      </c>
      <c r="D6438">
        <v>9</v>
      </c>
      <c r="E6438">
        <v>0</v>
      </c>
      <c r="F6438">
        <v>5</v>
      </c>
      <c r="H6438">
        <v>12</v>
      </c>
      <c r="I6438">
        <v>2</v>
      </c>
      <c r="M6438" t="s">
        <v>6563</v>
      </c>
    </row>
    <row r="6439" spans="1:13" ht="15" customHeight="1">
      <c r="A6439" s="10">
        <v>46197</v>
      </c>
      <c r="B6439" t="s">
        <v>201</v>
      </c>
      <c r="C6439" s="135" t="s">
        <v>60</v>
      </c>
      <c r="D6439">
        <v>4</v>
      </c>
      <c r="E6439">
        <v>0</v>
      </c>
      <c r="F6439">
        <v>10</v>
      </c>
      <c r="H6439">
        <v>2</v>
      </c>
      <c r="I6439">
        <v>12</v>
      </c>
      <c r="M6439" t="s">
        <v>6564</v>
      </c>
    </row>
    <row r="6440" spans="1:13" ht="15" customHeight="1">
      <c r="A6440" s="10">
        <v>46197</v>
      </c>
      <c r="B6440" t="s">
        <v>201</v>
      </c>
      <c r="C6440" s="135" t="s">
        <v>61</v>
      </c>
      <c r="D6440">
        <v>4</v>
      </c>
      <c r="E6440">
        <v>0</v>
      </c>
      <c r="F6440">
        <v>5</v>
      </c>
      <c r="H6440">
        <v>3</v>
      </c>
      <c r="I6440">
        <v>6</v>
      </c>
      <c r="M6440" t="s">
        <v>6565</v>
      </c>
    </row>
    <row r="6441" spans="1:13" ht="15" customHeight="1">
      <c r="A6441" s="10">
        <v>46197</v>
      </c>
      <c r="B6441" t="s">
        <v>201</v>
      </c>
      <c r="C6441" s="135" t="s">
        <v>62</v>
      </c>
      <c r="D6441">
        <v>7</v>
      </c>
      <c r="E6441">
        <v>0</v>
      </c>
      <c r="H6441">
        <v>2</v>
      </c>
      <c r="I6441">
        <v>5</v>
      </c>
      <c r="M6441" t="s">
        <v>6566</v>
      </c>
    </row>
    <row r="6442" spans="1:13" ht="15" customHeight="1">
      <c r="A6442" s="10">
        <v>46197</v>
      </c>
      <c r="B6442" t="s">
        <v>201</v>
      </c>
      <c r="C6442" s="135" t="s">
        <v>63</v>
      </c>
      <c r="D6442">
        <v>6</v>
      </c>
      <c r="E6442">
        <v>0</v>
      </c>
      <c r="F6442">
        <v>5</v>
      </c>
      <c r="H6442">
        <v>6</v>
      </c>
      <c r="I6442">
        <v>5</v>
      </c>
      <c r="M6442" t="s">
        <v>6567</v>
      </c>
    </row>
    <row r="6443" spans="1:13" ht="15" customHeight="1">
      <c r="A6443" s="10">
        <v>46197</v>
      </c>
      <c r="B6443" t="s">
        <v>201</v>
      </c>
      <c r="C6443" s="135" t="s">
        <v>64</v>
      </c>
      <c r="D6443">
        <v>6</v>
      </c>
      <c r="E6443">
        <v>0</v>
      </c>
      <c r="F6443">
        <v>5</v>
      </c>
      <c r="H6443">
        <v>3</v>
      </c>
      <c r="I6443">
        <v>8</v>
      </c>
      <c r="M6443" t="s">
        <v>6568</v>
      </c>
    </row>
    <row r="6444" spans="1:13" ht="15" customHeight="1">
      <c r="A6444" s="10">
        <v>46197</v>
      </c>
      <c r="B6444" t="s">
        <v>201</v>
      </c>
      <c r="C6444" t="s">
        <v>66</v>
      </c>
      <c r="D6444">
        <v>3</v>
      </c>
      <c r="E6444">
        <v>0</v>
      </c>
      <c r="F6444">
        <v>3</v>
      </c>
      <c r="I6444">
        <v>6</v>
      </c>
      <c r="M6444" t="s">
        <v>6569</v>
      </c>
    </row>
    <row r="6445" spans="1:13" ht="15" customHeight="1">
      <c r="A6445" s="10">
        <v>46197</v>
      </c>
      <c r="B6445" t="s">
        <v>201</v>
      </c>
      <c r="C6445" t="s">
        <v>67</v>
      </c>
      <c r="D6445">
        <v>6</v>
      </c>
      <c r="E6445">
        <v>0</v>
      </c>
      <c r="I6445">
        <v>6</v>
      </c>
      <c r="M6445" t="s">
        <v>6570</v>
      </c>
    </row>
    <row r="6446" spans="1:13" ht="15" customHeight="1">
      <c r="A6446" s="10">
        <v>46197</v>
      </c>
      <c r="B6446" t="s">
        <v>201</v>
      </c>
      <c r="C6446" t="s">
        <v>68</v>
      </c>
      <c r="D6446">
        <v>3</v>
      </c>
      <c r="E6446">
        <v>0</v>
      </c>
      <c r="H6446">
        <v>1</v>
      </c>
      <c r="I6446">
        <v>2</v>
      </c>
      <c r="M6446" t="s">
        <v>6571</v>
      </c>
    </row>
    <row r="6447" spans="1:13" ht="15" customHeight="1">
      <c r="A6447" s="10">
        <v>46197</v>
      </c>
      <c r="B6447" t="s">
        <v>201</v>
      </c>
      <c r="C6447" t="s">
        <v>71</v>
      </c>
      <c r="D6447">
        <v>1</v>
      </c>
      <c r="E6447">
        <v>737</v>
      </c>
      <c r="I6447">
        <v>1</v>
      </c>
      <c r="J6447">
        <v>570</v>
      </c>
      <c r="M6447" t="s">
        <v>6572</v>
      </c>
    </row>
    <row r="6448" spans="1:13" ht="15" customHeight="1">
      <c r="A6448" s="10">
        <v>46197</v>
      </c>
      <c r="B6448" t="s">
        <v>201</v>
      </c>
      <c r="C6448" t="s">
        <v>73</v>
      </c>
      <c r="D6448">
        <v>2</v>
      </c>
      <c r="E6448">
        <v>375</v>
      </c>
      <c r="I6448">
        <v>2</v>
      </c>
      <c r="J6448">
        <v>319</v>
      </c>
      <c r="M6448" t="s">
        <v>6573</v>
      </c>
    </row>
    <row r="6449" spans="1:13" ht="15" customHeight="1">
      <c r="A6449" s="10">
        <v>46197</v>
      </c>
      <c r="B6449" t="s">
        <v>201</v>
      </c>
      <c r="C6449" t="s">
        <v>75</v>
      </c>
      <c r="D6449">
        <v>0</v>
      </c>
      <c r="E6449">
        <v>317</v>
      </c>
      <c r="F6449">
        <v>1</v>
      </c>
      <c r="I6449">
        <v>1</v>
      </c>
      <c r="J6449">
        <v>271</v>
      </c>
      <c r="M6449" t="s">
        <v>6574</v>
      </c>
    </row>
    <row r="6450" spans="1:13" ht="15" customHeight="1">
      <c r="A6450" s="10">
        <v>46197</v>
      </c>
      <c r="B6450" t="s">
        <v>201</v>
      </c>
      <c r="C6450" t="s">
        <v>77</v>
      </c>
      <c r="D6450">
        <v>1</v>
      </c>
      <c r="E6450">
        <v>237</v>
      </c>
      <c r="I6450">
        <v>1</v>
      </c>
      <c r="J6450">
        <v>237</v>
      </c>
      <c r="M6450" t="s">
        <v>6575</v>
      </c>
    </row>
    <row r="6451" spans="1:13" ht="15" customHeight="1">
      <c r="A6451" s="10">
        <v>46197</v>
      </c>
      <c r="B6451" t="s">
        <v>201</v>
      </c>
      <c r="C6451" t="s">
        <v>79</v>
      </c>
      <c r="D6451">
        <v>1</v>
      </c>
      <c r="E6451">
        <v>241</v>
      </c>
      <c r="I6451">
        <v>1</v>
      </c>
      <c r="J6451">
        <v>201</v>
      </c>
      <c r="M6451" t="s">
        <v>6576</v>
      </c>
    </row>
    <row r="6452" spans="1:13" ht="15" customHeight="1">
      <c r="A6452" s="10">
        <v>46197</v>
      </c>
      <c r="B6452" t="s">
        <v>201</v>
      </c>
      <c r="C6452" t="s">
        <v>81</v>
      </c>
      <c r="D6452">
        <v>1</v>
      </c>
      <c r="E6452">
        <v>302</v>
      </c>
      <c r="I6452">
        <v>1</v>
      </c>
      <c r="J6452">
        <v>302</v>
      </c>
      <c r="M6452" t="s">
        <v>6577</v>
      </c>
    </row>
    <row r="6453" spans="1:13" ht="15" customHeight="1">
      <c r="A6453" s="10">
        <v>46197</v>
      </c>
      <c r="B6453" t="s">
        <v>201</v>
      </c>
      <c r="C6453" t="s">
        <v>83</v>
      </c>
      <c r="D6453">
        <v>0</v>
      </c>
      <c r="E6453">
        <v>416</v>
      </c>
      <c r="I6453">
        <v>0</v>
      </c>
      <c r="J6453">
        <v>416</v>
      </c>
      <c r="M6453" t="s">
        <v>6578</v>
      </c>
    </row>
    <row r="6454" spans="1:13" ht="15" customHeight="1">
      <c r="A6454" s="10">
        <v>46197</v>
      </c>
      <c r="B6454" t="s">
        <v>201</v>
      </c>
      <c r="C6454" t="s">
        <v>84</v>
      </c>
      <c r="D6454">
        <v>1</v>
      </c>
      <c r="E6454">
        <v>289</v>
      </c>
      <c r="I6454">
        <v>1</v>
      </c>
      <c r="J6454">
        <v>289</v>
      </c>
      <c r="M6454" t="s">
        <v>6579</v>
      </c>
    </row>
    <row r="6455" spans="1:13" ht="15" customHeight="1">
      <c r="A6455" s="10">
        <v>46197</v>
      </c>
      <c r="B6455" t="s">
        <v>201</v>
      </c>
      <c r="C6455" t="s">
        <v>85</v>
      </c>
      <c r="D6455">
        <v>0</v>
      </c>
      <c r="E6455">
        <v>200</v>
      </c>
      <c r="I6455">
        <v>0</v>
      </c>
      <c r="J6455">
        <v>200</v>
      </c>
      <c r="M6455" t="s">
        <v>6580</v>
      </c>
    </row>
    <row r="6456" spans="1:13" ht="15" customHeight="1">
      <c r="A6456" s="10">
        <v>46197</v>
      </c>
      <c r="B6456" t="s">
        <v>201</v>
      </c>
      <c r="C6456" t="s">
        <v>87</v>
      </c>
      <c r="D6456">
        <v>2</v>
      </c>
      <c r="E6456">
        <v>124</v>
      </c>
      <c r="I6456">
        <v>2</v>
      </c>
      <c r="J6456">
        <v>78</v>
      </c>
      <c r="M6456" t="s">
        <v>6581</v>
      </c>
    </row>
    <row r="6457" spans="1:13" ht="15" customHeight="1">
      <c r="A6457" s="10">
        <v>46197</v>
      </c>
      <c r="B6457" t="s">
        <v>201</v>
      </c>
      <c r="C6457" t="s">
        <v>88</v>
      </c>
      <c r="D6457">
        <v>2</v>
      </c>
      <c r="E6457">
        <v>255</v>
      </c>
      <c r="I6457">
        <v>2</v>
      </c>
      <c r="J6457">
        <v>251</v>
      </c>
      <c r="M6457" t="s">
        <v>6582</v>
      </c>
    </row>
    <row r="6458" spans="1:13" ht="15" customHeight="1">
      <c r="A6458" s="10">
        <v>46197</v>
      </c>
      <c r="B6458" t="s">
        <v>201</v>
      </c>
      <c r="C6458" t="s">
        <v>89</v>
      </c>
      <c r="D6458">
        <v>2</v>
      </c>
      <c r="E6458">
        <v>268</v>
      </c>
      <c r="I6458">
        <v>2</v>
      </c>
      <c r="J6458">
        <v>266</v>
      </c>
      <c r="M6458" t="s">
        <v>6583</v>
      </c>
    </row>
    <row r="6459" spans="1:13" ht="15" customHeight="1">
      <c r="A6459" s="10">
        <v>46197</v>
      </c>
      <c r="B6459" t="s">
        <v>201</v>
      </c>
      <c r="C6459" t="s">
        <v>90</v>
      </c>
      <c r="D6459">
        <v>1</v>
      </c>
      <c r="E6459">
        <v>242</v>
      </c>
      <c r="I6459">
        <v>0</v>
      </c>
      <c r="J6459">
        <v>908</v>
      </c>
      <c r="M6459" t="s">
        <v>6584</v>
      </c>
    </row>
    <row r="6460" spans="1:13" ht="15" customHeight="1">
      <c r="A6460" s="10">
        <v>46197</v>
      </c>
      <c r="B6460" t="s">
        <v>201</v>
      </c>
      <c r="C6460" t="s">
        <v>92</v>
      </c>
      <c r="D6460">
        <v>1</v>
      </c>
      <c r="E6460">
        <v>274</v>
      </c>
      <c r="I6460">
        <v>0</v>
      </c>
      <c r="J6460">
        <v>1299</v>
      </c>
      <c r="M6460" t="s">
        <v>6585</v>
      </c>
    </row>
    <row r="6461" spans="1:13" ht="15" customHeight="1">
      <c r="A6461" s="10">
        <v>46197</v>
      </c>
      <c r="B6461" t="s">
        <v>201</v>
      </c>
      <c r="C6461" t="s">
        <v>94</v>
      </c>
      <c r="D6461">
        <v>1</v>
      </c>
      <c r="E6461">
        <v>394</v>
      </c>
      <c r="F6461">
        <v>4</v>
      </c>
      <c r="I6461">
        <v>4</v>
      </c>
      <c r="J6461">
        <v>345</v>
      </c>
      <c r="M6461" t="s">
        <v>6586</v>
      </c>
    </row>
    <row r="6462" spans="1:13" ht="15" customHeight="1">
      <c r="A6462" s="10">
        <v>46197</v>
      </c>
      <c r="B6462" t="s">
        <v>201</v>
      </c>
      <c r="C6462" t="s">
        <v>96</v>
      </c>
      <c r="D6462">
        <v>0</v>
      </c>
      <c r="E6462">
        <v>0</v>
      </c>
      <c r="I6462">
        <v>0</v>
      </c>
      <c r="J6462">
        <v>0</v>
      </c>
      <c r="M6462" t="s">
        <v>6587</v>
      </c>
    </row>
    <row r="6463" spans="1:13" ht="15" customHeight="1">
      <c r="A6463" s="10">
        <v>46197</v>
      </c>
      <c r="B6463" t="s">
        <v>201</v>
      </c>
      <c r="C6463" t="s">
        <v>98</v>
      </c>
      <c r="D6463">
        <v>0</v>
      </c>
      <c r="E6463">
        <v>155</v>
      </c>
      <c r="I6463">
        <v>0</v>
      </c>
      <c r="J6463">
        <v>293</v>
      </c>
      <c r="M6463" t="s">
        <v>6588</v>
      </c>
    </row>
    <row r="6464" spans="1:13" ht="15" customHeight="1">
      <c r="A6464" s="10">
        <v>46197</v>
      </c>
      <c r="B6464" t="s">
        <v>201</v>
      </c>
      <c r="C6464" t="s">
        <v>203</v>
      </c>
      <c r="D6464">
        <v>2</v>
      </c>
      <c r="E6464">
        <v>0</v>
      </c>
      <c r="F6464">
        <v>1</v>
      </c>
      <c r="I6464">
        <v>2</v>
      </c>
      <c r="J6464">
        <v>0</v>
      </c>
      <c r="M6464" t="s">
        <v>6589</v>
      </c>
    </row>
    <row r="6465" spans="1:13" ht="15" customHeight="1">
      <c r="A6465" s="10">
        <v>46197</v>
      </c>
      <c r="B6465" t="s">
        <v>201</v>
      </c>
      <c r="C6465" t="s">
        <v>100</v>
      </c>
      <c r="D6465">
        <v>0</v>
      </c>
      <c r="E6465">
        <v>0</v>
      </c>
      <c r="I6465">
        <v>0</v>
      </c>
      <c r="J6465">
        <v>0</v>
      </c>
      <c r="M6465" t="s">
        <v>6590</v>
      </c>
    </row>
    <row r="6466" spans="1:13" ht="15" customHeight="1">
      <c r="A6466" s="10">
        <v>46197</v>
      </c>
      <c r="B6466" t="s">
        <v>201</v>
      </c>
      <c r="C6466" t="s">
        <v>101</v>
      </c>
      <c r="D6466">
        <v>0</v>
      </c>
      <c r="E6466">
        <v>521</v>
      </c>
      <c r="F6466">
        <v>1</v>
      </c>
      <c r="I6466">
        <v>1</v>
      </c>
      <c r="J6466">
        <v>470</v>
      </c>
      <c r="M6466" t="s">
        <v>6591</v>
      </c>
    </row>
    <row r="6467" spans="1:13" ht="15" customHeight="1">
      <c r="A6467" s="10">
        <v>46197</v>
      </c>
      <c r="B6467" t="s">
        <v>201</v>
      </c>
      <c r="C6467" t="s">
        <v>103</v>
      </c>
      <c r="D6467">
        <v>0</v>
      </c>
      <c r="E6467">
        <v>6</v>
      </c>
      <c r="G6467">
        <v>8</v>
      </c>
      <c r="I6467">
        <v>0</v>
      </c>
      <c r="J6467">
        <v>11</v>
      </c>
      <c r="M6467" t="s">
        <v>6592</v>
      </c>
    </row>
    <row r="6468" spans="1:13" ht="15" customHeight="1">
      <c r="A6468" s="10">
        <v>46197</v>
      </c>
      <c r="B6468" t="s">
        <v>201</v>
      </c>
      <c r="C6468" t="s">
        <v>106</v>
      </c>
      <c r="D6468">
        <v>1</v>
      </c>
      <c r="E6468">
        <v>318</v>
      </c>
      <c r="I6468">
        <v>1</v>
      </c>
      <c r="J6468">
        <v>151</v>
      </c>
      <c r="M6468" t="s">
        <v>6593</v>
      </c>
    </row>
    <row r="6469" spans="1:13" ht="15" customHeight="1">
      <c r="A6469" s="10">
        <v>46197</v>
      </c>
      <c r="B6469" t="s">
        <v>201</v>
      </c>
      <c r="C6469" t="s">
        <v>108</v>
      </c>
      <c r="D6469">
        <v>1</v>
      </c>
      <c r="E6469">
        <v>819</v>
      </c>
      <c r="I6469">
        <v>1</v>
      </c>
      <c r="J6469">
        <v>791</v>
      </c>
      <c r="M6469" t="s">
        <v>6594</v>
      </c>
    </row>
    <row r="6470" spans="1:13" ht="15" customHeight="1">
      <c r="A6470" s="10">
        <v>46197</v>
      </c>
      <c r="B6470" t="s">
        <v>201</v>
      </c>
      <c r="C6470" t="s">
        <v>109</v>
      </c>
      <c r="D6470">
        <v>1</v>
      </c>
      <c r="E6470">
        <v>694</v>
      </c>
      <c r="I6470">
        <v>1</v>
      </c>
      <c r="J6470">
        <v>584</v>
      </c>
      <c r="M6470" t="s">
        <v>6595</v>
      </c>
    </row>
    <row r="6471" spans="1:13" ht="15" customHeight="1">
      <c r="A6471" s="10">
        <v>46197</v>
      </c>
      <c r="B6471" t="s">
        <v>201</v>
      </c>
      <c r="C6471" t="s">
        <v>112</v>
      </c>
      <c r="D6471">
        <v>1</v>
      </c>
      <c r="E6471">
        <v>12</v>
      </c>
      <c r="I6471">
        <v>1</v>
      </c>
      <c r="J6471">
        <v>10</v>
      </c>
      <c r="M6471" t="s">
        <v>6596</v>
      </c>
    </row>
    <row r="6472" spans="1:13" ht="15" customHeight="1">
      <c r="A6472" s="10">
        <v>46197</v>
      </c>
      <c r="B6472" t="s">
        <v>201</v>
      </c>
      <c r="C6472" t="s">
        <v>114</v>
      </c>
      <c r="D6472">
        <v>2</v>
      </c>
      <c r="E6472">
        <v>25</v>
      </c>
      <c r="F6472">
        <v>1</v>
      </c>
      <c r="I6472">
        <v>3</v>
      </c>
      <c r="J6472">
        <v>9</v>
      </c>
      <c r="M6472" t="s">
        <v>6597</v>
      </c>
    </row>
    <row r="6473" spans="1:13" ht="15" customHeight="1">
      <c r="A6473" s="10">
        <v>46197</v>
      </c>
      <c r="B6473" t="s">
        <v>201</v>
      </c>
      <c r="C6473" t="s">
        <v>115</v>
      </c>
      <c r="D6473">
        <v>1</v>
      </c>
      <c r="E6473">
        <v>9</v>
      </c>
      <c r="I6473">
        <v>0</v>
      </c>
      <c r="J6473">
        <v>44</v>
      </c>
      <c r="M6473" t="s">
        <v>6598</v>
      </c>
    </row>
    <row r="6474" spans="1:13" ht="15" customHeight="1">
      <c r="A6474" s="10">
        <v>46197</v>
      </c>
      <c r="B6474" t="s">
        <v>201</v>
      </c>
      <c r="C6474" t="s">
        <v>116</v>
      </c>
      <c r="D6474">
        <v>2</v>
      </c>
      <c r="E6474">
        <v>9</v>
      </c>
      <c r="F6474">
        <v>1</v>
      </c>
      <c r="I6474">
        <v>3</v>
      </c>
      <c r="J6474">
        <v>0</v>
      </c>
      <c r="M6474" t="s">
        <v>6599</v>
      </c>
    </row>
    <row r="6475" spans="1:13" ht="15" customHeight="1">
      <c r="A6475" s="10">
        <v>46197</v>
      </c>
      <c r="B6475" t="s">
        <v>201</v>
      </c>
      <c r="C6475" t="s">
        <v>119</v>
      </c>
      <c r="D6475">
        <v>0</v>
      </c>
      <c r="E6475">
        <v>0</v>
      </c>
      <c r="F6475">
        <v>2</v>
      </c>
      <c r="I6475">
        <v>2</v>
      </c>
      <c r="M6475" t="s">
        <v>6600</v>
      </c>
    </row>
    <row r="6476" spans="1:13" ht="15" customHeight="1">
      <c r="A6476" s="10">
        <v>46197</v>
      </c>
      <c r="B6476" t="s">
        <v>201</v>
      </c>
      <c r="C6476" t="s">
        <v>120</v>
      </c>
      <c r="D6476">
        <v>2</v>
      </c>
      <c r="E6476">
        <v>0</v>
      </c>
      <c r="I6476">
        <v>2</v>
      </c>
      <c r="M6476" t="s">
        <v>6601</v>
      </c>
    </row>
    <row r="6477" spans="1:13" ht="15" customHeight="1">
      <c r="A6477" s="10">
        <v>46197</v>
      </c>
      <c r="B6477" t="s">
        <v>201</v>
      </c>
      <c r="C6477" t="s">
        <v>121</v>
      </c>
      <c r="D6477">
        <v>1</v>
      </c>
      <c r="E6477">
        <v>0</v>
      </c>
      <c r="F6477">
        <v>1</v>
      </c>
      <c r="I6477">
        <v>2</v>
      </c>
      <c r="M6477" t="s">
        <v>6602</v>
      </c>
    </row>
    <row r="6478" spans="1:13" ht="15" customHeight="1">
      <c r="A6478" s="10">
        <v>46197</v>
      </c>
      <c r="B6478" t="s">
        <v>201</v>
      </c>
      <c r="C6478" t="s">
        <v>123</v>
      </c>
      <c r="D6478">
        <v>1</v>
      </c>
      <c r="E6478">
        <v>0</v>
      </c>
      <c r="F6478">
        <v>1</v>
      </c>
      <c r="I6478">
        <v>2</v>
      </c>
      <c r="M6478" t="s">
        <v>6603</v>
      </c>
    </row>
    <row r="6479" spans="1:13" ht="15" customHeight="1">
      <c r="A6479" s="10">
        <v>46197</v>
      </c>
      <c r="B6479" t="s">
        <v>201</v>
      </c>
      <c r="C6479" t="s">
        <v>124</v>
      </c>
      <c r="D6479">
        <v>1</v>
      </c>
      <c r="E6479">
        <v>0</v>
      </c>
      <c r="F6479">
        <v>1</v>
      </c>
      <c r="I6479">
        <v>2</v>
      </c>
      <c r="M6479" t="s">
        <v>6604</v>
      </c>
    </row>
    <row r="6480" spans="1:13" ht="15" customHeight="1">
      <c r="A6480" s="10">
        <v>46197</v>
      </c>
      <c r="B6480" t="s">
        <v>201</v>
      </c>
      <c r="C6480" t="s">
        <v>125</v>
      </c>
      <c r="D6480">
        <v>2</v>
      </c>
      <c r="E6480">
        <v>0</v>
      </c>
      <c r="I6480">
        <v>2</v>
      </c>
      <c r="M6480" t="s">
        <v>6605</v>
      </c>
    </row>
    <row r="6481" spans="1:13" ht="15" customHeight="1">
      <c r="A6481" s="10">
        <v>46197</v>
      </c>
      <c r="B6481" t="s">
        <v>201</v>
      </c>
      <c r="C6481" t="s">
        <v>126</v>
      </c>
      <c r="D6481">
        <v>2</v>
      </c>
      <c r="E6481">
        <v>0</v>
      </c>
      <c r="I6481">
        <v>2</v>
      </c>
      <c r="M6481" t="s">
        <v>6606</v>
      </c>
    </row>
    <row r="6482" spans="1:13" ht="15" customHeight="1">
      <c r="A6482" s="10">
        <v>46197</v>
      </c>
      <c r="B6482" t="s">
        <v>201</v>
      </c>
      <c r="C6482" t="s">
        <v>128</v>
      </c>
      <c r="D6482">
        <v>1</v>
      </c>
      <c r="E6482">
        <v>0</v>
      </c>
      <c r="F6482">
        <v>1</v>
      </c>
      <c r="I6482">
        <v>2</v>
      </c>
      <c r="M6482" t="s">
        <v>6607</v>
      </c>
    </row>
    <row r="6483" spans="1:13" ht="15" customHeight="1">
      <c r="A6483" s="10">
        <v>46197</v>
      </c>
      <c r="B6483" t="s">
        <v>201</v>
      </c>
      <c r="C6483" t="s">
        <v>130</v>
      </c>
      <c r="D6483">
        <v>2</v>
      </c>
      <c r="E6483">
        <v>0</v>
      </c>
      <c r="F6483">
        <v>2</v>
      </c>
      <c r="I6483">
        <v>4</v>
      </c>
      <c r="M6483" t="s">
        <v>6608</v>
      </c>
    </row>
    <row r="6484" spans="1:13" ht="15" customHeight="1">
      <c r="A6484" s="10">
        <v>46197</v>
      </c>
      <c r="B6484" t="s">
        <v>201</v>
      </c>
      <c r="C6484" t="s">
        <v>285</v>
      </c>
      <c r="D6484">
        <v>2</v>
      </c>
      <c r="E6484">
        <v>0</v>
      </c>
      <c r="I6484">
        <v>2</v>
      </c>
      <c r="M6484" t="s">
        <v>6609</v>
      </c>
    </row>
    <row r="6485" spans="1:13" ht="15" customHeight="1">
      <c r="A6485" s="10">
        <v>46197</v>
      </c>
      <c r="B6485" t="s">
        <v>201</v>
      </c>
      <c r="C6485" t="s">
        <v>287</v>
      </c>
      <c r="D6485">
        <v>6</v>
      </c>
      <c r="E6485">
        <v>0</v>
      </c>
      <c r="I6485">
        <v>6</v>
      </c>
      <c r="M6485" t="s">
        <v>6610</v>
      </c>
    </row>
    <row r="6486" spans="1:13" ht="15" customHeight="1">
      <c r="A6486" s="10">
        <v>46197</v>
      </c>
      <c r="B6486" t="s">
        <v>201</v>
      </c>
      <c r="C6486" t="s">
        <v>289</v>
      </c>
      <c r="D6486">
        <v>1</v>
      </c>
      <c r="E6486">
        <v>0</v>
      </c>
      <c r="F6486">
        <v>1</v>
      </c>
      <c r="I6486">
        <v>2</v>
      </c>
      <c r="M6486" t="s">
        <v>6611</v>
      </c>
    </row>
    <row r="6487" spans="1:13" ht="15" customHeight="1">
      <c r="A6487" s="10">
        <v>46197</v>
      </c>
      <c r="B6487" t="s">
        <v>201</v>
      </c>
      <c r="C6487" t="s">
        <v>291</v>
      </c>
      <c r="D6487">
        <v>1</v>
      </c>
      <c r="E6487">
        <v>0</v>
      </c>
      <c r="I6487">
        <v>1</v>
      </c>
      <c r="M6487" t="s">
        <v>6612</v>
      </c>
    </row>
    <row r="6488" spans="1:13" ht="15" customHeight="1">
      <c r="A6488" s="10">
        <v>46197</v>
      </c>
      <c r="B6488" t="s">
        <v>201</v>
      </c>
      <c r="C6488" t="s">
        <v>293</v>
      </c>
      <c r="D6488">
        <v>1</v>
      </c>
      <c r="E6488">
        <v>0</v>
      </c>
      <c r="F6488">
        <v>1</v>
      </c>
      <c r="I6488">
        <v>2</v>
      </c>
      <c r="M6488" t="s">
        <v>6613</v>
      </c>
    </row>
    <row r="6489" spans="1:13" ht="15" customHeight="1">
      <c r="A6489" s="10">
        <v>46197</v>
      </c>
      <c r="B6489" t="s">
        <v>201</v>
      </c>
      <c r="C6489" s="135" t="s">
        <v>138</v>
      </c>
      <c r="D6489">
        <v>0</v>
      </c>
      <c r="E6489">
        <v>67</v>
      </c>
      <c r="I6489">
        <v>0</v>
      </c>
      <c r="J6489">
        <v>63</v>
      </c>
      <c r="M6489" t="s">
        <v>6614</v>
      </c>
    </row>
    <row r="6490" spans="1:13" ht="15" customHeight="1">
      <c r="A6490" s="10">
        <v>46197</v>
      </c>
      <c r="B6490" t="s">
        <v>201</v>
      </c>
      <c r="C6490" s="135" t="s">
        <v>139</v>
      </c>
      <c r="D6490">
        <v>0</v>
      </c>
      <c r="E6490">
        <v>25</v>
      </c>
      <c r="G6490">
        <v>20</v>
      </c>
      <c r="I6490">
        <v>0</v>
      </c>
      <c r="J6490">
        <v>40</v>
      </c>
      <c r="M6490" t="s">
        <v>6615</v>
      </c>
    </row>
    <row r="6491" spans="1:13" ht="15" customHeight="1">
      <c r="A6491" s="10">
        <v>46197</v>
      </c>
      <c r="B6491" t="s">
        <v>201</v>
      </c>
      <c r="C6491" s="135" t="s">
        <v>140</v>
      </c>
      <c r="D6491">
        <v>0</v>
      </c>
      <c r="E6491">
        <v>31</v>
      </c>
      <c r="I6491">
        <v>0</v>
      </c>
      <c r="J6491">
        <v>29</v>
      </c>
      <c r="M6491" t="s">
        <v>6616</v>
      </c>
    </row>
    <row r="6492" spans="1:13" ht="15" customHeight="1">
      <c r="A6492" s="10">
        <v>46197</v>
      </c>
      <c r="B6492" t="s">
        <v>201</v>
      </c>
      <c r="C6492" s="135" t="s">
        <v>141</v>
      </c>
      <c r="D6492">
        <v>0</v>
      </c>
      <c r="E6492">
        <v>1</v>
      </c>
      <c r="I6492">
        <v>0</v>
      </c>
      <c r="J6492">
        <v>497</v>
      </c>
      <c r="M6492" t="s">
        <v>6617</v>
      </c>
    </row>
    <row r="6493" spans="1:13" ht="15" customHeight="1">
      <c r="A6493" s="10">
        <v>46197</v>
      </c>
      <c r="B6493" t="s">
        <v>201</v>
      </c>
      <c r="C6493" s="135" t="s">
        <v>143</v>
      </c>
      <c r="D6493">
        <v>0</v>
      </c>
      <c r="E6493">
        <v>50</v>
      </c>
      <c r="I6493">
        <v>0</v>
      </c>
      <c r="J6493">
        <v>45</v>
      </c>
      <c r="M6493" t="s">
        <v>6618</v>
      </c>
    </row>
    <row r="6494" spans="1:13" ht="15" customHeight="1">
      <c r="A6494" s="10">
        <v>46197</v>
      </c>
      <c r="B6494" t="s">
        <v>201</v>
      </c>
      <c r="C6494" s="135" t="s">
        <v>145</v>
      </c>
      <c r="D6494">
        <v>0</v>
      </c>
      <c r="E6494">
        <v>20</v>
      </c>
      <c r="I6494">
        <v>0</v>
      </c>
      <c r="J6494">
        <v>16</v>
      </c>
      <c r="M6494" t="s">
        <v>6619</v>
      </c>
    </row>
    <row r="6495" spans="1:13" ht="15" customHeight="1">
      <c r="A6495" s="10">
        <v>46197</v>
      </c>
      <c r="B6495" t="s">
        <v>201</v>
      </c>
      <c r="C6495" s="135" t="s">
        <v>147</v>
      </c>
      <c r="D6495">
        <v>0</v>
      </c>
      <c r="E6495">
        <v>28</v>
      </c>
      <c r="I6495">
        <v>0</v>
      </c>
      <c r="J6495">
        <v>28</v>
      </c>
      <c r="M6495" t="s">
        <v>6620</v>
      </c>
    </row>
    <row r="6496" spans="1:13" ht="15" customHeight="1">
      <c r="A6496" s="10">
        <v>46197</v>
      </c>
      <c r="B6496" t="s">
        <v>201</v>
      </c>
      <c r="C6496" t="s">
        <v>302</v>
      </c>
      <c r="D6496">
        <v>1</v>
      </c>
      <c r="E6496">
        <v>2</v>
      </c>
      <c r="I6496">
        <v>1</v>
      </c>
      <c r="M6496" t="s">
        <v>6621</v>
      </c>
    </row>
    <row r="6497" spans="1:13" ht="15" customHeight="1">
      <c r="A6497" s="10">
        <v>46197</v>
      </c>
      <c r="B6497" t="s">
        <v>201</v>
      </c>
      <c r="C6497" t="s">
        <v>150</v>
      </c>
      <c r="D6497">
        <v>3</v>
      </c>
      <c r="E6497">
        <v>0</v>
      </c>
      <c r="I6497">
        <v>3</v>
      </c>
      <c r="M6497" t="s">
        <v>6622</v>
      </c>
    </row>
    <row r="6498" spans="1:13" ht="15" customHeight="1">
      <c r="A6498" s="10">
        <v>46197</v>
      </c>
      <c r="B6498" t="s">
        <v>201</v>
      </c>
      <c r="C6498" t="s">
        <v>151</v>
      </c>
      <c r="D6498">
        <v>1</v>
      </c>
      <c r="E6498">
        <v>0</v>
      </c>
      <c r="I6498">
        <v>1</v>
      </c>
      <c r="M6498" t="s">
        <v>6623</v>
      </c>
    </row>
    <row r="6499" spans="1:13" ht="15" customHeight="1">
      <c r="A6499" s="10">
        <v>46197</v>
      </c>
      <c r="B6499" t="s">
        <v>201</v>
      </c>
      <c r="C6499" t="s">
        <v>152</v>
      </c>
      <c r="D6499">
        <v>2</v>
      </c>
      <c r="E6499">
        <v>0</v>
      </c>
      <c r="I6499">
        <v>2</v>
      </c>
      <c r="M6499" t="s">
        <v>6624</v>
      </c>
    </row>
    <row r="6500" spans="1:13" ht="15" customHeight="1">
      <c r="A6500" s="10">
        <v>46197</v>
      </c>
      <c r="B6500" t="s">
        <v>201</v>
      </c>
      <c r="C6500" t="s">
        <v>153</v>
      </c>
      <c r="D6500">
        <v>2</v>
      </c>
      <c r="E6500">
        <v>0</v>
      </c>
      <c r="I6500">
        <v>2</v>
      </c>
      <c r="M6500" t="s">
        <v>6625</v>
      </c>
    </row>
    <row r="6501" spans="1:13" ht="15" customHeight="1">
      <c r="A6501" s="10">
        <v>46197</v>
      </c>
      <c r="B6501" t="s">
        <v>201</v>
      </c>
      <c r="C6501" t="s">
        <v>308</v>
      </c>
      <c r="D6501">
        <v>0</v>
      </c>
      <c r="E6501">
        <v>1</v>
      </c>
      <c r="G6501">
        <v>4</v>
      </c>
      <c r="I6501">
        <v>0</v>
      </c>
      <c r="J6501">
        <v>5</v>
      </c>
      <c r="M6501" t="s">
        <v>6626</v>
      </c>
    </row>
    <row r="6502" spans="1:13" ht="15" customHeight="1">
      <c r="A6502" s="10">
        <v>46197</v>
      </c>
      <c r="B6502" t="s">
        <v>201</v>
      </c>
      <c r="C6502" t="s">
        <v>310</v>
      </c>
      <c r="D6502">
        <v>0</v>
      </c>
      <c r="E6502">
        <v>2</v>
      </c>
      <c r="I6502">
        <v>0</v>
      </c>
      <c r="J6502">
        <v>2</v>
      </c>
      <c r="M6502" t="s">
        <v>6627</v>
      </c>
    </row>
    <row r="6503" spans="1:13" ht="15" customHeight="1">
      <c r="A6503" s="10">
        <v>46197</v>
      </c>
      <c r="B6503" t="s">
        <v>201</v>
      </c>
      <c r="C6503" t="s">
        <v>312</v>
      </c>
      <c r="D6503">
        <v>0</v>
      </c>
      <c r="E6503">
        <v>3</v>
      </c>
      <c r="G6503">
        <v>2</v>
      </c>
      <c r="I6503">
        <v>0</v>
      </c>
      <c r="J6503">
        <v>5</v>
      </c>
      <c r="M6503" t="s">
        <v>6628</v>
      </c>
    </row>
    <row r="6504" spans="1:13" ht="15" customHeight="1">
      <c r="A6504" s="10">
        <v>46197</v>
      </c>
      <c r="B6504" t="s">
        <v>201</v>
      </c>
      <c r="C6504" t="s">
        <v>314</v>
      </c>
      <c r="D6504">
        <v>1</v>
      </c>
      <c r="E6504">
        <v>0</v>
      </c>
      <c r="I6504">
        <v>1</v>
      </c>
      <c r="M6504" t="s">
        <v>6629</v>
      </c>
    </row>
    <row r="6505" spans="1:13" ht="15" customHeight="1">
      <c r="A6505" s="10">
        <v>46197</v>
      </c>
      <c r="B6505" t="s">
        <v>201</v>
      </c>
      <c r="C6505" t="s">
        <v>316</v>
      </c>
      <c r="D6505">
        <v>1</v>
      </c>
      <c r="E6505">
        <v>0</v>
      </c>
      <c r="I6505">
        <v>1</v>
      </c>
      <c r="M6505" t="s">
        <v>6630</v>
      </c>
    </row>
    <row r="6506" spans="1:13" ht="15" customHeight="1">
      <c r="A6506" s="10">
        <v>46197</v>
      </c>
      <c r="B6506" t="s">
        <v>201</v>
      </c>
      <c r="C6506" t="s">
        <v>318</v>
      </c>
      <c r="D6506">
        <v>1</v>
      </c>
      <c r="E6506">
        <v>0</v>
      </c>
      <c r="F6506">
        <v>3</v>
      </c>
      <c r="I6506">
        <v>3</v>
      </c>
      <c r="M6506" t="s">
        <v>6631</v>
      </c>
    </row>
    <row r="6507" spans="1:13" ht="15" customHeight="1">
      <c r="A6507" s="10">
        <v>46197</v>
      </c>
      <c r="B6507" t="s">
        <v>201</v>
      </c>
      <c r="C6507" t="s">
        <v>320</v>
      </c>
      <c r="D6507">
        <v>2</v>
      </c>
      <c r="E6507">
        <v>0</v>
      </c>
      <c r="F6507">
        <v>1</v>
      </c>
      <c r="I6507">
        <v>2</v>
      </c>
      <c r="M6507" t="s">
        <v>6632</v>
      </c>
    </row>
    <row r="6508" spans="1:13" ht="15" customHeight="1">
      <c r="A6508" s="10">
        <v>46197</v>
      </c>
      <c r="B6508" t="s">
        <v>201</v>
      </c>
      <c r="C6508" t="s">
        <v>322</v>
      </c>
      <c r="D6508">
        <v>2</v>
      </c>
      <c r="E6508">
        <v>0</v>
      </c>
      <c r="I6508">
        <v>2</v>
      </c>
      <c r="M6508" t="s">
        <v>6633</v>
      </c>
    </row>
    <row r="6509" spans="1:13" ht="15" customHeight="1">
      <c r="A6509" s="10">
        <v>46197</v>
      </c>
      <c r="B6509" t="s">
        <v>201</v>
      </c>
      <c r="C6509" s="135" t="s">
        <v>168</v>
      </c>
      <c r="D6509">
        <v>1</v>
      </c>
      <c r="E6509">
        <v>0</v>
      </c>
      <c r="I6509">
        <v>1</v>
      </c>
      <c r="M6509" t="s">
        <v>6634</v>
      </c>
    </row>
    <row r="6510" spans="1:13" ht="15" customHeight="1">
      <c r="A6510" s="10">
        <v>46197</v>
      </c>
      <c r="B6510" t="s">
        <v>201</v>
      </c>
      <c r="C6510" s="135" t="s">
        <v>170</v>
      </c>
      <c r="D6510">
        <v>1</v>
      </c>
      <c r="E6510">
        <v>0</v>
      </c>
      <c r="I6510">
        <v>1</v>
      </c>
      <c r="M6510" t="s">
        <v>6635</v>
      </c>
    </row>
    <row r="6511" spans="1:13" ht="15" customHeight="1">
      <c r="A6511" s="10">
        <v>46197</v>
      </c>
      <c r="B6511" t="s">
        <v>201</v>
      </c>
      <c r="C6511" s="135" t="s">
        <v>171</v>
      </c>
      <c r="D6511">
        <v>3</v>
      </c>
      <c r="E6511">
        <v>0</v>
      </c>
      <c r="I6511">
        <v>3</v>
      </c>
      <c r="M6511" t="s">
        <v>6636</v>
      </c>
    </row>
    <row r="6512" spans="1:13" ht="15" customHeight="1">
      <c r="A6512" s="10">
        <v>46197</v>
      </c>
      <c r="B6512" t="s">
        <v>201</v>
      </c>
      <c r="C6512" s="135" t="s">
        <v>172</v>
      </c>
      <c r="D6512">
        <v>1</v>
      </c>
      <c r="E6512">
        <v>0</v>
      </c>
      <c r="I6512">
        <v>1</v>
      </c>
      <c r="M6512" t="s">
        <v>6637</v>
      </c>
    </row>
    <row r="6513" spans="1:13" ht="15" customHeight="1">
      <c r="A6513" s="10">
        <v>46197</v>
      </c>
      <c r="B6513" t="s">
        <v>201</v>
      </c>
      <c r="C6513" s="135" t="s">
        <v>173</v>
      </c>
      <c r="D6513">
        <v>0</v>
      </c>
      <c r="E6513">
        <v>0</v>
      </c>
      <c r="I6513">
        <v>0</v>
      </c>
      <c r="M6513" t="s">
        <v>6638</v>
      </c>
    </row>
    <row r="6514" spans="1:13" ht="15" customHeight="1">
      <c r="A6514" s="10">
        <v>46197</v>
      </c>
      <c r="B6514" t="s">
        <v>201</v>
      </c>
      <c r="C6514" t="s">
        <v>176</v>
      </c>
      <c r="D6514">
        <v>0</v>
      </c>
      <c r="E6514">
        <v>21</v>
      </c>
      <c r="I6514">
        <v>0</v>
      </c>
      <c r="J6514">
        <v>21</v>
      </c>
      <c r="M6514" t="s">
        <v>6639</v>
      </c>
    </row>
    <row r="6515" spans="1:13" ht="15" customHeight="1">
      <c r="A6515" s="10">
        <v>46197</v>
      </c>
      <c r="B6515" t="s">
        <v>201</v>
      </c>
      <c r="C6515" t="s">
        <v>178</v>
      </c>
      <c r="D6515">
        <v>0</v>
      </c>
      <c r="E6515">
        <v>23</v>
      </c>
      <c r="H6515">
        <v>1</v>
      </c>
      <c r="I6515">
        <v>0</v>
      </c>
      <c r="J6515">
        <v>22</v>
      </c>
      <c r="M6515" t="s">
        <v>6640</v>
      </c>
    </row>
    <row r="6516" spans="1:13" ht="15" customHeight="1">
      <c r="A6516" s="10">
        <v>46197</v>
      </c>
      <c r="B6516" t="s">
        <v>201</v>
      </c>
      <c r="C6516" t="s">
        <v>179</v>
      </c>
      <c r="D6516">
        <v>0</v>
      </c>
      <c r="E6516">
        <v>16</v>
      </c>
      <c r="I6516">
        <v>0</v>
      </c>
      <c r="J6516">
        <v>16</v>
      </c>
      <c r="M6516" t="s">
        <v>6641</v>
      </c>
    </row>
    <row r="6517" spans="1:13" ht="15" customHeight="1">
      <c r="A6517" s="10">
        <v>46197</v>
      </c>
      <c r="B6517" t="s">
        <v>201</v>
      </c>
      <c r="C6517" t="s">
        <v>180</v>
      </c>
      <c r="D6517">
        <v>0</v>
      </c>
      <c r="E6517">
        <v>8</v>
      </c>
      <c r="G6517">
        <v>10</v>
      </c>
      <c r="H6517">
        <v>2</v>
      </c>
      <c r="I6517">
        <v>0</v>
      </c>
      <c r="J6517">
        <v>16</v>
      </c>
      <c r="M6517" t="s">
        <v>6642</v>
      </c>
    </row>
    <row r="6518" spans="1:13" ht="15" customHeight="1">
      <c r="A6518" s="10">
        <v>46197</v>
      </c>
      <c r="B6518" t="s">
        <v>201</v>
      </c>
      <c r="C6518" s="135" t="s">
        <v>182</v>
      </c>
      <c r="D6518">
        <v>1</v>
      </c>
      <c r="E6518">
        <v>150</v>
      </c>
      <c r="I6518">
        <v>1</v>
      </c>
      <c r="J6518">
        <v>150</v>
      </c>
      <c r="M6518" t="s">
        <v>6643</v>
      </c>
    </row>
    <row r="6519" spans="1:13" ht="15" customHeight="1">
      <c r="A6519" s="10">
        <v>46197</v>
      </c>
      <c r="B6519" t="s">
        <v>201</v>
      </c>
      <c r="C6519" s="135" t="s">
        <v>184</v>
      </c>
      <c r="D6519">
        <v>0</v>
      </c>
      <c r="E6519">
        <v>76</v>
      </c>
      <c r="I6519">
        <v>0</v>
      </c>
      <c r="J6519">
        <v>76</v>
      </c>
      <c r="M6519" t="s">
        <v>6644</v>
      </c>
    </row>
    <row r="6520" spans="1:13" ht="15" customHeight="1">
      <c r="A6520" s="10">
        <v>46197</v>
      </c>
      <c r="B6520" t="s">
        <v>201</v>
      </c>
      <c r="C6520" s="135" t="s">
        <v>185</v>
      </c>
      <c r="D6520">
        <v>1</v>
      </c>
      <c r="E6520">
        <v>29</v>
      </c>
      <c r="I6520">
        <v>1</v>
      </c>
      <c r="J6520">
        <v>29</v>
      </c>
      <c r="M6520" t="s">
        <v>6645</v>
      </c>
    </row>
    <row r="6521" spans="1:13" ht="15" customHeight="1">
      <c r="A6521" s="10">
        <v>46197</v>
      </c>
      <c r="B6521" t="s">
        <v>201</v>
      </c>
      <c r="C6521" s="135" t="s">
        <v>186</v>
      </c>
      <c r="D6521">
        <v>1</v>
      </c>
      <c r="E6521">
        <v>560</v>
      </c>
      <c r="I6521">
        <v>1</v>
      </c>
      <c r="J6521">
        <v>520</v>
      </c>
      <c r="M6521" t="s">
        <v>6646</v>
      </c>
    </row>
    <row r="6522" spans="1:13" ht="15" customHeight="1">
      <c r="A6522" s="10">
        <v>46197</v>
      </c>
      <c r="B6522" t="s">
        <v>201</v>
      </c>
      <c r="C6522" t="s">
        <v>337</v>
      </c>
      <c r="D6522">
        <v>1</v>
      </c>
      <c r="E6522">
        <v>197</v>
      </c>
      <c r="I6522">
        <v>1</v>
      </c>
      <c r="J6522">
        <v>134</v>
      </c>
      <c r="M6522" t="s">
        <v>6647</v>
      </c>
    </row>
    <row r="6523" spans="1:13" ht="15" customHeight="1">
      <c r="A6523" s="10">
        <v>46197</v>
      </c>
      <c r="B6523" t="s">
        <v>201</v>
      </c>
      <c r="C6523" t="s">
        <v>339</v>
      </c>
      <c r="D6523">
        <v>0</v>
      </c>
      <c r="E6523">
        <v>0</v>
      </c>
      <c r="I6523">
        <v>0</v>
      </c>
      <c r="J6523">
        <v>0</v>
      </c>
      <c r="M6523" t="s">
        <v>6648</v>
      </c>
    </row>
    <row r="6524" spans="1:13" ht="15" customHeight="1">
      <c r="A6524" s="10">
        <v>46197</v>
      </c>
      <c r="B6524" t="s">
        <v>201</v>
      </c>
      <c r="C6524" s="135" t="s">
        <v>191</v>
      </c>
      <c r="D6524">
        <v>0</v>
      </c>
      <c r="E6524">
        <v>553</v>
      </c>
      <c r="I6524">
        <v>0</v>
      </c>
      <c r="J6524">
        <v>524</v>
      </c>
      <c r="M6524" t="s">
        <v>6649</v>
      </c>
    </row>
    <row r="6525" spans="1:13" ht="15" customHeight="1">
      <c r="A6525" s="10">
        <v>46197</v>
      </c>
      <c r="B6525" t="s">
        <v>201</v>
      </c>
      <c r="C6525" s="135" t="s">
        <v>193</v>
      </c>
      <c r="D6525">
        <v>0</v>
      </c>
      <c r="E6525">
        <v>543</v>
      </c>
      <c r="I6525">
        <v>0</v>
      </c>
      <c r="J6525">
        <v>503</v>
      </c>
      <c r="M6525" t="s">
        <v>6650</v>
      </c>
    </row>
    <row r="6526" spans="1:13" ht="15" customHeight="1">
      <c r="A6526" s="10">
        <v>46197</v>
      </c>
      <c r="B6526" t="s">
        <v>201</v>
      </c>
      <c r="C6526" s="135" t="s">
        <v>194</v>
      </c>
      <c r="D6526">
        <v>1</v>
      </c>
      <c r="E6526">
        <v>16</v>
      </c>
      <c r="I6526">
        <v>1</v>
      </c>
      <c r="J6526">
        <v>16</v>
      </c>
      <c r="M6526" t="s">
        <v>6651</v>
      </c>
    </row>
    <row r="6527" spans="1:13" ht="15" customHeight="1">
      <c r="A6527" s="10">
        <v>46197</v>
      </c>
      <c r="B6527" t="s">
        <v>201</v>
      </c>
      <c r="C6527" s="135" t="s">
        <v>196</v>
      </c>
      <c r="D6527">
        <v>0</v>
      </c>
      <c r="E6527">
        <v>446</v>
      </c>
      <c r="I6527">
        <v>0</v>
      </c>
      <c r="J6527">
        <v>446</v>
      </c>
      <c r="M6527" t="s">
        <v>6652</v>
      </c>
    </row>
    <row r="6528" spans="1:13" ht="15" customHeight="1">
      <c r="A6528" s="10">
        <v>46197</v>
      </c>
      <c r="B6528" t="s">
        <v>201</v>
      </c>
      <c r="C6528" s="135" t="s">
        <v>199</v>
      </c>
      <c r="D6528">
        <v>0</v>
      </c>
      <c r="E6528">
        <v>450</v>
      </c>
      <c r="I6528">
        <v>0</v>
      </c>
      <c r="J6528">
        <v>392</v>
      </c>
      <c r="M6528" t="s">
        <v>6653</v>
      </c>
    </row>
    <row r="6529" spans="1:13" ht="15" customHeight="1">
      <c r="A6529" s="10">
        <v>46197</v>
      </c>
      <c r="B6529" t="s">
        <v>201</v>
      </c>
      <c r="C6529" s="135" t="s">
        <v>200</v>
      </c>
      <c r="D6529">
        <v>0</v>
      </c>
      <c r="E6529">
        <v>795</v>
      </c>
      <c r="I6529">
        <v>0</v>
      </c>
      <c r="J6529">
        <v>753</v>
      </c>
      <c r="M6529" t="s">
        <v>6654</v>
      </c>
    </row>
    <row r="6530" spans="1:13" ht="15" customHeight="1">
      <c r="A6530" s="10">
        <v>46197</v>
      </c>
      <c r="B6530" t="s">
        <v>201</v>
      </c>
      <c r="C6530" s="135" t="s">
        <v>202</v>
      </c>
      <c r="D6530">
        <v>0</v>
      </c>
      <c r="E6530">
        <v>645</v>
      </c>
      <c r="I6530">
        <v>0</v>
      </c>
      <c r="J6530">
        <v>615</v>
      </c>
      <c r="M6530" t="s">
        <v>6655</v>
      </c>
    </row>
    <row r="6531" spans="1:13" ht="15" customHeight="1">
      <c r="A6531" s="10">
        <v>46198</v>
      </c>
      <c r="B6531" t="s">
        <v>201</v>
      </c>
      <c r="C6531" t="s">
        <v>23</v>
      </c>
      <c r="D6531">
        <v>6</v>
      </c>
      <c r="E6531">
        <v>408</v>
      </c>
      <c r="I6531">
        <v>4</v>
      </c>
      <c r="J6531">
        <v>1529</v>
      </c>
      <c r="M6531" t="s">
        <v>6656</v>
      </c>
    </row>
    <row r="6532" spans="1:13" ht="15" customHeight="1">
      <c r="A6532" s="10">
        <v>46198</v>
      </c>
      <c r="B6532" t="s">
        <v>201</v>
      </c>
      <c r="C6532" t="s">
        <v>26</v>
      </c>
      <c r="D6532">
        <v>2</v>
      </c>
      <c r="E6532">
        <v>572</v>
      </c>
      <c r="I6532">
        <v>2</v>
      </c>
      <c r="J6532">
        <v>557</v>
      </c>
      <c r="M6532" t="s">
        <v>6657</v>
      </c>
    </row>
    <row r="6533" spans="1:13" ht="15" customHeight="1">
      <c r="A6533" s="10">
        <v>46198</v>
      </c>
      <c r="B6533" t="s">
        <v>201</v>
      </c>
      <c r="C6533" t="s">
        <v>27</v>
      </c>
      <c r="D6533">
        <v>2</v>
      </c>
      <c r="E6533">
        <v>597</v>
      </c>
      <c r="I6533">
        <v>2</v>
      </c>
      <c r="J6533">
        <v>247</v>
      </c>
      <c r="M6533" t="s">
        <v>6658</v>
      </c>
    </row>
    <row r="6534" spans="1:13" ht="15" customHeight="1">
      <c r="A6534" s="10">
        <v>46198</v>
      </c>
      <c r="B6534" t="s">
        <v>201</v>
      </c>
      <c r="C6534" t="s">
        <v>28</v>
      </c>
      <c r="D6534">
        <v>0</v>
      </c>
      <c r="E6534">
        <v>0</v>
      </c>
      <c r="I6534">
        <v>0</v>
      </c>
      <c r="J6534">
        <v>0</v>
      </c>
      <c r="M6534" t="s">
        <v>6659</v>
      </c>
    </row>
    <row r="6535" spans="1:13" ht="15" customHeight="1">
      <c r="A6535" s="10">
        <v>46198</v>
      </c>
      <c r="B6535" t="s">
        <v>201</v>
      </c>
      <c r="C6535" t="s">
        <v>29</v>
      </c>
      <c r="D6535">
        <v>1</v>
      </c>
      <c r="E6535">
        <v>1163</v>
      </c>
      <c r="I6535">
        <v>1</v>
      </c>
      <c r="J6535">
        <v>934</v>
      </c>
      <c r="M6535" t="s">
        <v>6660</v>
      </c>
    </row>
    <row r="6536" spans="1:13" ht="15" customHeight="1">
      <c r="A6536" s="10">
        <v>46198</v>
      </c>
      <c r="B6536" t="s">
        <v>201</v>
      </c>
      <c r="C6536" t="s">
        <v>30</v>
      </c>
      <c r="D6536">
        <v>1</v>
      </c>
      <c r="E6536">
        <v>814</v>
      </c>
      <c r="I6536">
        <v>1</v>
      </c>
      <c r="J6536">
        <v>494</v>
      </c>
      <c r="M6536" t="s">
        <v>6661</v>
      </c>
    </row>
    <row r="6537" spans="1:13" ht="15" customHeight="1">
      <c r="A6537" s="10">
        <v>46198</v>
      </c>
      <c r="B6537" t="s">
        <v>201</v>
      </c>
      <c r="C6537" t="s">
        <v>31</v>
      </c>
      <c r="D6537">
        <v>0</v>
      </c>
      <c r="E6537">
        <v>1293</v>
      </c>
      <c r="I6537">
        <v>0</v>
      </c>
      <c r="J6537">
        <v>790</v>
      </c>
      <c r="M6537" t="s">
        <v>6662</v>
      </c>
    </row>
    <row r="6538" spans="1:13" ht="15" customHeight="1">
      <c r="A6538" s="10">
        <v>46198</v>
      </c>
      <c r="B6538" t="s">
        <v>201</v>
      </c>
      <c r="C6538" t="s">
        <v>32</v>
      </c>
      <c r="D6538">
        <v>0</v>
      </c>
      <c r="E6538">
        <v>442</v>
      </c>
      <c r="I6538">
        <v>0</v>
      </c>
      <c r="J6538">
        <v>165</v>
      </c>
      <c r="M6538" t="s">
        <v>6663</v>
      </c>
    </row>
    <row r="6539" spans="1:13" ht="15" customHeight="1">
      <c r="A6539" s="10">
        <v>46198</v>
      </c>
      <c r="B6539" t="s">
        <v>201</v>
      </c>
      <c r="C6539" t="s">
        <v>223</v>
      </c>
      <c r="D6539">
        <v>5</v>
      </c>
      <c r="E6539">
        <v>655</v>
      </c>
      <c r="I6539">
        <v>4</v>
      </c>
      <c r="J6539">
        <v>908</v>
      </c>
      <c r="M6539" t="s">
        <v>6664</v>
      </c>
    </row>
    <row r="6540" spans="1:13" ht="15" customHeight="1">
      <c r="A6540" s="10">
        <v>46198</v>
      </c>
      <c r="B6540" t="s">
        <v>201</v>
      </c>
      <c r="C6540" t="s">
        <v>35</v>
      </c>
      <c r="D6540">
        <v>9</v>
      </c>
      <c r="E6540">
        <v>0</v>
      </c>
      <c r="H6540">
        <v>3</v>
      </c>
      <c r="I6540">
        <v>6</v>
      </c>
      <c r="M6540" t="s">
        <v>6665</v>
      </c>
    </row>
    <row r="6541" spans="1:13" ht="15" customHeight="1">
      <c r="A6541" s="10">
        <v>46198</v>
      </c>
      <c r="B6541" t="s">
        <v>201</v>
      </c>
      <c r="C6541" t="s">
        <v>37</v>
      </c>
      <c r="D6541">
        <v>5</v>
      </c>
      <c r="E6541">
        <v>0</v>
      </c>
      <c r="H6541">
        <v>1</v>
      </c>
      <c r="I6541">
        <v>4</v>
      </c>
      <c r="M6541" t="s">
        <v>6666</v>
      </c>
    </row>
    <row r="6542" spans="1:13" ht="15" customHeight="1">
      <c r="A6542" s="10">
        <v>46198</v>
      </c>
      <c r="B6542" t="s">
        <v>201</v>
      </c>
      <c r="C6542" t="s">
        <v>39</v>
      </c>
      <c r="D6542">
        <v>22</v>
      </c>
      <c r="E6542">
        <v>0</v>
      </c>
      <c r="H6542">
        <v>1</v>
      </c>
      <c r="I6542">
        <v>21</v>
      </c>
      <c r="M6542" t="s">
        <v>6667</v>
      </c>
    </row>
    <row r="6543" spans="1:13" ht="15" customHeight="1">
      <c r="A6543" s="10">
        <v>46198</v>
      </c>
      <c r="B6543" t="s">
        <v>201</v>
      </c>
      <c r="C6543" t="s">
        <v>41</v>
      </c>
      <c r="D6543">
        <v>15</v>
      </c>
      <c r="E6543">
        <v>0</v>
      </c>
      <c r="I6543">
        <v>15</v>
      </c>
      <c r="M6543" t="s">
        <v>6668</v>
      </c>
    </row>
    <row r="6544" spans="1:13" ht="15" customHeight="1">
      <c r="A6544" s="10">
        <v>46198</v>
      </c>
      <c r="B6544" t="s">
        <v>201</v>
      </c>
      <c r="C6544" s="135" t="s">
        <v>44</v>
      </c>
      <c r="D6544">
        <v>6</v>
      </c>
      <c r="E6544">
        <v>5350</v>
      </c>
      <c r="I6544">
        <v>5</v>
      </c>
      <c r="J6544">
        <v>6342</v>
      </c>
      <c r="M6544" t="s">
        <v>6669</v>
      </c>
    </row>
    <row r="6545" spans="1:13" ht="15" customHeight="1">
      <c r="A6545" s="10">
        <v>46198</v>
      </c>
      <c r="B6545" t="s">
        <v>201</v>
      </c>
      <c r="C6545" t="s">
        <v>230</v>
      </c>
      <c r="D6545">
        <v>1</v>
      </c>
      <c r="E6545">
        <v>664</v>
      </c>
      <c r="I6545">
        <v>1</v>
      </c>
      <c r="J6545">
        <v>664</v>
      </c>
      <c r="M6545" t="s">
        <v>6670</v>
      </c>
    </row>
    <row r="6546" spans="1:13" ht="15" customHeight="1">
      <c r="A6546" s="10">
        <v>46198</v>
      </c>
      <c r="B6546" t="s">
        <v>201</v>
      </c>
      <c r="C6546" t="s">
        <v>232</v>
      </c>
      <c r="D6546">
        <v>11</v>
      </c>
      <c r="E6546">
        <v>0</v>
      </c>
      <c r="I6546">
        <v>11</v>
      </c>
      <c r="M6546" t="s">
        <v>6671</v>
      </c>
    </row>
    <row r="6547" spans="1:13" ht="15" customHeight="1">
      <c r="A6547" s="10">
        <v>46198</v>
      </c>
      <c r="B6547" t="s">
        <v>201</v>
      </c>
      <c r="C6547" t="s">
        <v>234</v>
      </c>
      <c r="D6547">
        <v>87</v>
      </c>
      <c r="E6547">
        <v>0</v>
      </c>
      <c r="H6547">
        <v>9</v>
      </c>
      <c r="I6547">
        <v>78</v>
      </c>
      <c r="M6547" t="s">
        <v>6672</v>
      </c>
    </row>
    <row r="6548" spans="1:13" ht="15" customHeight="1">
      <c r="A6548" s="10">
        <v>46198</v>
      </c>
      <c r="B6548" t="s">
        <v>201</v>
      </c>
      <c r="C6548" t="s">
        <v>54</v>
      </c>
      <c r="D6548">
        <v>0</v>
      </c>
      <c r="E6548">
        <v>0</v>
      </c>
      <c r="I6548">
        <v>0</v>
      </c>
      <c r="M6548" t="s">
        <v>6673</v>
      </c>
    </row>
    <row r="6549" spans="1:13" ht="15" customHeight="1">
      <c r="A6549" s="10">
        <v>46198</v>
      </c>
      <c r="B6549" t="s">
        <v>201</v>
      </c>
      <c r="C6549" t="s">
        <v>237</v>
      </c>
      <c r="D6549">
        <v>13</v>
      </c>
      <c r="E6549">
        <v>0</v>
      </c>
      <c r="I6549">
        <v>23</v>
      </c>
      <c r="M6549" t="s">
        <v>6674</v>
      </c>
    </row>
    <row r="6550" spans="1:13" ht="15" customHeight="1">
      <c r="A6550" s="10">
        <v>46198</v>
      </c>
      <c r="B6550" t="s">
        <v>201</v>
      </c>
      <c r="C6550" s="135" t="s">
        <v>58</v>
      </c>
      <c r="D6550">
        <v>2</v>
      </c>
      <c r="E6550">
        <v>0</v>
      </c>
      <c r="H6550">
        <v>2</v>
      </c>
      <c r="I6550">
        <v>0</v>
      </c>
      <c r="M6550" t="s">
        <v>6675</v>
      </c>
    </row>
    <row r="6551" spans="1:13" ht="15" customHeight="1">
      <c r="A6551" s="10">
        <v>46198</v>
      </c>
      <c r="B6551" t="s">
        <v>201</v>
      </c>
      <c r="C6551" s="135" t="s">
        <v>60</v>
      </c>
      <c r="D6551">
        <v>12</v>
      </c>
      <c r="E6551">
        <v>0</v>
      </c>
      <c r="H6551">
        <v>2</v>
      </c>
      <c r="I6551">
        <v>10</v>
      </c>
      <c r="M6551" t="s">
        <v>6676</v>
      </c>
    </row>
    <row r="6552" spans="1:13" ht="15" customHeight="1">
      <c r="A6552" s="10">
        <v>46198</v>
      </c>
      <c r="B6552" t="s">
        <v>201</v>
      </c>
      <c r="C6552" s="135" t="s">
        <v>61</v>
      </c>
      <c r="D6552">
        <v>6</v>
      </c>
      <c r="E6552">
        <v>0</v>
      </c>
      <c r="H6552">
        <v>4</v>
      </c>
      <c r="I6552">
        <v>2</v>
      </c>
      <c r="M6552" t="s">
        <v>6677</v>
      </c>
    </row>
    <row r="6553" spans="1:13" ht="15" customHeight="1">
      <c r="A6553" s="10">
        <v>46198</v>
      </c>
      <c r="B6553" t="s">
        <v>201</v>
      </c>
      <c r="C6553" s="135" t="s">
        <v>62</v>
      </c>
      <c r="D6553">
        <v>5</v>
      </c>
      <c r="E6553">
        <v>0</v>
      </c>
      <c r="H6553">
        <v>2</v>
      </c>
      <c r="I6553">
        <v>3</v>
      </c>
      <c r="M6553" t="s">
        <v>6678</v>
      </c>
    </row>
    <row r="6554" spans="1:13" ht="15" customHeight="1">
      <c r="A6554" s="10">
        <v>46198</v>
      </c>
      <c r="B6554" t="s">
        <v>201</v>
      </c>
      <c r="C6554" s="135" t="s">
        <v>63</v>
      </c>
      <c r="D6554">
        <v>5</v>
      </c>
      <c r="E6554">
        <v>0</v>
      </c>
      <c r="H6554">
        <v>1</v>
      </c>
      <c r="I6554">
        <v>4</v>
      </c>
      <c r="M6554" t="s">
        <v>6679</v>
      </c>
    </row>
    <row r="6555" spans="1:13" ht="15" customHeight="1">
      <c r="A6555" s="10">
        <v>46198</v>
      </c>
      <c r="B6555" t="s">
        <v>201</v>
      </c>
      <c r="C6555" s="135" t="s">
        <v>64</v>
      </c>
      <c r="D6555">
        <v>8</v>
      </c>
      <c r="E6555">
        <v>0</v>
      </c>
      <c r="H6555">
        <v>2</v>
      </c>
      <c r="I6555">
        <v>6</v>
      </c>
      <c r="M6555" t="s">
        <v>6680</v>
      </c>
    </row>
    <row r="6556" spans="1:13" ht="15" customHeight="1">
      <c r="A6556" s="10">
        <v>46198</v>
      </c>
      <c r="B6556" t="s">
        <v>201</v>
      </c>
      <c r="C6556" t="s">
        <v>66</v>
      </c>
      <c r="D6556">
        <v>6</v>
      </c>
      <c r="E6556">
        <v>0</v>
      </c>
      <c r="H6556">
        <v>1</v>
      </c>
      <c r="I6556">
        <v>5</v>
      </c>
      <c r="M6556" t="s">
        <v>6681</v>
      </c>
    </row>
    <row r="6557" spans="1:13" ht="15" customHeight="1">
      <c r="A6557" s="10">
        <v>46198</v>
      </c>
      <c r="B6557" t="s">
        <v>201</v>
      </c>
      <c r="C6557" t="s">
        <v>67</v>
      </c>
      <c r="D6557">
        <v>6</v>
      </c>
      <c r="E6557">
        <v>0</v>
      </c>
      <c r="H6557">
        <v>1</v>
      </c>
      <c r="I6557">
        <v>5</v>
      </c>
      <c r="M6557" t="s">
        <v>6682</v>
      </c>
    </row>
    <row r="6558" spans="1:13" ht="15" customHeight="1">
      <c r="A6558" s="10">
        <v>46198</v>
      </c>
      <c r="B6558" t="s">
        <v>201</v>
      </c>
      <c r="C6558" t="s">
        <v>68</v>
      </c>
      <c r="D6558">
        <v>2</v>
      </c>
      <c r="E6558">
        <v>0</v>
      </c>
      <c r="H6558">
        <v>0</v>
      </c>
      <c r="I6558">
        <v>2</v>
      </c>
      <c r="M6558" t="s">
        <v>6683</v>
      </c>
    </row>
    <row r="6559" spans="1:13" ht="15" customHeight="1">
      <c r="A6559" s="10">
        <v>46198</v>
      </c>
      <c r="B6559" t="s">
        <v>201</v>
      </c>
      <c r="C6559" t="s">
        <v>71</v>
      </c>
      <c r="D6559">
        <v>1</v>
      </c>
      <c r="E6559">
        <v>570</v>
      </c>
      <c r="I6559">
        <v>1</v>
      </c>
      <c r="J6559">
        <v>428</v>
      </c>
      <c r="M6559" t="s">
        <v>6684</v>
      </c>
    </row>
    <row r="6560" spans="1:13" ht="15" customHeight="1">
      <c r="A6560" s="10">
        <v>46198</v>
      </c>
      <c r="B6560" t="s">
        <v>201</v>
      </c>
      <c r="C6560" t="s">
        <v>73</v>
      </c>
      <c r="D6560">
        <v>2</v>
      </c>
      <c r="E6560">
        <v>319</v>
      </c>
      <c r="I6560">
        <v>2</v>
      </c>
      <c r="J6560">
        <v>319</v>
      </c>
      <c r="M6560" t="s">
        <v>6685</v>
      </c>
    </row>
    <row r="6561" spans="1:13" ht="15" customHeight="1">
      <c r="A6561" s="10">
        <v>46198</v>
      </c>
      <c r="B6561" t="s">
        <v>201</v>
      </c>
      <c r="C6561" t="s">
        <v>75</v>
      </c>
      <c r="D6561">
        <v>1</v>
      </c>
      <c r="E6561">
        <v>271</v>
      </c>
      <c r="I6561">
        <v>1</v>
      </c>
      <c r="J6561">
        <v>261</v>
      </c>
      <c r="M6561" t="s">
        <v>6686</v>
      </c>
    </row>
    <row r="6562" spans="1:13" ht="15" customHeight="1">
      <c r="A6562" s="10">
        <v>46198</v>
      </c>
      <c r="B6562" t="s">
        <v>201</v>
      </c>
      <c r="C6562" t="s">
        <v>77</v>
      </c>
      <c r="D6562">
        <v>1</v>
      </c>
      <c r="E6562">
        <v>237</v>
      </c>
      <c r="I6562">
        <v>1</v>
      </c>
      <c r="J6562">
        <v>210</v>
      </c>
      <c r="M6562" t="s">
        <v>6687</v>
      </c>
    </row>
    <row r="6563" spans="1:13" ht="15" customHeight="1">
      <c r="A6563" s="10">
        <v>46198</v>
      </c>
      <c r="B6563" t="s">
        <v>201</v>
      </c>
      <c r="C6563" t="s">
        <v>79</v>
      </c>
      <c r="D6563">
        <v>1</v>
      </c>
      <c r="E6563">
        <v>201</v>
      </c>
      <c r="I6563">
        <v>0</v>
      </c>
      <c r="J6563">
        <v>2218</v>
      </c>
      <c r="M6563" t="s">
        <v>6688</v>
      </c>
    </row>
    <row r="6564" spans="1:13" ht="15" customHeight="1">
      <c r="A6564" s="10">
        <v>46198</v>
      </c>
      <c r="B6564" t="s">
        <v>201</v>
      </c>
      <c r="C6564" t="s">
        <v>81</v>
      </c>
      <c r="D6564">
        <v>1</v>
      </c>
      <c r="E6564">
        <v>302</v>
      </c>
      <c r="I6564">
        <v>1</v>
      </c>
      <c r="J6564">
        <v>295</v>
      </c>
      <c r="M6564" t="s">
        <v>6689</v>
      </c>
    </row>
    <row r="6565" spans="1:13" ht="15" customHeight="1">
      <c r="A6565" s="10">
        <v>46198</v>
      </c>
      <c r="B6565" t="s">
        <v>201</v>
      </c>
      <c r="C6565" t="s">
        <v>83</v>
      </c>
      <c r="D6565">
        <v>0</v>
      </c>
      <c r="E6565">
        <v>416</v>
      </c>
      <c r="I6565">
        <v>0</v>
      </c>
      <c r="J6565">
        <v>323</v>
      </c>
      <c r="M6565" t="s">
        <v>6690</v>
      </c>
    </row>
    <row r="6566" spans="1:13" ht="15" customHeight="1">
      <c r="A6566" s="10">
        <v>46198</v>
      </c>
      <c r="B6566" t="s">
        <v>201</v>
      </c>
      <c r="C6566" t="s">
        <v>84</v>
      </c>
      <c r="D6566">
        <v>1</v>
      </c>
      <c r="E6566">
        <v>289</v>
      </c>
      <c r="I6566">
        <v>1</v>
      </c>
      <c r="J6566">
        <v>282</v>
      </c>
      <c r="M6566" t="s">
        <v>6691</v>
      </c>
    </row>
    <row r="6567" spans="1:13" ht="15" customHeight="1">
      <c r="A6567" s="10">
        <v>46198</v>
      </c>
      <c r="B6567" t="s">
        <v>201</v>
      </c>
      <c r="C6567" t="s">
        <v>85</v>
      </c>
      <c r="D6567">
        <v>0</v>
      </c>
      <c r="E6567">
        <v>200</v>
      </c>
      <c r="I6567">
        <v>0</v>
      </c>
      <c r="J6567">
        <v>200</v>
      </c>
      <c r="M6567" t="s">
        <v>6692</v>
      </c>
    </row>
    <row r="6568" spans="1:13" ht="15" customHeight="1">
      <c r="A6568" s="10">
        <v>46198</v>
      </c>
      <c r="B6568" t="s">
        <v>201</v>
      </c>
      <c r="C6568" t="s">
        <v>87</v>
      </c>
      <c r="D6568">
        <v>2</v>
      </c>
      <c r="E6568">
        <v>78</v>
      </c>
      <c r="I6568">
        <v>2</v>
      </c>
      <c r="J6568">
        <v>68</v>
      </c>
      <c r="M6568" t="s">
        <v>6693</v>
      </c>
    </row>
    <row r="6569" spans="1:13" ht="15" customHeight="1">
      <c r="A6569" s="10">
        <v>46198</v>
      </c>
      <c r="B6569" t="s">
        <v>201</v>
      </c>
      <c r="C6569" t="s">
        <v>88</v>
      </c>
      <c r="D6569">
        <v>2</v>
      </c>
      <c r="E6569">
        <v>251</v>
      </c>
      <c r="I6569">
        <v>1</v>
      </c>
      <c r="J6569">
        <v>250</v>
      </c>
      <c r="M6569" t="s">
        <v>6694</v>
      </c>
    </row>
    <row r="6570" spans="1:13" ht="15" customHeight="1">
      <c r="A6570" s="10">
        <v>46198</v>
      </c>
      <c r="B6570" t="s">
        <v>201</v>
      </c>
      <c r="C6570" t="s">
        <v>89</v>
      </c>
      <c r="D6570">
        <v>2</v>
      </c>
      <c r="E6570">
        <v>266</v>
      </c>
      <c r="I6570">
        <v>1</v>
      </c>
      <c r="J6570">
        <v>266</v>
      </c>
      <c r="M6570" t="s">
        <v>6695</v>
      </c>
    </row>
    <row r="6571" spans="1:13" ht="15" customHeight="1">
      <c r="A6571" s="10">
        <v>46198</v>
      </c>
      <c r="B6571" t="s">
        <v>201</v>
      </c>
      <c r="C6571" t="s">
        <v>90</v>
      </c>
      <c r="D6571">
        <v>0</v>
      </c>
      <c r="E6571">
        <v>908</v>
      </c>
      <c r="I6571">
        <v>0</v>
      </c>
      <c r="J6571">
        <v>0</v>
      </c>
      <c r="M6571" t="s">
        <v>6696</v>
      </c>
    </row>
    <row r="6572" spans="1:13" ht="15" customHeight="1">
      <c r="A6572" s="10">
        <v>46198</v>
      </c>
      <c r="B6572" t="s">
        <v>201</v>
      </c>
      <c r="C6572" t="s">
        <v>92</v>
      </c>
      <c r="D6572">
        <v>0</v>
      </c>
      <c r="E6572">
        <v>1299</v>
      </c>
      <c r="I6572">
        <v>0</v>
      </c>
      <c r="J6572">
        <v>1110</v>
      </c>
      <c r="M6572" t="s">
        <v>6697</v>
      </c>
    </row>
    <row r="6573" spans="1:13" ht="15" customHeight="1">
      <c r="A6573" s="10">
        <v>46198</v>
      </c>
      <c r="B6573" t="s">
        <v>201</v>
      </c>
      <c r="C6573" t="s">
        <v>94</v>
      </c>
      <c r="D6573">
        <v>4</v>
      </c>
      <c r="E6573">
        <v>345</v>
      </c>
      <c r="I6573">
        <v>2</v>
      </c>
      <c r="J6573">
        <v>576</v>
      </c>
      <c r="M6573" t="s">
        <v>6698</v>
      </c>
    </row>
    <row r="6574" spans="1:13" ht="15" customHeight="1">
      <c r="A6574" s="10">
        <v>46198</v>
      </c>
      <c r="B6574" t="s">
        <v>201</v>
      </c>
      <c r="C6574" t="s">
        <v>96</v>
      </c>
      <c r="D6574">
        <v>0</v>
      </c>
      <c r="E6574">
        <v>0</v>
      </c>
      <c r="I6574">
        <v>0</v>
      </c>
      <c r="J6574">
        <v>0</v>
      </c>
      <c r="M6574" t="s">
        <v>6699</v>
      </c>
    </row>
    <row r="6575" spans="1:13" ht="15" customHeight="1">
      <c r="A6575" s="10">
        <v>46198</v>
      </c>
      <c r="B6575" t="s">
        <v>201</v>
      </c>
      <c r="C6575" t="s">
        <v>98</v>
      </c>
      <c r="D6575">
        <v>0</v>
      </c>
      <c r="E6575">
        <v>293</v>
      </c>
      <c r="I6575">
        <v>0</v>
      </c>
      <c r="J6575">
        <v>340</v>
      </c>
      <c r="M6575" t="s">
        <v>6700</v>
      </c>
    </row>
    <row r="6576" spans="1:13" ht="15" customHeight="1">
      <c r="A6576" s="10">
        <v>46198</v>
      </c>
      <c r="B6576" t="s">
        <v>201</v>
      </c>
      <c r="C6576" t="s">
        <v>203</v>
      </c>
      <c r="D6576">
        <v>2</v>
      </c>
      <c r="E6576">
        <v>0</v>
      </c>
      <c r="I6576">
        <v>1</v>
      </c>
      <c r="J6576">
        <v>0</v>
      </c>
      <c r="M6576" t="s">
        <v>6701</v>
      </c>
    </row>
    <row r="6577" spans="1:13" ht="15" customHeight="1">
      <c r="A6577" s="10">
        <v>46198</v>
      </c>
      <c r="B6577" t="s">
        <v>201</v>
      </c>
      <c r="C6577" t="s">
        <v>100</v>
      </c>
      <c r="D6577">
        <v>0</v>
      </c>
      <c r="E6577">
        <v>0</v>
      </c>
      <c r="I6577">
        <v>0</v>
      </c>
      <c r="J6577">
        <v>0</v>
      </c>
      <c r="M6577" t="s">
        <v>6702</v>
      </c>
    </row>
    <row r="6578" spans="1:13" ht="15" customHeight="1">
      <c r="A6578" s="10">
        <v>46198</v>
      </c>
      <c r="B6578" t="s">
        <v>201</v>
      </c>
      <c r="C6578" t="s">
        <v>101</v>
      </c>
      <c r="D6578">
        <v>1</v>
      </c>
      <c r="E6578">
        <v>470</v>
      </c>
      <c r="I6578">
        <v>1</v>
      </c>
      <c r="J6578">
        <v>408</v>
      </c>
      <c r="M6578" t="s">
        <v>6703</v>
      </c>
    </row>
    <row r="6579" spans="1:13" ht="15" customHeight="1">
      <c r="A6579" s="10">
        <v>46198</v>
      </c>
      <c r="B6579" t="s">
        <v>201</v>
      </c>
      <c r="C6579" t="s">
        <v>103</v>
      </c>
      <c r="D6579">
        <v>0</v>
      </c>
      <c r="E6579">
        <v>11</v>
      </c>
      <c r="I6579">
        <v>0</v>
      </c>
      <c r="J6579">
        <v>7</v>
      </c>
      <c r="M6579" t="s">
        <v>6704</v>
      </c>
    </row>
    <row r="6580" spans="1:13" ht="15" customHeight="1">
      <c r="A6580" s="10">
        <v>46198</v>
      </c>
      <c r="B6580" t="s">
        <v>201</v>
      </c>
      <c r="C6580" t="s">
        <v>106</v>
      </c>
      <c r="D6580">
        <v>1</v>
      </c>
      <c r="E6580">
        <v>151</v>
      </c>
      <c r="I6580">
        <v>0</v>
      </c>
      <c r="J6580">
        <v>1090</v>
      </c>
      <c r="M6580" t="s">
        <v>6705</v>
      </c>
    </row>
    <row r="6581" spans="1:13" ht="15" customHeight="1">
      <c r="A6581" s="10">
        <v>46198</v>
      </c>
      <c r="B6581" t="s">
        <v>201</v>
      </c>
      <c r="C6581" t="s">
        <v>108</v>
      </c>
      <c r="D6581">
        <v>1</v>
      </c>
      <c r="E6581">
        <v>791</v>
      </c>
      <c r="I6581">
        <v>1</v>
      </c>
      <c r="J6581">
        <v>820</v>
      </c>
      <c r="M6581" t="s">
        <v>6706</v>
      </c>
    </row>
    <row r="6582" spans="1:13" ht="15" customHeight="1">
      <c r="A6582" s="10">
        <v>46198</v>
      </c>
      <c r="B6582" t="s">
        <v>201</v>
      </c>
      <c r="C6582" t="s">
        <v>109</v>
      </c>
      <c r="D6582">
        <v>1</v>
      </c>
      <c r="E6582">
        <v>584</v>
      </c>
      <c r="I6582">
        <v>1</v>
      </c>
      <c r="J6582">
        <v>538</v>
      </c>
      <c r="M6582" t="s">
        <v>6707</v>
      </c>
    </row>
    <row r="6583" spans="1:13" ht="15" customHeight="1">
      <c r="A6583" s="10">
        <v>46198</v>
      </c>
      <c r="B6583" t="s">
        <v>201</v>
      </c>
      <c r="C6583" t="s">
        <v>112</v>
      </c>
      <c r="D6583">
        <v>1</v>
      </c>
      <c r="E6583">
        <v>10</v>
      </c>
      <c r="I6583">
        <v>1</v>
      </c>
      <c r="J6583">
        <v>10</v>
      </c>
      <c r="M6583" t="s">
        <v>6708</v>
      </c>
    </row>
    <row r="6584" spans="1:13" ht="15" customHeight="1">
      <c r="A6584" s="10">
        <v>46198</v>
      </c>
      <c r="B6584" t="s">
        <v>201</v>
      </c>
      <c r="C6584" t="s">
        <v>114</v>
      </c>
      <c r="D6584">
        <v>3</v>
      </c>
      <c r="E6584">
        <v>9</v>
      </c>
      <c r="I6584">
        <v>2</v>
      </c>
      <c r="J6584">
        <v>40</v>
      </c>
      <c r="M6584" t="s">
        <v>6709</v>
      </c>
    </row>
    <row r="6585" spans="1:13" ht="15" customHeight="1">
      <c r="A6585" s="10">
        <v>46198</v>
      </c>
      <c r="B6585" t="s">
        <v>201</v>
      </c>
      <c r="C6585" t="s">
        <v>115</v>
      </c>
      <c r="D6585">
        <v>0</v>
      </c>
      <c r="E6585">
        <v>44</v>
      </c>
      <c r="I6585">
        <v>0</v>
      </c>
      <c r="J6585">
        <v>40</v>
      </c>
      <c r="M6585" t="s">
        <v>6710</v>
      </c>
    </row>
    <row r="6586" spans="1:13" ht="15" customHeight="1">
      <c r="A6586" s="10">
        <v>46198</v>
      </c>
      <c r="B6586" t="s">
        <v>201</v>
      </c>
      <c r="C6586" t="s">
        <v>116</v>
      </c>
      <c r="D6586">
        <v>3</v>
      </c>
      <c r="E6586">
        <v>0</v>
      </c>
      <c r="I6586">
        <v>2</v>
      </c>
      <c r="J6586">
        <v>40</v>
      </c>
      <c r="M6586" t="s">
        <v>6711</v>
      </c>
    </row>
    <row r="6587" spans="1:13" ht="15" customHeight="1">
      <c r="A6587" s="10">
        <v>46198</v>
      </c>
      <c r="B6587" t="s">
        <v>201</v>
      </c>
      <c r="C6587" t="s">
        <v>119</v>
      </c>
      <c r="D6587">
        <v>2</v>
      </c>
      <c r="E6587">
        <v>0</v>
      </c>
      <c r="I6587">
        <v>2</v>
      </c>
      <c r="M6587" t="s">
        <v>6712</v>
      </c>
    </row>
    <row r="6588" spans="1:13" ht="15" customHeight="1">
      <c r="A6588" s="10">
        <v>46198</v>
      </c>
      <c r="B6588" t="s">
        <v>201</v>
      </c>
      <c r="C6588" t="s">
        <v>120</v>
      </c>
      <c r="D6588">
        <v>2</v>
      </c>
      <c r="E6588">
        <v>0</v>
      </c>
      <c r="I6588">
        <v>2</v>
      </c>
      <c r="M6588" t="s">
        <v>6713</v>
      </c>
    </row>
    <row r="6589" spans="1:13" ht="15" customHeight="1">
      <c r="A6589" s="10">
        <v>46198</v>
      </c>
      <c r="B6589" t="s">
        <v>201</v>
      </c>
      <c r="C6589" t="s">
        <v>121</v>
      </c>
      <c r="D6589">
        <v>2</v>
      </c>
      <c r="E6589">
        <v>0</v>
      </c>
      <c r="I6589">
        <v>2</v>
      </c>
      <c r="M6589" t="s">
        <v>6714</v>
      </c>
    </row>
    <row r="6590" spans="1:13" ht="15" customHeight="1">
      <c r="A6590" s="10">
        <v>46198</v>
      </c>
      <c r="B6590" t="s">
        <v>201</v>
      </c>
      <c r="C6590" t="s">
        <v>123</v>
      </c>
      <c r="D6590">
        <v>2</v>
      </c>
      <c r="E6590">
        <v>0</v>
      </c>
      <c r="I6590">
        <v>2</v>
      </c>
      <c r="M6590" t="s">
        <v>6715</v>
      </c>
    </row>
    <row r="6591" spans="1:13" ht="15" customHeight="1">
      <c r="A6591" s="10">
        <v>46198</v>
      </c>
      <c r="B6591" t="s">
        <v>201</v>
      </c>
      <c r="C6591" t="s">
        <v>124</v>
      </c>
      <c r="D6591">
        <v>2</v>
      </c>
      <c r="E6591">
        <v>0</v>
      </c>
      <c r="I6591">
        <v>2</v>
      </c>
      <c r="M6591" t="s">
        <v>6716</v>
      </c>
    </row>
    <row r="6592" spans="1:13" ht="15" customHeight="1">
      <c r="A6592" s="10">
        <v>46198</v>
      </c>
      <c r="B6592" t="s">
        <v>201</v>
      </c>
      <c r="C6592" t="s">
        <v>125</v>
      </c>
      <c r="D6592">
        <v>2</v>
      </c>
      <c r="E6592">
        <v>0</v>
      </c>
      <c r="I6592">
        <v>2</v>
      </c>
      <c r="M6592" t="s">
        <v>6717</v>
      </c>
    </row>
    <row r="6593" spans="1:13" ht="15" customHeight="1">
      <c r="A6593" s="10">
        <v>46198</v>
      </c>
      <c r="B6593" t="s">
        <v>201</v>
      </c>
      <c r="C6593" t="s">
        <v>126</v>
      </c>
      <c r="D6593">
        <v>2</v>
      </c>
      <c r="E6593">
        <v>0</v>
      </c>
      <c r="I6593">
        <v>2</v>
      </c>
      <c r="M6593" t="s">
        <v>6718</v>
      </c>
    </row>
    <row r="6594" spans="1:13" ht="15" customHeight="1">
      <c r="A6594" s="10">
        <v>46198</v>
      </c>
      <c r="B6594" t="s">
        <v>201</v>
      </c>
      <c r="C6594" t="s">
        <v>128</v>
      </c>
      <c r="D6594">
        <v>2</v>
      </c>
      <c r="E6594">
        <v>0</v>
      </c>
      <c r="I6594">
        <v>2</v>
      </c>
      <c r="M6594" t="s">
        <v>6719</v>
      </c>
    </row>
    <row r="6595" spans="1:13" ht="15" customHeight="1">
      <c r="A6595" s="10">
        <v>46198</v>
      </c>
      <c r="B6595" t="s">
        <v>201</v>
      </c>
      <c r="C6595" t="s">
        <v>130</v>
      </c>
      <c r="D6595">
        <v>4</v>
      </c>
      <c r="E6595">
        <v>0</v>
      </c>
      <c r="I6595">
        <v>4</v>
      </c>
      <c r="M6595" t="s">
        <v>6720</v>
      </c>
    </row>
    <row r="6596" spans="1:13" ht="15" customHeight="1">
      <c r="A6596" s="10">
        <v>46198</v>
      </c>
      <c r="B6596" t="s">
        <v>201</v>
      </c>
      <c r="C6596" t="s">
        <v>285</v>
      </c>
      <c r="D6596">
        <v>2</v>
      </c>
      <c r="E6596">
        <v>0</v>
      </c>
      <c r="I6596">
        <v>2</v>
      </c>
      <c r="M6596" t="s">
        <v>6721</v>
      </c>
    </row>
    <row r="6597" spans="1:13" ht="15" customHeight="1">
      <c r="A6597" s="10">
        <v>46198</v>
      </c>
      <c r="B6597" t="s">
        <v>201</v>
      </c>
      <c r="C6597" t="s">
        <v>287</v>
      </c>
      <c r="D6597">
        <v>6</v>
      </c>
      <c r="E6597">
        <v>0</v>
      </c>
      <c r="I6597">
        <v>6</v>
      </c>
      <c r="M6597" t="s">
        <v>6722</v>
      </c>
    </row>
    <row r="6598" spans="1:13" ht="15" customHeight="1">
      <c r="A6598" s="10">
        <v>46198</v>
      </c>
      <c r="B6598" t="s">
        <v>201</v>
      </c>
      <c r="C6598" t="s">
        <v>289</v>
      </c>
      <c r="D6598">
        <v>2</v>
      </c>
      <c r="E6598">
        <v>0</v>
      </c>
      <c r="I6598">
        <v>2</v>
      </c>
      <c r="M6598" t="s">
        <v>6723</v>
      </c>
    </row>
    <row r="6599" spans="1:13" ht="15" customHeight="1">
      <c r="A6599" s="10">
        <v>46198</v>
      </c>
      <c r="B6599" t="s">
        <v>201</v>
      </c>
      <c r="C6599" t="s">
        <v>291</v>
      </c>
      <c r="D6599">
        <v>1</v>
      </c>
      <c r="E6599">
        <v>0</v>
      </c>
      <c r="I6599">
        <v>1</v>
      </c>
      <c r="M6599" t="s">
        <v>6724</v>
      </c>
    </row>
    <row r="6600" spans="1:13" ht="15" customHeight="1">
      <c r="A6600" s="10">
        <v>46198</v>
      </c>
      <c r="B6600" t="s">
        <v>201</v>
      </c>
      <c r="C6600" t="s">
        <v>293</v>
      </c>
      <c r="D6600">
        <v>2</v>
      </c>
      <c r="E6600">
        <v>0</v>
      </c>
      <c r="I6600">
        <v>2</v>
      </c>
      <c r="M6600" t="s">
        <v>6725</v>
      </c>
    </row>
    <row r="6601" spans="1:13" ht="15" customHeight="1">
      <c r="A6601" s="10">
        <v>46198</v>
      </c>
      <c r="B6601" t="s">
        <v>201</v>
      </c>
      <c r="C6601" s="135" t="s">
        <v>138</v>
      </c>
      <c r="D6601">
        <v>0</v>
      </c>
      <c r="E6601">
        <v>63</v>
      </c>
      <c r="I6601">
        <v>0</v>
      </c>
      <c r="J6601">
        <v>59</v>
      </c>
      <c r="M6601" t="s">
        <v>6726</v>
      </c>
    </row>
    <row r="6602" spans="1:13" ht="15" customHeight="1">
      <c r="A6602" s="10">
        <v>46198</v>
      </c>
      <c r="B6602" t="s">
        <v>201</v>
      </c>
      <c r="C6602" s="135" t="s">
        <v>139</v>
      </c>
      <c r="D6602">
        <v>0</v>
      </c>
      <c r="E6602">
        <v>40</v>
      </c>
      <c r="I6602">
        <v>0</v>
      </c>
      <c r="J6602">
        <v>38</v>
      </c>
      <c r="M6602" t="s">
        <v>6727</v>
      </c>
    </row>
    <row r="6603" spans="1:13" ht="15" customHeight="1">
      <c r="A6603" s="10">
        <v>46198</v>
      </c>
      <c r="B6603" t="s">
        <v>201</v>
      </c>
      <c r="C6603" s="135" t="s">
        <v>140</v>
      </c>
      <c r="D6603">
        <v>0</v>
      </c>
      <c r="E6603">
        <v>29</v>
      </c>
      <c r="I6603">
        <v>0</v>
      </c>
      <c r="J6603">
        <v>29</v>
      </c>
      <c r="M6603" t="s">
        <v>6728</v>
      </c>
    </row>
    <row r="6604" spans="1:13" ht="15" customHeight="1">
      <c r="A6604" s="10">
        <v>46198</v>
      </c>
      <c r="B6604" t="s">
        <v>201</v>
      </c>
      <c r="C6604" s="135" t="s">
        <v>141</v>
      </c>
      <c r="D6604">
        <v>0</v>
      </c>
      <c r="E6604">
        <v>497</v>
      </c>
      <c r="I6604">
        <v>0</v>
      </c>
      <c r="J6604">
        <v>1</v>
      </c>
      <c r="M6604" t="s">
        <v>6729</v>
      </c>
    </row>
    <row r="6605" spans="1:13" ht="15" customHeight="1">
      <c r="A6605" s="10">
        <v>46198</v>
      </c>
      <c r="B6605" t="s">
        <v>201</v>
      </c>
      <c r="C6605" s="135" t="s">
        <v>143</v>
      </c>
      <c r="D6605">
        <v>0</v>
      </c>
      <c r="E6605">
        <v>45</v>
      </c>
      <c r="I6605">
        <v>0</v>
      </c>
      <c r="J6605">
        <v>41</v>
      </c>
      <c r="M6605" t="s">
        <v>6730</v>
      </c>
    </row>
    <row r="6606" spans="1:13" ht="15" customHeight="1">
      <c r="A6606" s="10">
        <v>46198</v>
      </c>
      <c r="B6606" t="s">
        <v>201</v>
      </c>
      <c r="C6606" s="135" t="s">
        <v>145</v>
      </c>
      <c r="D6606">
        <v>0</v>
      </c>
      <c r="E6606">
        <v>16</v>
      </c>
      <c r="I6606">
        <v>0</v>
      </c>
      <c r="J6606">
        <v>15</v>
      </c>
      <c r="M6606" t="s">
        <v>6731</v>
      </c>
    </row>
    <row r="6607" spans="1:13" ht="15" customHeight="1">
      <c r="A6607" s="10">
        <v>46198</v>
      </c>
      <c r="B6607" t="s">
        <v>201</v>
      </c>
      <c r="C6607" s="135" t="s">
        <v>147</v>
      </c>
      <c r="D6607">
        <v>0</v>
      </c>
      <c r="E6607">
        <v>28</v>
      </c>
      <c r="I6607">
        <v>0</v>
      </c>
      <c r="J6607">
        <v>27</v>
      </c>
      <c r="M6607" t="s">
        <v>6732</v>
      </c>
    </row>
    <row r="6608" spans="1:13" ht="15" customHeight="1">
      <c r="A6608" s="10">
        <v>46198</v>
      </c>
      <c r="B6608" t="s">
        <v>201</v>
      </c>
      <c r="C6608" t="s">
        <v>302</v>
      </c>
      <c r="D6608">
        <v>1</v>
      </c>
      <c r="E6608">
        <v>2</v>
      </c>
      <c r="I6608">
        <v>1</v>
      </c>
      <c r="M6608" t="s">
        <v>6733</v>
      </c>
    </row>
    <row r="6609" spans="1:13" ht="15" customHeight="1">
      <c r="A6609" s="10">
        <v>46198</v>
      </c>
      <c r="B6609" t="s">
        <v>201</v>
      </c>
      <c r="C6609" t="s">
        <v>150</v>
      </c>
      <c r="D6609">
        <v>3</v>
      </c>
      <c r="E6609">
        <v>0</v>
      </c>
      <c r="I6609">
        <v>3</v>
      </c>
      <c r="M6609" t="s">
        <v>6734</v>
      </c>
    </row>
    <row r="6610" spans="1:13" ht="15" customHeight="1">
      <c r="A6610" s="10">
        <v>46198</v>
      </c>
      <c r="B6610" t="s">
        <v>201</v>
      </c>
      <c r="C6610" t="s">
        <v>151</v>
      </c>
      <c r="D6610">
        <v>1</v>
      </c>
      <c r="E6610">
        <v>0</v>
      </c>
      <c r="I6610">
        <v>1</v>
      </c>
      <c r="M6610" t="s">
        <v>6735</v>
      </c>
    </row>
    <row r="6611" spans="1:13" ht="15" customHeight="1">
      <c r="A6611" s="10">
        <v>46198</v>
      </c>
      <c r="B6611" t="s">
        <v>201</v>
      </c>
      <c r="C6611" t="s">
        <v>152</v>
      </c>
      <c r="D6611">
        <v>2</v>
      </c>
      <c r="E6611">
        <v>0</v>
      </c>
      <c r="I6611">
        <v>2</v>
      </c>
      <c r="M6611" t="s">
        <v>6736</v>
      </c>
    </row>
    <row r="6612" spans="1:13" ht="15" customHeight="1">
      <c r="A6612" s="10">
        <v>46198</v>
      </c>
      <c r="B6612" t="s">
        <v>201</v>
      </c>
      <c r="C6612" t="s">
        <v>153</v>
      </c>
      <c r="D6612">
        <v>2</v>
      </c>
      <c r="E6612">
        <v>0</v>
      </c>
      <c r="I6612">
        <v>2</v>
      </c>
      <c r="M6612" t="s">
        <v>6737</v>
      </c>
    </row>
    <row r="6613" spans="1:13" ht="15" customHeight="1">
      <c r="A6613" s="10">
        <v>46198</v>
      </c>
      <c r="B6613" t="s">
        <v>201</v>
      </c>
      <c r="C6613" t="s">
        <v>308</v>
      </c>
      <c r="D6613">
        <v>0</v>
      </c>
      <c r="E6613">
        <v>5</v>
      </c>
      <c r="I6613">
        <v>0</v>
      </c>
      <c r="J6613">
        <v>5</v>
      </c>
      <c r="M6613" t="s">
        <v>6738</v>
      </c>
    </row>
    <row r="6614" spans="1:13" ht="15" customHeight="1">
      <c r="A6614" s="10">
        <v>46198</v>
      </c>
      <c r="B6614" t="s">
        <v>201</v>
      </c>
      <c r="C6614" t="s">
        <v>310</v>
      </c>
      <c r="D6614">
        <v>0</v>
      </c>
      <c r="E6614">
        <v>2</v>
      </c>
      <c r="I6614">
        <v>0</v>
      </c>
      <c r="J6614">
        <v>2</v>
      </c>
      <c r="M6614" t="s">
        <v>6739</v>
      </c>
    </row>
    <row r="6615" spans="1:13" ht="15" customHeight="1">
      <c r="A6615" s="10">
        <v>46198</v>
      </c>
      <c r="B6615" t="s">
        <v>201</v>
      </c>
      <c r="C6615" t="s">
        <v>312</v>
      </c>
      <c r="D6615">
        <v>0</v>
      </c>
      <c r="E6615">
        <v>5</v>
      </c>
      <c r="I6615">
        <v>0</v>
      </c>
      <c r="J6615">
        <v>4</v>
      </c>
      <c r="M6615" t="s">
        <v>6740</v>
      </c>
    </row>
    <row r="6616" spans="1:13" ht="15" customHeight="1">
      <c r="A6616" s="10">
        <v>46198</v>
      </c>
      <c r="B6616" t="s">
        <v>201</v>
      </c>
      <c r="C6616" t="s">
        <v>314</v>
      </c>
      <c r="D6616">
        <v>1</v>
      </c>
      <c r="E6616">
        <v>0</v>
      </c>
      <c r="I6616">
        <v>1</v>
      </c>
      <c r="M6616" t="s">
        <v>6741</v>
      </c>
    </row>
    <row r="6617" spans="1:13" ht="15" customHeight="1">
      <c r="A6617" s="10">
        <v>46198</v>
      </c>
      <c r="B6617" t="s">
        <v>201</v>
      </c>
      <c r="C6617" t="s">
        <v>316</v>
      </c>
      <c r="D6617">
        <v>1</v>
      </c>
      <c r="E6617">
        <v>0</v>
      </c>
      <c r="I6617">
        <v>1</v>
      </c>
      <c r="M6617" t="s">
        <v>6742</v>
      </c>
    </row>
    <row r="6618" spans="1:13" ht="15" customHeight="1">
      <c r="A6618" s="10">
        <v>46198</v>
      </c>
      <c r="B6618" t="s">
        <v>201</v>
      </c>
      <c r="C6618" t="s">
        <v>318</v>
      </c>
      <c r="D6618">
        <v>3</v>
      </c>
      <c r="E6618">
        <v>0</v>
      </c>
      <c r="I6618">
        <v>3</v>
      </c>
      <c r="M6618" t="s">
        <v>6743</v>
      </c>
    </row>
    <row r="6619" spans="1:13" ht="15" customHeight="1">
      <c r="A6619" s="10">
        <v>46198</v>
      </c>
      <c r="B6619" t="s">
        <v>201</v>
      </c>
      <c r="C6619" t="s">
        <v>320</v>
      </c>
      <c r="D6619">
        <v>2</v>
      </c>
      <c r="E6619">
        <v>0</v>
      </c>
      <c r="I6619">
        <v>2</v>
      </c>
      <c r="M6619" t="s">
        <v>6744</v>
      </c>
    </row>
    <row r="6620" spans="1:13" ht="15" customHeight="1">
      <c r="A6620" s="10">
        <v>46198</v>
      </c>
      <c r="B6620" t="s">
        <v>201</v>
      </c>
      <c r="C6620" t="s">
        <v>322</v>
      </c>
      <c r="D6620">
        <v>2</v>
      </c>
      <c r="E6620">
        <v>0</v>
      </c>
      <c r="I6620">
        <v>2</v>
      </c>
      <c r="M6620" t="s">
        <v>6745</v>
      </c>
    </row>
    <row r="6621" spans="1:13" ht="15" customHeight="1">
      <c r="A6621" s="10">
        <v>46198</v>
      </c>
      <c r="B6621" t="s">
        <v>201</v>
      </c>
      <c r="C6621" s="135" t="s">
        <v>168</v>
      </c>
      <c r="D6621">
        <v>1</v>
      </c>
      <c r="E6621">
        <v>0</v>
      </c>
      <c r="I6621">
        <v>1</v>
      </c>
      <c r="M6621" t="s">
        <v>6746</v>
      </c>
    </row>
    <row r="6622" spans="1:13" ht="15" customHeight="1">
      <c r="A6622" s="10">
        <v>46198</v>
      </c>
      <c r="B6622" t="s">
        <v>201</v>
      </c>
      <c r="C6622" s="135" t="s">
        <v>170</v>
      </c>
      <c r="D6622">
        <v>1</v>
      </c>
      <c r="E6622">
        <v>0</v>
      </c>
      <c r="I6622">
        <v>2</v>
      </c>
      <c r="M6622" t="s">
        <v>6747</v>
      </c>
    </row>
    <row r="6623" spans="1:13" ht="15" customHeight="1">
      <c r="A6623" s="10">
        <v>46198</v>
      </c>
      <c r="B6623" t="s">
        <v>201</v>
      </c>
      <c r="C6623" s="135" t="s">
        <v>171</v>
      </c>
      <c r="D6623">
        <v>3</v>
      </c>
      <c r="E6623">
        <v>0</v>
      </c>
      <c r="I6623">
        <v>3</v>
      </c>
      <c r="M6623" t="s">
        <v>6748</v>
      </c>
    </row>
    <row r="6624" spans="1:13" ht="15" customHeight="1">
      <c r="A6624" s="10">
        <v>46198</v>
      </c>
      <c r="B6624" t="s">
        <v>201</v>
      </c>
      <c r="C6624" s="135" t="s">
        <v>172</v>
      </c>
      <c r="D6624">
        <v>1</v>
      </c>
      <c r="E6624">
        <v>0</v>
      </c>
      <c r="I6624">
        <v>1</v>
      </c>
      <c r="M6624" t="s">
        <v>6749</v>
      </c>
    </row>
    <row r="6625" spans="1:13" ht="15" customHeight="1">
      <c r="A6625" s="10">
        <v>46198</v>
      </c>
      <c r="B6625" t="s">
        <v>201</v>
      </c>
      <c r="C6625" s="135" t="s">
        <v>173</v>
      </c>
      <c r="D6625">
        <v>0</v>
      </c>
      <c r="E6625">
        <v>0</v>
      </c>
      <c r="I6625">
        <v>0</v>
      </c>
      <c r="M6625" t="s">
        <v>6750</v>
      </c>
    </row>
    <row r="6626" spans="1:13" ht="15" customHeight="1">
      <c r="A6626" s="10">
        <v>46198</v>
      </c>
      <c r="B6626" t="s">
        <v>201</v>
      </c>
      <c r="C6626" t="s">
        <v>176</v>
      </c>
      <c r="D6626">
        <v>0</v>
      </c>
      <c r="E6626">
        <v>21</v>
      </c>
      <c r="I6626">
        <v>0</v>
      </c>
      <c r="J6626">
        <v>21</v>
      </c>
      <c r="M6626" t="s">
        <v>6751</v>
      </c>
    </row>
    <row r="6627" spans="1:13" ht="15" customHeight="1">
      <c r="A6627" s="10">
        <v>46198</v>
      </c>
      <c r="B6627" t="s">
        <v>201</v>
      </c>
      <c r="C6627" t="s">
        <v>178</v>
      </c>
      <c r="D6627">
        <v>0</v>
      </c>
      <c r="E6627">
        <v>22</v>
      </c>
      <c r="I6627">
        <v>0</v>
      </c>
      <c r="J6627">
        <v>22</v>
      </c>
      <c r="M6627" t="s">
        <v>6752</v>
      </c>
    </row>
    <row r="6628" spans="1:13" ht="15" customHeight="1">
      <c r="A6628" s="10">
        <v>46198</v>
      </c>
      <c r="B6628" t="s">
        <v>201</v>
      </c>
      <c r="C6628" t="s">
        <v>179</v>
      </c>
      <c r="D6628">
        <v>0</v>
      </c>
      <c r="E6628">
        <v>16</v>
      </c>
      <c r="H6628">
        <v>1</v>
      </c>
      <c r="I6628">
        <v>0</v>
      </c>
      <c r="J6628">
        <v>15</v>
      </c>
      <c r="M6628" t="s">
        <v>6753</v>
      </c>
    </row>
    <row r="6629" spans="1:13" ht="15" customHeight="1">
      <c r="A6629" s="10">
        <v>46198</v>
      </c>
      <c r="B6629" t="s">
        <v>201</v>
      </c>
      <c r="C6629" t="s">
        <v>180</v>
      </c>
      <c r="D6629">
        <v>0</v>
      </c>
      <c r="E6629">
        <v>16</v>
      </c>
      <c r="I6629">
        <v>0</v>
      </c>
      <c r="J6629">
        <v>16</v>
      </c>
      <c r="M6629" t="s">
        <v>6754</v>
      </c>
    </row>
    <row r="6630" spans="1:13" ht="15" customHeight="1">
      <c r="A6630" s="10">
        <v>46198</v>
      </c>
      <c r="B6630" t="s">
        <v>201</v>
      </c>
      <c r="C6630" s="135" t="s">
        <v>182</v>
      </c>
      <c r="D6630">
        <v>1</v>
      </c>
      <c r="E6630">
        <v>150</v>
      </c>
      <c r="I6630">
        <v>1</v>
      </c>
      <c r="J6630">
        <v>150</v>
      </c>
      <c r="M6630" t="s">
        <v>6755</v>
      </c>
    </row>
    <row r="6631" spans="1:13" ht="15" customHeight="1">
      <c r="A6631" s="10">
        <v>46198</v>
      </c>
      <c r="B6631" t="s">
        <v>201</v>
      </c>
      <c r="C6631" s="135" t="s">
        <v>184</v>
      </c>
      <c r="D6631">
        <v>0</v>
      </c>
      <c r="E6631">
        <v>76</v>
      </c>
      <c r="I6631">
        <v>0</v>
      </c>
      <c r="J6631">
        <v>70</v>
      </c>
      <c r="M6631" t="s">
        <v>6756</v>
      </c>
    </row>
    <row r="6632" spans="1:13" ht="15" customHeight="1">
      <c r="A6632" s="10">
        <v>46198</v>
      </c>
      <c r="B6632" t="s">
        <v>201</v>
      </c>
      <c r="C6632" s="135" t="s">
        <v>185</v>
      </c>
      <c r="D6632">
        <v>1</v>
      </c>
      <c r="E6632">
        <v>29</v>
      </c>
      <c r="I6632">
        <v>1</v>
      </c>
      <c r="J6632">
        <v>26</v>
      </c>
      <c r="M6632" t="s">
        <v>6757</v>
      </c>
    </row>
    <row r="6633" spans="1:13" ht="15" customHeight="1">
      <c r="A6633" s="10">
        <v>46198</v>
      </c>
      <c r="B6633" t="s">
        <v>201</v>
      </c>
      <c r="C6633" s="135" t="s">
        <v>186</v>
      </c>
      <c r="D6633">
        <v>1</v>
      </c>
      <c r="E6633">
        <v>520</v>
      </c>
      <c r="I6633">
        <v>1</v>
      </c>
      <c r="J6633">
        <v>500</v>
      </c>
      <c r="M6633" t="s">
        <v>6758</v>
      </c>
    </row>
    <row r="6634" spans="1:13" ht="15" customHeight="1">
      <c r="A6634" s="10">
        <v>46198</v>
      </c>
      <c r="B6634" t="s">
        <v>201</v>
      </c>
      <c r="C6634" t="s">
        <v>337</v>
      </c>
      <c r="D6634">
        <v>1</v>
      </c>
      <c r="E6634">
        <v>134</v>
      </c>
      <c r="I6634">
        <v>1</v>
      </c>
      <c r="J6634">
        <v>0</v>
      </c>
      <c r="M6634" t="s">
        <v>6759</v>
      </c>
    </row>
    <row r="6635" spans="1:13" ht="15" customHeight="1">
      <c r="A6635" s="10">
        <v>46198</v>
      </c>
      <c r="B6635" t="s">
        <v>201</v>
      </c>
      <c r="C6635" t="s">
        <v>339</v>
      </c>
      <c r="D6635">
        <v>0</v>
      </c>
      <c r="E6635">
        <v>0</v>
      </c>
      <c r="I6635">
        <v>0</v>
      </c>
      <c r="J6635">
        <v>0</v>
      </c>
      <c r="M6635" t="s">
        <v>6760</v>
      </c>
    </row>
    <row r="6636" spans="1:13" ht="15" customHeight="1">
      <c r="A6636" s="10">
        <v>46198</v>
      </c>
      <c r="B6636" t="s">
        <v>201</v>
      </c>
      <c r="C6636" s="135" t="s">
        <v>191</v>
      </c>
      <c r="D6636">
        <v>0</v>
      </c>
      <c r="E6636">
        <v>524</v>
      </c>
      <c r="I6636">
        <v>1</v>
      </c>
      <c r="J6636">
        <v>499</v>
      </c>
      <c r="M6636" t="s">
        <v>6761</v>
      </c>
    </row>
    <row r="6637" spans="1:13" ht="15" customHeight="1">
      <c r="A6637" s="10">
        <v>46198</v>
      </c>
      <c r="B6637" t="s">
        <v>201</v>
      </c>
      <c r="C6637" s="135" t="s">
        <v>193</v>
      </c>
      <c r="D6637">
        <v>0</v>
      </c>
      <c r="E6637">
        <v>503</v>
      </c>
      <c r="I6637">
        <v>0</v>
      </c>
      <c r="J6637">
        <v>516</v>
      </c>
      <c r="M6637" t="s">
        <v>6762</v>
      </c>
    </row>
    <row r="6638" spans="1:13" ht="15" customHeight="1">
      <c r="A6638" s="10">
        <v>46198</v>
      </c>
      <c r="B6638" t="s">
        <v>201</v>
      </c>
      <c r="C6638" s="135" t="s">
        <v>194</v>
      </c>
      <c r="D6638">
        <v>1</v>
      </c>
      <c r="E6638">
        <v>16</v>
      </c>
      <c r="I6638">
        <v>0</v>
      </c>
      <c r="J6638">
        <v>16</v>
      </c>
      <c r="M6638" t="s">
        <v>6763</v>
      </c>
    </row>
    <row r="6639" spans="1:13" ht="15" customHeight="1">
      <c r="A6639" s="10">
        <v>46198</v>
      </c>
      <c r="B6639" t="s">
        <v>201</v>
      </c>
      <c r="C6639" s="135" t="s">
        <v>196</v>
      </c>
      <c r="D6639">
        <v>0</v>
      </c>
      <c r="E6639">
        <v>446</v>
      </c>
      <c r="I6639">
        <v>0</v>
      </c>
      <c r="J6639">
        <v>446</v>
      </c>
      <c r="M6639" t="s">
        <v>6764</v>
      </c>
    </row>
    <row r="6640" spans="1:13" ht="15" customHeight="1">
      <c r="A6640" s="10">
        <v>46198</v>
      </c>
      <c r="B6640" t="s">
        <v>201</v>
      </c>
      <c r="C6640" s="135" t="s">
        <v>199</v>
      </c>
      <c r="D6640">
        <v>0</v>
      </c>
      <c r="E6640">
        <v>392</v>
      </c>
      <c r="I6640">
        <v>0</v>
      </c>
      <c r="J6640">
        <v>328</v>
      </c>
      <c r="M6640" t="s">
        <v>6765</v>
      </c>
    </row>
    <row r="6641" spans="1:13" ht="15" customHeight="1">
      <c r="A6641" s="10">
        <v>46198</v>
      </c>
      <c r="B6641" t="s">
        <v>201</v>
      </c>
      <c r="C6641" s="135" t="s">
        <v>200</v>
      </c>
      <c r="D6641">
        <v>0</v>
      </c>
      <c r="E6641">
        <v>753</v>
      </c>
      <c r="I6641">
        <v>0</v>
      </c>
      <c r="J6641">
        <v>705</v>
      </c>
      <c r="M6641" t="s">
        <v>6766</v>
      </c>
    </row>
    <row r="6642" spans="1:13" ht="15" customHeight="1">
      <c r="A6642" s="10">
        <v>46198</v>
      </c>
      <c r="B6642" t="s">
        <v>201</v>
      </c>
      <c r="C6642" s="135" t="s">
        <v>202</v>
      </c>
      <c r="D6642">
        <v>0</v>
      </c>
      <c r="E6642">
        <v>615</v>
      </c>
      <c r="I6642">
        <v>0</v>
      </c>
      <c r="J6642">
        <v>584</v>
      </c>
      <c r="M6642" t="s">
        <v>6767</v>
      </c>
    </row>
    <row r="6643" spans="1:13" ht="15" customHeight="1">
      <c r="A6643" s="10">
        <v>46199</v>
      </c>
      <c r="B6643" t="s">
        <v>201</v>
      </c>
      <c r="C6643" t="s">
        <v>23</v>
      </c>
      <c r="D6643">
        <v>4</v>
      </c>
      <c r="E6643">
        <v>1529</v>
      </c>
      <c r="I6643">
        <v>4</v>
      </c>
      <c r="J6643">
        <v>636</v>
      </c>
      <c r="M6643" t="s">
        <v>6768</v>
      </c>
    </row>
    <row r="6644" spans="1:13" ht="15" customHeight="1">
      <c r="A6644" s="10">
        <v>46199</v>
      </c>
      <c r="B6644" t="s">
        <v>201</v>
      </c>
      <c r="C6644" t="s">
        <v>26</v>
      </c>
      <c r="D6644">
        <v>2</v>
      </c>
      <c r="E6644">
        <v>557</v>
      </c>
      <c r="I6644">
        <v>2</v>
      </c>
      <c r="J6644">
        <v>542</v>
      </c>
      <c r="M6644" t="s">
        <v>6769</v>
      </c>
    </row>
    <row r="6645" spans="1:13" ht="15" customHeight="1">
      <c r="A6645" s="10">
        <v>46199</v>
      </c>
      <c r="B6645" t="s">
        <v>201</v>
      </c>
      <c r="C6645" t="s">
        <v>27</v>
      </c>
      <c r="D6645">
        <v>2</v>
      </c>
      <c r="E6645">
        <v>247</v>
      </c>
      <c r="I6645">
        <v>1</v>
      </c>
      <c r="J6645">
        <v>1068</v>
      </c>
      <c r="M6645" t="s">
        <v>6770</v>
      </c>
    </row>
    <row r="6646" spans="1:13" ht="15" customHeight="1">
      <c r="A6646" s="10">
        <v>46199</v>
      </c>
      <c r="B6646" t="s">
        <v>201</v>
      </c>
      <c r="C6646" t="s">
        <v>28</v>
      </c>
      <c r="D6646">
        <v>0</v>
      </c>
      <c r="E6646">
        <v>0</v>
      </c>
      <c r="I6646">
        <v>0</v>
      </c>
      <c r="J6646">
        <v>0</v>
      </c>
      <c r="M6646" t="s">
        <v>6771</v>
      </c>
    </row>
    <row r="6647" spans="1:13" ht="15" customHeight="1">
      <c r="A6647" s="10">
        <v>46199</v>
      </c>
      <c r="B6647" t="s">
        <v>201</v>
      </c>
      <c r="C6647" t="s">
        <v>29</v>
      </c>
      <c r="D6647">
        <v>1</v>
      </c>
      <c r="E6647">
        <v>934</v>
      </c>
      <c r="I6647">
        <v>1</v>
      </c>
      <c r="J6647">
        <v>914</v>
      </c>
      <c r="M6647" t="s">
        <v>6772</v>
      </c>
    </row>
    <row r="6648" spans="1:13" ht="15" customHeight="1">
      <c r="A6648" s="10">
        <v>46199</v>
      </c>
      <c r="B6648" t="s">
        <v>201</v>
      </c>
      <c r="C6648" t="s">
        <v>30</v>
      </c>
      <c r="D6648">
        <v>1</v>
      </c>
      <c r="E6648">
        <v>494</v>
      </c>
      <c r="I6648">
        <v>1</v>
      </c>
      <c r="J6648">
        <v>326</v>
      </c>
      <c r="M6648" t="s">
        <v>6773</v>
      </c>
    </row>
    <row r="6649" spans="1:13" ht="15" customHeight="1">
      <c r="A6649" s="10">
        <v>46199</v>
      </c>
      <c r="B6649" t="s">
        <v>201</v>
      </c>
      <c r="C6649" t="s">
        <v>31</v>
      </c>
      <c r="D6649">
        <v>0</v>
      </c>
      <c r="E6649">
        <v>790</v>
      </c>
      <c r="I6649">
        <v>0</v>
      </c>
      <c r="J6649">
        <v>767</v>
      </c>
      <c r="M6649" t="s">
        <v>6774</v>
      </c>
    </row>
    <row r="6650" spans="1:13" ht="15" customHeight="1">
      <c r="A6650" s="10">
        <v>46199</v>
      </c>
      <c r="B6650" t="s">
        <v>201</v>
      </c>
      <c r="C6650" t="s">
        <v>32</v>
      </c>
      <c r="D6650">
        <v>0</v>
      </c>
      <c r="E6650">
        <v>165</v>
      </c>
      <c r="I6650">
        <v>0</v>
      </c>
      <c r="M6650" t="s">
        <v>6775</v>
      </c>
    </row>
    <row r="6651" spans="1:13" ht="15" customHeight="1">
      <c r="A6651" s="10">
        <v>46199</v>
      </c>
      <c r="B6651" t="s">
        <v>201</v>
      </c>
      <c r="C6651" t="s">
        <v>223</v>
      </c>
      <c r="D6651">
        <v>4</v>
      </c>
      <c r="E6651">
        <v>908</v>
      </c>
      <c r="I6651">
        <v>4</v>
      </c>
      <c r="J6651">
        <v>463</v>
      </c>
      <c r="M6651" t="s">
        <v>6776</v>
      </c>
    </row>
    <row r="6652" spans="1:13" ht="15" customHeight="1">
      <c r="A6652" s="10">
        <v>46199</v>
      </c>
      <c r="B6652" t="s">
        <v>201</v>
      </c>
      <c r="C6652" t="s">
        <v>35</v>
      </c>
      <c r="D6652">
        <v>6</v>
      </c>
      <c r="E6652">
        <v>0</v>
      </c>
      <c r="I6652">
        <v>6</v>
      </c>
      <c r="M6652" t="s">
        <v>6777</v>
      </c>
    </row>
    <row r="6653" spans="1:13" ht="15" customHeight="1">
      <c r="A6653" s="10">
        <v>46199</v>
      </c>
      <c r="B6653" t="s">
        <v>201</v>
      </c>
      <c r="C6653" t="s">
        <v>37</v>
      </c>
      <c r="D6653">
        <v>4</v>
      </c>
      <c r="E6653">
        <v>0</v>
      </c>
      <c r="I6653">
        <v>4</v>
      </c>
      <c r="M6653" t="s">
        <v>6778</v>
      </c>
    </row>
    <row r="6654" spans="1:13" ht="15" customHeight="1">
      <c r="A6654" s="10">
        <v>46199</v>
      </c>
      <c r="B6654" t="s">
        <v>201</v>
      </c>
      <c r="C6654" t="s">
        <v>39</v>
      </c>
      <c r="D6654">
        <v>21</v>
      </c>
      <c r="E6654">
        <v>0</v>
      </c>
      <c r="I6654">
        <v>21</v>
      </c>
      <c r="M6654" t="s">
        <v>6779</v>
      </c>
    </row>
    <row r="6655" spans="1:13" ht="15" customHeight="1">
      <c r="A6655" s="10">
        <v>46199</v>
      </c>
      <c r="B6655" t="s">
        <v>201</v>
      </c>
      <c r="C6655" t="s">
        <v>41</v>
      </c>
      <c r="D6655">
        <v>15</v>
      </c>
      <c r="E6655">
        <v>0</v>
      </c>
      <c r="I6655">
        <v>15</v>
      </c>
      <c r="M6655" t="s">
        <v>6780</v>
      </c>
    </row>
    <row r="6656" spans="1:13" ht="15" customHeight="1">
      <c r="A6656" s="10">
        <v>46199</v>
      </c>
      <c r="B6656" t="s">
        <v>201</v>
      </c>
      <c r="C6656" s="135" t="s">
        <v>44</v>
      </c>
      <c r="D6656">
        <v>5</v>
      </c>
      <c r="E6656">
        <v>6342</v>
      </c>
      <c r="I6656">
        <v>5</v>
      </c>
      <c r="J6656">
        <v>5380</v>
      </c>
      <c r="M6656" t="s">
        <v>6781</v>
      </c>
    </row>
    <row r="6657" spans="1:13" ht="15" customHeight="1">
      <c r="A6657" s="10">
        <v>46199</v>
      </c>
      <c r="B6657" t="s">
        <v>201</v>
      </c>
      <c r="C6657" t="s">
        <v>230</v>
      </c>
      <c r="D6657">
        <v>1</v>
      </c>
      <c r="E6657">
        <v>664</v>
      </c>
      <c r="I6657">
        <v>1</v>
      </c>
      <c r="J6657">
        <v>631</v>
      </c>
      <c r="M6657" t="s">
        <v>6782</v>
      </c>
    </row>
    <row r="6658" spans="1:13" ht="15" customHeight="1">
      <c r="A6658" s="10">
        <v>46199</v>
      </c>
      <c r="B6658" t="s">
        <v>201</v>
      </c>
      <c r="C6658" t="s">
        <v>232</v>
      </c>
      <c r="D6658">
        <v>11</v>
      </c>
      <c r="E6658">
        <v>0</v>
      </c>
      <c r="I6658">
        <v>11</v>
      </c>
      <c r="M6658" t="s">
        <v>6783</v>
      </c>
    </row>
    <row r="6659" spans="1:13" ht="15" customHeight="1">
      <c r="A6659" s="10">
        <v>46199</v>
      </c>
      <c r="B6659" t="s">
        <v>201</v>
      </c>
      <c r="C6659" t="s">
        <v>234</v>
      </c>
      <c r="D6659">
        <v>78</v>
      </c>
      <c r="E6659">
        <v>0</v>
      </c>
      <c r="H6659">
        <v>5</v>
      </c>
      <c r="I6659">
        <v>73</v>
      </c>
      <c r="M6659" t="s">
        <v>6784</v>
      </c>
    </row>
    <row r="6660" spans="1:13" ht="15" customHeight="1">
      <c r="A6660" s="10">
        <v>46199</v>
      </c>
      <c r="B6660" t="s">
        <v>201</v>
      </c>
      <c r="C6660" t="s">
        <v>54</v>
      </c>
      <c r="D6660">
        <v>0</v>
      </c>
      <c r="E6660">
        <v>0</v>
      </c>
      <c r="I6660">
        <v>0</v>
      </c>
      <c r="M6660" t="s">
        <v>6785</v>
      </c>
    </row>
    <row r="6661" spans="1:13" ht="15" customHeight="1">
      <c r="A6661" s="10">
        <v>46199</v>
      </c>
      <c r="B6661" t="s">
        <v>201</v>
      </c>
      <c r="C6661" t="s">
        <v>237</v>
      </c>
      <c r="D6661">
        <v>23</v>
      </c>
      <c r="E6661">
        <v>0</v>
      </c>
      <c r="I6661">
        <v>13</v>
      </c>
      <c r="M6661" t="s">
        <v>6786</v>
      </c>
    </row>
    <row r="6662" spans="1:13" ht="15" customHeight="1">
      <c r="A6662" s="10">
        <v>46199</v>
      </c>
      <c r="B6662" t="s">
        <v>201</v>
      </c>
      <c r="C6662" s="135" t="s">
        <v>58</v>
      </c>
      <c r="D6662">
        <v>0</v>
      </c>
      <c r="E6662">
        <v>0</v>
      </c>
      <c r="I6662">
        <v>0</v>
      </c>
      <c r="M6662" t="s">
        <v>6787</v>
      </c>
    </row>
    <row r="6663" spans="1:13" ht="15" customHeight="1">
      <c r="A6663" s="10">
        <v>46199</v>
      </c>
      <c r="B6663" t="s">
        <v>201</v>
      </c>
      <c r="C6663" s="135" t="s">
        <v>60</v>
      </c>
      <c r="D6663">
        <v>10</v>
      </c>
      <c r="E6663">
        <v>0</v>
      </c>
      <c r="I6663">
        <v>10</v>
      </c>
      <c r="M6663" t="s">
        <v>6788</v>
      </c>
    </row>
    <row r="6664" spans="1:13" ht="15" customHeight="1">
      <c r="A6664" s="10">
        <v>46199</v>
      </c>
      <c r="B6664" t="s">
        <v>201</v>
      </c>
      <c r="C6664" s="135" t="s">
        <v>61</v>
      </c>
      <c r="D6664">
        <v>2</v>
      </c>
      <c r="E6664">
        <v>0</v>
      </c>
      <c r="I6664">
        <v>2</v>
      </c>
      <c r="M6664" t="s">
        <v>6789</v>
      </c>
    </row>
    <row r="6665" spans="1:13" ht="15" customHeight="1">
      <c r="A6665" s="10">
        <v>46199</v>
      </c>
      <c r="B6665" t="s">
        <v>201</v>
      </c>
      <c r="C6665" s="135" t="s">
        <v>62</v>
      </c>
      <c r="D6665">
        <v>3</v>
      </c>
      <c r="E6665">
        <v>0</v>
      </c>
      <c r="I6665">
        <v>3</v>
      </c>
      <c r="M6665" t="s">
        <v>6790</v>
      </c>
    </row>
    <row r="6666" spans="1:13" ht="15" customHeight="1">
      <c r="A6666" s="10">
        <v>46199</v>
      </c>
      <c r="B6666" t="s">
        <v>201</v>
      </c>
      <c r="C6666" s="135" t="s">
        <v>63</v>
      </c>
      <c r="D6666">
        <v>4</v>
      </c>
      <c r="E6666">
        <v>0</v>
      </c>
      <c r="I6666">
        <v>3</v>
      </c>
      <c r="M6666" t="s">
        <v>6791</v>
      </c>
    </row>
    <row r="6667" spans="1:13" ht="15" customHeight="1">
      <c r="A6667" s="10">
        <v>46199</v>
      </c>
      <c r="B6667" t="s">
        <v>201</v>
      </c>
      <c r="C6667" s="135" t="s">
        <v>64</v>
      </c>
      <c r="D6667">
        <v>6</v>
      </c>
      <c r="E6667">
        <v>0</v>
      </c>
      <c r="H6667">
        <v>1</v>
      </c>
      <c r="I6667">
        <v>6</v>
      </c>
      <c r="M6667" t="s">
        <v>6792</v>
      </c>
    </row>
    <row r="6668" spans="1:13" ht="15" customHeight="1">
      <c r="A6668" s="10">
        <v>46199</v>
      </c>
      <c r="B6668" t="s">
        <v>201</v>
      </c>
      <c r="C6668" t="s">
        <v>66</v>
      </c>
      <c r="D6668">
        <v>5</v>
      </c>
      <c r="E6668">
        <v>0</v>
      </c>
      <c r="I6668">
        <v>5</v>
      </c>
      <c r="M6668" t="s">
        <v>6793</v>
      </c>
    </row>
    <row r="6669" spans="1:13" ht="15" customHeight="1">
      <c r="A6669" s="10">
        <v>46199</v>
      </c>
      <c r="B6669" t="s">
        <v>201</v>
      </c>
      <c r="C6669" t="s">
        <v>67</v>
      </c>
      <c r="D6669">
        <v>5</v>
      </c>
      <c r="E6669">
        <v>0</v>
      </c>
      <c r="I6669">
        <v>5</v>
      </c>
      <c r="M6669" t="s">
        <v>6794</v>
      </c>
    </row>
    <row r="6670" spans="1:13" ht="15" customHeight="1">
      <c r="A6670" s="10">
        <v>46199</v>
      </c>
      <c r="B6670" t="s">
        <v>201</v>
      </c>
      <c r="C6670" t="s">
        <v>68</v>
      </c>
      <c r="D6670">
        <v>2</v>
      </c>
      <c r="E6670">
        <v>0</v>
      </c>
      <c r="I6670">
        <v>2</v>
      </c>
      <c r="M6670" t="s">
        <v>6795</v>
      </c>
    </row>
    <row r="6671" spans="1:13" ht="15" customHeight="1">
      <c r="A6671" s="10">
        <v>46199</v>
      </c>
      <c r="B6671" t="s">
        <v>201</v>
      </c>
      <c r="C6671" t="s">
        <v>71</v>
      </c>
      <c r="D6671">
        <v>1</v>
      </c>
      <c r="E6671">
        <v>428</v>
      </c>
      <c r="I6671">
        <v>1</v>
      </c>
      <c r="J6671">
        <v>415</v>
      </c>
      <c r="M6671" t="s">
        <v>6796</v>
      </c>
    </row>
    <row r="6672" spans="1:13" ht="15" customHeight="1">
      <c r="A6672" s="10">
        <v>46199</v>
      </c>
      <c r="B6672" t="s">
        <v>201</v>
      </c>
      <c r="C6672" t="s">
        <v>73</v>
      </c>
      <c r="D6672">
        <v>2</v>
      </c>
      <c r="E6672">
        <v>319</v>
      </c>
      <c r="I6672">
        <v>2</v>
      </c>
      <c r="J6672">
        <v>270</v>
      </c>
      <c r="M6672" t="s">
        <v>6797</v>
      </c>
    </row>
    <row r="6673" spans="1:13" ht="15" customHeight="1">
      <c r="A6673" s="10">
        <v>46199</v>
      </c>
      <c r="B6673" t="s">
        <v>201</v>
      </c>
      <c r="C6673" t="s">
        <v>75</v>
      </c>
      <c r="D6673">
        <v>1</v>
      </c>
      <c r="E6673">
        <v>261</v>
      </c>
      <c r="I6673">
        <v>1</v>
      </c>
      <c r="J6673">
        <v>216</v>
      </c>
      <c r="M6673" t="s">
        <v>6798</v>
      </c>
    </row>
    <row r="6674" spans="1:13" ht="15" customHeight="1">
      <c r="A6674" s="10">
        <v>46199</v>
      </c>
      <c r="B6674" t="s">
        <v>201</v>
      </c>
      <c r="C6674" t="s">
        <v>77</v>
      </c>
      <c r="D6674">
        <v>1</v>
      </c>
      <c r="E6674">
        <v>210</v>
      </c>
      <c r="I6674">
        <v>1</v>
      </c>
      <c r="J6674">
        <v>180</v>
      </c>
      <c r="M6674" t="s">
        <v>6799</v>
      </c>
    </row>
    <row r="6675" spans="1:13" ht="15" customHeight="1">
      <c r="A6675" s="10">
        <v>46199</v>
      </c>
      <c r="B6675" t="s">
        <v>201</v>
      </c>
      <c r="C6675" t="s">
        <v>79</v>
      </c>
      <c r="D6675">
        <v>0</v>
      </c>
      <c r="E6675">
        <v>2218</v>
      </c>
      <c r="I6675">
        <v>0</v>
      </c>
      <c r="J6675">
        <v>2124</v>
      </c>
      <c r="M6675" t="s">
        <v>6800</v>
      </c>
    </row>
    <row r="6676" spans="1:13" ht="15" customHeight="1">
      <c r="A6676" s="10">
        <v>46199</v>
      </c>
      <c r="B6676" t="s">
        <v>201</v>
      </c>
      <c r="C6676" t="s">
        <v>81</v>
      </c>
      <c r="D6676">
        <v>1</v>
      </c>
      <c r="E6676">
        <v>295</v>
      </c>
      <c r="I6676">
        <v>1</v>
      </c>
      <c r="J6676">
        <v>295</v>
      </c>
      <c r="M6676" t="s">
        <v>6801</v>
      </c>
    </row>
    <row r="6677" spans="1:13" ht="15" customHeight="1">
      <c r="A6677" s="10">
        <v>46199</v>
      </c>
      <c r="B6677" t="s">
        <v>201</v>
      </c>
      <c r="C6677" t="s">
        <v>83</v>
      </c>
      <c r="D6677">
        <v>0</v>
      </c>
      <c r="E6677">
        <v>323</v>
      </c>
      <c r="I6677">
        <v>0</v>
      </c>
      <c r="J6677">
        <v>411</v>
      </c>
      <c r="M6677" t="s">
        <v>6802</v>
      </c>
    </row>
    <row r="6678" spans="1:13" ht="15" customHeight="1">
      <c r="A6678" s="10">
        <v>46199</v>
      </c>
      <c r="B6678" t="s">
        <v>201</v>
      </c>
      <c r="C6678" t="s">
        <v>84</v>
      </c>
      <c r="D6678">
        <v>1</v>
      </c>
      <c r="E6678">
        <v>282</v>
      </c>
      <c r="I6678">
        <v>1</v>
      </c>
      <c r="J6678">
        <v>282</v>
      </c>
      <c r="M6678" t="s">
        <v>6803</v>
      </c>
    </row>
    <row r="6679" spans="1:13" ht="15" customHeight="1">
      <c r="A6679" s="10">
        <v>46199</v>
      </c>
      <c r="B6679" t="s">
        <v>201</v>
      </c>
      <c r="C6679" t="s">
        <v>85</v>
      </c>
      <c r="D6679">
        <v>0</v>
      </c>
      <c r="E6679">
        <v>200</v>
      </c>
      <c r="I6679">
        <v>0</v>
      </c>
      <c r="J6679">
        <v>200</v>
      </c>
      <c r="M6679" t="s">
        <v>6804</v>
      </c>
    </row>
    <row r="6680" spans="1:13" ht="15" customHeight="1">
      <c r="A6680" s="10">
        <v>46199</v>
      </c>
      <c r="B6680" t="s">
        <v>201</v>
      </c>
      <c r="C6680" t="s">
        <v>87</v>
      </c>
      <c r="D6680">
        <v>2</v>
      </c>
      <c r="E6680">
        <v>68</v>
      </c>
      <c r="I6680">
        <v>2</v>
      </c>
      <c r="J6680">
        <v>67</v>
      </c>
      <c r="M6680" t="s">
        <v>6805</v>
      </c>
    </row>
    <row r="6681" spans="1:13" ht="15" customHeight="1">
      <c r="A6681" s="10">
        <v>46199</v>
      </c>
      <c r="B6681" t="s">
        <v>201</v>
      </c>
      <c r="C6681" t="s">
        <v>88</v>
      </c>
      <c r="D6681">
        <v>1</v>
      </c>
      <c r="E6681">
        <v>250</v>
      </c>
      <c r="I6681">
        <v>1</v>
      </c>
      <c r="J6681">
        <v>250</v>
      </c>
      <c r="M6681" t="s">
        <v>6806</v>
      </c>
    </row>
    <row r="6682" spans="1:13" ht="15" customHeight="1">
      <c r="A6682" s="10">
        <v>46199</v>
      </c>
      <c r="B6682" t="s">
        <v>201</v>
      </c>
      <c r="C6682" t="s">
        <v>89</v>
      </c>
      <c r="D6682">
        <v>1</v>
      </c>
      <c r="E6682">
        <v>266</v>
      </c>
      <c r="I6682">
        <v>1</v>
      </c>
      <c r="J6682">
        <v>240</v>
      </c>
      <c r="M6682" t="s">
        <v>6807</v>
      </c>
    </row>
    <row r="6683" spans="1:13" ht="15" customHeight="1">
      <c r="A6683" s="10">
        <v>46199</v>
      </c>
      <c r="B6683" t="s">
        <v>201</v>
      </c>
      <c r="C6683" t="s">
        <v>90</v>
      </c>
      <c r="D6683">
        <v>0</v>
      </c>
      <c r="E6683">
        <v>0</v>
      </c>
      <c r="I6683">
        <v>0</v>
      </c>
      <c r="J6683">
        <v>537</v>
      </c>
      <c r="M6683" t="s">
        <v>6808</v>
      </c>
    </row>
    <row r="6684" spans="1:13" ht="15" customHeight="1">
      <c r="A6684" s="10">
        <v>46199</v>
      </c>
      <c r="B6684" t="s">
        <v>201</v>
      </c>
      <c r="C6684" t="s">
        <v>92</v>
      </c>
      <c r="D6684">
        <v>0</v>
      </c>
      <c r="E6684">
        <v>1110</v>
      </c>
      <c r="I6684">
        <v>0</v>
      </c>
      <c r="J6684">
        <v>1094</v>
      </c>
      <c r="M6684" t="s">
        <v>6809</v>
      </c>
    </row>
    <row r="6685" spans="1:13" ht="15" customHeight="1">
      <c r="A6685" s="10">
        <v>46199</v>
      </c>
      <c r="B6685" t="s">
        <v>201</v>
      </c>
      <c r="C6685" t="s">
        <v>94</v>
      </c>
      <c r="D6685">
        <v>2</v>
      </c>
      <c r="E6685">
        <v>576</v>
      </c>
      <c r="I6685">
        <v>2</v>
      </c>
      <c r="J6685">
        <v>486</v>
      </c>
      <c r="M6685" t="s">
        <v>6810</v>
      </c>
    </row>
    <row r="6686" spans="1:13" ht="15" customHeight="1">
      <c r="A6686" s="10">
        <v>46199</v>
      </c>
      <c r="B6686" t="s">
        <v>201</v>
      </c>
      <c r="C6686" t="s">
        <v>96</v>
      </c>
      <c r="D6686">
        <v>0</v>
      </c>
      <c r="E6686">
        <v>0</v>
      </c>
      <c r="I6686">
        <v>0</v>
      </c>
      <c r="J6686">
        <v>0</v>
      </c>
      <c r="M6686" t="s">
        <v>6811</v>
      </c>
    </row>
    <row r="6687" spans="1:13" ht="15" customHeight="1">
      <c r="A6687" s="10">
        <v>46199</v>
      </c>
      <c r="B6687" t="s">
        <v>201</v>
      </c>
      <c r="C6687" t="s">
        <v>98</v>
      </c>
      <c r="D6687">
        <v>0</v>
      </c>
      <c r="E6687">
        <v>340</v>
      </c>
      <c r="I6687">
        <v>0</v>
      </c>
      <c r="J6687">
        <v>288</v>
      </c>
      <c r="M6687" t="s">
        <v>6812</v>
      </c>
    </row>
    <row r="6688" spans="1:13" ht="15" customHeight="1">
      <c r="A6688" s="10">
        <v>46199</v>
      </c>
      <c r="B6688" t="s">
        <v>201</v>
      </c>
      <c r="C6688" t="s">
        <v>203</v>
      </c>
      <c r="D6688">
        <v>1</v>
      </c>
      <c r="E6688">
        <v>0</v>
      </c>
      <c r="I6688">
        <v>1</v>
      </c>
      <c r="J6688">
        <v>0</v>
      </c>
      <c r="M6688" t="s">
        <v>6813</v>
      </c>
    </row>
    <row r="6689" spans="1:13" ht="15" customHeight="1">
      <c r="A6689" s="10">
        <v>46199</v>
      </c>
      <c r="B6689" t="s">
        <v>201</v>
      </c>
      <c r="C6689" t="s">
        <v>100</v>
      </c>
      <c r="D6689">
        <v>0</v>
      </c>
      <c r="E6689">
        <v>0</v>
      </c>
      <c r="I6689">
        <v>0</v>
      </c>
      <c r="J6689">
        <v>0</v>
      </c>
      <c r="M6689" t="s">
        <v>6814</v>
      </c>
    </row>
    <row r="6690" spans="1:13" ht="15" customHeight="1">
      <c r="A6690" s="10">
        <v>46199</v>
      </c>
      <c r="B6690" t="s">
        <v>201</v>
      </c>
      <c r="C6690" t="s">
        <v>101</v>
      </c>
      <c r="D6690">
        <v>1</v>
      </c>
      <c r="E6690">
        <v>408</v>
      </c>
      <c r="I6690">
        <v>1</v>
      </c>
      <c r="J6690">
        <v>389</v>
      </c>
      <c r="M6690" t="s">
        <v>6815</v>
      </c>
    </row>
    <row r="6691" spans="1:13" ht="15" customHeight="1">
      <c r="A6691" s="10">
        <v>46199</v>
      </c>
      <c r="B6691" t="s">
        <v>201</v>
      </c>
      <c r="C6691" t="s">
        <v>103</v>
      </c>
      <c r="D6691">
        <v>0</v>
      </c>
      <c r="E6691">
        <v>7</v>
      </c>
      <c r="I6691">
        <v>0</v>
      </c>
      <c r="J6691">
        <v>5</v>
      </c>
      <c r="M6691" t="s">
        <v>6816</v>
      </c>
    </row>
    <row r="6692" spans="1:13" ht="15" customHeight="1">
      <c r="A6692" s="10">
        <v>46199</v>
      </c>
      <c r="B6692" t="s">
        <v>201</v>
      </c>
      <c r="C6692" t="s">
        <v>106</v>
      </c>
      <c r="D6692">
        <v>0</v>
      </c>
      <c r="E6692">
        <v>1090</v>
      </c>
      <c r="I6692">
        <v>0</v>
      </c>
      <c r="J6692">
        <v>1040</v>
      </c>
      <c r="M6692" t="s">
        <v>6817</v>
      </c>
    </row>
    <row r="6693" spans="1:13" ht="15" customHeight="1">
      <c r="A6693" s="10">
        <v>46199</v>
      </c>
      <c r="B6693" t="s">
        <v>201</v>
      </c>
      <c r="C6693" t="s">
        <v>108</v>
      </c>
      <c r="D6693">
        <v>1</v>
      </c>
      <c r="E6693">
        <v>820</v>
      </c>
      <c r="I6693">
        <v>1</v>
      </c>
      <c r="J6693">
        <v>820</v>
      </c>
      <c r="M6693" t="s">
        <v>6818</v>
      </c>
    </row>
    <row r="6694" spans="1:13" ht="15" customHeight="1">
      <c r="A6694" s="10">
        <v>46199</v>
      </c>
      <c r="B6694" t="s">
        <v>201</v>
      </c>
      <c r="C6694" t="s">
        <v>109</v>
      </c>
      <c r="D6694">
        <v>1</v>
      </c>
      <c r="E6694">
        <v>538</v>
      </c>
      <c r="I6694">
        <v>1</v>
      </c>
      <c r="J6694">
        <v>508</v>
      </c>
      <c r="M6694" t="s">
        <v>6819</v>
      </c>
    </row>
    <row r="6695" spans="1:13" ht="15" customHeight="1">
      <c r="A6695" s="10">
        <v>46199</v>
      </c>
      <c r="B6695" t="s">
        <v>201</v>
      </c>
      <c r="C6695" t="s">
        <v>112</v>
      </c>
      <c r="D6695">
        <v>1</v>
      </c>
      <c r="E6695">
        <v>10</v>
      </c>
      <c r="I6695">
        <v>1</v>
      </c>
      <c r="J6695">
        <v>7</v>
      </c>
      <c r="M6695" t="s">
        <v>6820</v>
      </c>
    </row>
    <row r="6696" spans="1:13" ht="15" customHeight="1">
      <c r="A6696" s="10">
        <v>46199</v>
      </c>
      <c r="B6696" t="s">
        <v>201</v>
      </c>
      <c r="C6696" t="s">
        <v>114</v>
      </c>
      <c r="D6696">
        <v>2</v>
      </c>
      <c r="E6696">
        <v>40</v>
      </c>
      <c r="I6696">
        <v>2</v>
      </c>
      <c r="J6696">
        <v>30</v>
      </c>
      <c r="M6696" t="s">
        <v>6821</v>
      </c>
    </row>
    <row r="6697" spans="1:13" ht="15" customHeight="1">
      <c r="A6697" s="10">
        <v>46199</v>
      </c>
      <c r="B6697" t="s">
        <v>201</v>
      </c>
      <c r="C6697" t="s">
        <v>115</v>
      </c>
      <c r="D6697">
        <v>0</v>
      </c>
      <c r="E6697">
        <v>40</v>
      </c>
      <c r="I6697">
        <v>0</v>
      </c>
      <c r="J6697">
        <v>37</v>
      </c>
      <c r="M6697" t="s">
        <v>6822</v>
      </c>
    </row>
    <row r="6698" spans="1:13" ht="15" customHeight="1">
      <c r="A6698" s="10">
        <v>46199</v>
      </c>
      <c r="B6698" t="s">
        <v>201</v>
      </c>
      <c r="C6698" t="s">
        <v>116</v>
      </c>
      <c r="D6698">
        <v>2</v>
      </c>
      <c r="E6698">
        <v>40</v>
      </c>
      <c r="I6698">
        <v>2</v>
      </c>
      <c r="J6698">
        <v>34</v>
      </c>
      <c r="M6698" t="s">
        <v>6823</v>
      </c>
    </row>
    <row r="6699" spans="1:13" ht="15" customHeight="1">
      <c r="A6699" s="10">
        <v>46199</v>
      </c>
      <c r="B6699" t="s">
        <v>201</v>
      </c>
      <c r="C6699" t="s">
        <v>119</v>
      </c>
      <c r="D6699">
        <v>2</v>
      </c>
      <c r="E6699">
        <v>0</v>
      </c>
      <c r="I6699">
        <v>2</v>
      </c>
      <c r="M6699" t="s">
        <v>6824</v>
      </c>
    </row>
    <row r="6700" spans="1:13" ht="15" customHeight="1">
      <c r="A6700" s="10">
        <v>46199</v>
      </c>
      <c r="B6700" t="s">
        <v>201</v>
      </c>
      <c r="C6700" t="s">
        <v>120</v>
      </c>
      <c r="D6700">
        <v>2</v>
      </c>
      <c r="E6700">
        <v>0</v>
      </c>
      <c r="I6700">
        <v>2</v>
      </c>
      <c r="M6700" t="s">
        <v>6825</v>
      </c>
    </row>
    <row r="6701" spans="1:13" ht="15" customHeight="1">
      <c r="A6701" s="10">
        <v>46199</v>
      </c>
      <c r="B6701" t="s">
        <v>201</v>
      </c>
      <c r="C6701" t="s">
        <v>121</v>
      </c>
      <c r="D6701">
        <v>2</v>
      </c>
      <c r="E6701">
        <v>0</v>
      </c>
      <c r="I6701">
        <v>2</v>
      </c>
      <c r="M6701" t="s">
        <v>6826</v>
      </c>
    </row>
    <row r="6702" spans="1:13" ht="15" customHeight="1">
      <c r="A6702" s="10">
        <v>46199</v>
      </c>
      <c r="B6702" t="s">
        <v>201</v>
      </c>
      <c r="C6702" t="s">
        <v>123</v>
      </c>
      <c r="D6702">
        <v>2</v>
      </c>
      <c r="E6702">
        <v>0</v>
      </c>
      <c r="I6702">
        <v>2</v>
      </c>
      <c r="M6702" t="s">
        <v>6827</v>
      </c>
    </row>
    <row r="6703" spans="1:13" ht="15" customHeight="1">
      <c r="A6703" s="10">
        <v>46199</v>
      </c>
      <c r="B6703" t="s">
        <v>201</v>
      </c>
      <c r="C6703" t="s">
        <v>124</v>
      </c>
      <c r="D6703">
        <v>2</v>
      </c>
      <c r="E6703">
        <v>0</v>
      </c>
      <c r="I6703">
        <v>2</v>
      </c>
      <c r="M6703" t="s">
        <v>6828</v>
      </c>
    </row>
    <row r="6704" spans="1:13" ht="15" customHeight="1">
      <c r="A6704" s="10">
        <v>46199</v>
      </c>
      <c r="B6704" t="s">
        <v>201</v>
      </c>
      <c r="C6704" t="s">
        <v>125</v>
      </c>
      <c r="D6704">
        <v>2</v>
      </c>
      <c r="E6704">
        <v>0</v>
      </c>
      <c r="I6704">
        <v>2</v>
      </c>
      <c r="M6704" t="s">
        <v>6829</v>
      </c>
    </row>
    <row r="6705" spans="1:13" ht="15" customHeight="1">
      <c r="A6705" s="10">
        <v>46199</v>
      </c>
      <c r="B6705" t="s">
        <v>201</v>
      </c>
      <c r="C6705" t="s">
        <v>126</v>
      </c>
      <c r="D6705">
        <v>2</v>
      </c>
      <c r="E6705">
        <v>0</v>
      </c>
      <c r="I6705">
        <v>2</v>
      </c>
      <c r="M6705" t="s">
        <v>6830</v>
      </c>
    </row>
    <row r="6706" spans="1:13" ht="15" customHeight="1">
      <c r="A6706" s="10">
        <v>46199</v>
      </c>
      <c r="B6706" t="s">
        <v>201</v>
      </c>
      <c r="C6706" t="s">
        <v>128</v>
      </c>
      <c r="D6706">
        <v>2</v>
      </c>
      <c r="E6706">
        <v>0</v>
      </c>
      <c r="I6706">
        <v>2</v>
      </c>
      <c r="M6706" t="s">
        <v>6831</v>
      </c>
    </row>
    <row r="6707" spans="1:13" ht="15" customHeight="1">
      <c r="A6707" s="10">
        <v>46199</v>
      </c>
      <c r="B6707" t="s">
        <v>201</v>
      </c>
      <c r="C6707" t="s">
        <v>130</v>
      </c>
      <c r="D6707">
        <v>4</v>
      </c>
      <c r="E6707">
        <v>0</v>
      </c>
      <c r="I6707">
        <v>4</v>
      </c>
      <c r="M6707" t="s">
        <v>6832</v>
      </c>
    </row>
    <row r="6708" spans="1:13" ht="15" customHeight="1">
      <c r="A6708" s="10">
        <v>46199</v>
      </c>
      <c r="B6708" t="s">
        <v>201</v>
      </c>
      <c r="C6708" t="s">
        <v>285</v>
      </c>
      <c r="D6708">
        <v>2</v>
      </c>
      <c r="E6708">
        <v>0</v>
      </c>
      <c r="I6708">
        <v>2</v>
      </c>
      <c r="M6708" t="s">
        <v>6833</v>
      </c>
    </row>
    <row r="6709" spans="1:13" ht="15" customHeight="1">
      <c r="A6709" s="10">
        <v>46199</v>
      </c>
      <c r="B6709" t="s">
        <v>201</v>
      </c>
      <c r="C6709" t="s">
        <v>287</v>
      </c>
      <c r="D6709">
        <v>6</v>
      </c>
      <c r="E6709">
        <v>0</v>
      </c>
      <c r="I6709">
        <v>6</v>
      </c>
      <c r="M6709" t="s">
        <v>6834</v>
      </c>
    </row>
    <row r="6710" spans="1:13" ht="15" customHeight="1">
      <c r="A6710" s="10">
        <v>46199</v>
      </c>
      <c r="B6710" t="s">
        <v>201</v>
      </c>
      <c r="C6710" t="s">
        <v>289</v>
      </c>
      <c r="D6710">
        <v>2</v>
      </c>
      <c r="E6710">
        <v>0</v>
      </c>
      <c r="I6710">
        <v>2</v>
      </c>
      <c r="M6710" t="s">
        <v>6835</v>
      </c>
    </row>
    <row r="6711" spans="1:13" ht="15" customHeight="1">
      <c r="A6711" s="10">
        <v>46199</v>
      </c>
      <c r="B6711" t="s">
        <v>201</v>
      </c>
      <c r="C6711" t="s">
        <v>291</v>
      </c>
      <c r="D6711">
        <v>1</v>
      </c>
      <c r="E6711">
        <v>0</v>
      </c>
      <c r="I6711">
        <v>1</v>
      </c>
      <c r="M6711" t="s">
        <v>6836</v>
      </c>
    </row>
    <row r="6712" spans="1:13" ht="15" customHeight="1">
      <c r="A6712" s="10">
        <v>46199</v>
      </c>
      <c r="B6712" t="s">
        <v>201</v>
      </c>
      <c r="C6712" t="s">
        <v>293</v>
      </c>
      <c r="D6712">
        <v>2</v>
      </c>
      <c r="E6712">
        <v>0</v>
      </c>
      <c r="I6712">
        <v>2</v>
      </c>
      <c r="M6712" t="s">
        <v>6837</v>
      </c>
    </row>
    <row r="6713" spans="1:13" ht="15" customHeight="1">
      <c r="A6713" s="10">
        <v>46199</v>
      </c>
      <c r="B6713" t="s">
        <v>201</v>
      </c>
      <c r="C6713" s="135" t="s">
        <v>138</v>
      </c>
      <c r="D6713">
        <v>0</v>
      </c>
      <c r="E6713">
        <v>59</v>
      </c>
      <c r="I6713">
        <v>0</v>
      </c>
      <c r="J6713">
        <v>58</v>
      </c>
      <c r="M6713" t="s">
        <v>6838</v>
      </c>
    </row>
    <row r="6714" spans="1:13" ht="15" customHeight="1">
      <c r="A6714" s="10">
        <v>46199</v>
      </c>
      <c r="B6714" t="s">
        <v>201</v>
      </c>
      <c r="C6714" s="135" t="s">
        <v>139</v>
      </c>
      <c r="D6714">
        <v>0</v>
      </c>
      <c r="E6714">
        <v>38</v>
      </c>
      <c r="I6714">
        <v>0</v>
      </c>
      <c r="J6714">
        <v>38</v>
      </c>
      <c r="M6714" t="s">
        <v>6839</v>
      </c>
    </row>
    <row r="6715" spans="1:13" ht="15" customHeight="1">
      <c r="A6715" s="10">
        <v>46199</v>
      </c>
      <c r="B6715" t="s">
        <v>201</v>
      </c>
      <c r="C6715" s="135" t="s">
        <v>140</v>
      </c>
      <c r="D6715">
        <v>0</v>
      </c>
      <c r="E6715">
        <v>29</v>
      </c>
      <c r="I6715">
        <v>0</v>
      </c>
      <c r="J6715">
        <v>29</v>
      </c>
      <c r="M6715" t="s">
        <v>6840</v>
      </c>
    </row>
    <row r="6716" spans="1:13" ht="15" customHeight="1">
      <c r="A6716" s="10">
        <v>46199</v>
      </c>
      <c r="B6716" t="s">
        <v>201</v>
      </c>
      <c r="C6716" s="135" t="s">
        <v>141</v>
      </c>
      <c r="D6716">
        <v>0</v>
      </c>
      <c r="E6716">
        <v>1</v>
      </c>
      <c r="I6716">
        <v>0</v>
      </c>
      <c r="J6716">
        <v>1</v>
      </c>
      <c r="M6716" t="s">
        <v>6841</v>
      </c>
    </row>
    <row r="6717" spans="1:13" ht="15" customHeight="1">
      <c r="A6717" s="10">
        <v>46199</v>
      </c>
      <c r="B6717" t="s">
        <v>201</v>
      </c>
      <c r="C6717" s="135" t="s">
        <v>143</v>
      </c>
      <c r="D6717">
        <v>0</v>
      </c>
      <c r="E6717">
        <v>41</v>
      </c>
      <c r="I6717">
        <v>0</v>
      </c>
      <c r="J6717">
        <v>38</v>
      </c>
      <c r="M6717" t="s">
        <v>6842</v>
      </c>
    </row>
    <row r="6718" spans="1:13" ht="15" customHeight="1">
      <c r="A6718" s="10">
        <v>46199</v>
      </c>
      <c r="B6718" t="s">
        <v>201</v>
      </c>
      <c r="C6718" s="135" t="s">
        <v>145</v>
      </c>
      <c r="D6718">
        <v>0</v>
      </c>
      <c r="E6718">
        <v>15</v>
      </c>
      <c r="I6718">
        <v>0</v>
      </c>
      <c r="J6718">
        <v>14</v>
      </c>
      <c r="M6718" t="s">
        <v>6843</v>
      </c>
    </row>
    <row r="6719" spans="1:13" ht="15" customHeight="1">
      <c r="A6719" s="10">
        <v>46199</v>
      </c>
      <c r="B6719" t="s">
        <v>201</v>
      </c>
      <c r="C6719" s="135" t="s">
        <v>147</v>
      </c>
      <c r="D6719">
        <v>0</v>
      </c>
      <c r="E6719">
        <v>27</v>
      </c>
      <c r="I6719">
        <v>0</v>
      </c>
      <c r="J6719">
        <v>27</v>
      </c>
      <c r="M6719" t="s">
        <v>6844</v>
      </c>
    </row>
    <row r="6720" spans="1:13" ht="15" customHeight="1">
      <c r="A6720" s="10">
        <v>46199</v>
      </c>
      <c r="B6720" t="s">
        <v>201</v>
      </c>
      <c r="C6720" t="s">
        <v>302</v>
      </c>
      <c r="D6720">
        <v>1</v>
      </c>
      <c r="E6720">
        <v>2</v>
      </c>
      <c r="I6720">
        <v>1</v>
      </c>
      <c r="M6720" t="s">
        <v>6845</v>
      </c>
    </row>
    <row r="6721" spans="1:13" ht="15" customHeight="1">
      <c r="A6721" s="10">
        <v>46199</v>
      </c>
      <c r="B6721" t="s">
        <v>201</v>
      </c>
      <c r="C6721" t="s">
        <v>150</v>
      </c>
      <c r="D6721">
        <v>3</v>
      </c>
      <c r="E6721">
        <v>0</v>
      </c>
      <c r="I6721">
        <v>3</v>
      </c>
      <c r="M6721" t="s">
        <v>6846</v>
      </c>
    </row>
    <row r="6722" spans="1:13" ht="15" customHeight="1">
      <c r="A6722" s="10">
        <v>46199</v>
      </c>
      <c r="B6722" t="s">
        <v>201</v>
      </c>
      <c r="C6722" t="s">
        <v>151</v>
      </c>
      <c r="D6722">
        <v>1</v>
      </c>
      <c r="E6722">
        <v>0</v>
      </c>
      <c r="I6722">
        <v>1</v>
      </c>
      <c r="M6722" t="s">
        <v>6847</v>
      </c>
    </row>
    <row r="6723" spans="1:13" ht="15" customHeight="1">
      <c r="A6723" s="10">
        <v>46199</v>
      </c>
      <c r="B6723" t="s">
        <v>201</v>
      </c>
      <c r="C6723" t="s">
        <v>152</v>
      </c>
      <c r="D6723">
        <v>2</v>
      </c>
      <c r="E6723">
        <v>0</v>
      </c>
      <c r="I6723">
        <v>2</v>
      </c>
      <c r="M6723" t="s">
        <v>6848</v>
      </c>
    </row>
    <row r="6724" spans="1:13" ht="15" customHeight="1">
      <c r="A6724" s="10">
        <v>46199</v>
      </c>
      <c r="B6724" t="s">
        <v>201</v>
      </c>
      <c r="C6724" t="s">
        <v>153</v>
      </c>
      <c r="D6724">
        <v>2</v>
      </c>
      <c r="E6724">
        <v>0</v>
      </c>
      <c r="I6724">
        <v>2</v>
      </c>
      <c r="M6724" t="s">
        <v>6849</v>
      </c>
    </row>
    <row r="6725" spans="1:13" ht="15" customHeight="1">
      <c r="A6725" s="10">
        <v>46199</v>
      </c>
      <c r="B6725" t="s">
        <v>201</v>
      </c>
      <c r="C6725" t="s">
        <v>308</v>
      </c>
      <c r="D6725">
        <v>0</v>
      </c>
      <c r="E6725">
        <v>5</v>
      </c>
      <c r="I6725">
        <v>0</v>
      </c>
      <c r="J6725">
        <v>4</v>
      </c>
      <c r="M6725" t="s">
        <v>6850</v>
      </c>
    </row>
    <row r="6726" spans="1:13" ht="15" customHeight="1">
      <c r="A6726" s="10">
        <v>46199</v>
      </c>
      <c r="B6726" t="s">
        <v>201</v>
      </c>
      <c r="C6726" t="s">
        <v>310</v>
      </c>
      <c r="D6726">
        <v>0</v>
      </c>
      <c r="E6726">
        <v>2</v>
      </c>
      <c r="I6726">
        <v>0</v>
      </c>
      <c r="J6726">
        <v>2</v>
      </c>
      <c r="M6726" t="s">
        <v>6851</v>
      </c>
    </row>
    <row r="6727" spans="1:13" ht="15" customHeight="1">
      <c r="A6727" s="10">
        <v>46199</v>
      </c>
      <c r="B6727" t="s">
        <v>201</v>
      </c>
      <c r="C6727" t="s">
        <v>312</v>
      </c>
      <c r="D6727">
        <v>0</v>
      </c>
      <c r="E6727">
        <v>4</v>
      </c>
      <c r="I6727">
        <v>0</v>
      </c>
      <c r="J6727">
        <v>4</v>
      </c>
      <c r="M6727" t="s">
        <v>6852</v>
      </c>
    </row>
    <row r="6728" spans="1:13" ht="15" customHeight="1">
      <c r="A6728" s="10">
        <v>46199</v>
      </c>
      <c r="B6728" t="s">
        <v>201</v>
      </c>
      <c r="C6728" t="s">
        <v>314</v>
      </c>
      <c r="D6728">
        <v>1</v>
      </c>
      <c r="E6728">
        <v>0</v>
      </c>
      <c r="I6728">
        <v>1</v>
      </c>
      <c r="M6728" t="s">
        <v>6853</v>
      </c>
    </row>
    <row r="6729" spans="1:13" ht="15" customHeight="1">
      <c r="A6729" s="10">
        <v>46199</v>
      </c>
      <c r="B6729" t="s">
        <v>201</v>
      </c>
      <c r="C6729" t="s">
        <v>316</v>
      </c>
      <c r="D6729">
        <v>1</v>
      </c>
      <c r="E6729">
        <v>0</v>
      </c>
      <c r="I6729">
        <v>1</v>
      </c>
      <c r="M6729" t="s">
        <v>6854</v>
      </c>
    </row>
    <row r="6730" spans="1:13" ht="15" customHeight="1">
      <c r="A6730" s="10">
        <v>46199</v>
      </c>
      <c r="B6730" t="s">
        <v>201</v>
      </c>
      <c r="C6730" t="s">
        <v>318</v>
      </c>
      <c r="D6730">
        <v>3</v>
      </c>
      <c r="E6730">
        <v>0</v>
      </c>
      <c r="I6730">
        <v>2</v>
      </c>
      <c r="M6730" t="s">
        <v>6855</v>
      </c>
    </row>
    <row r="6731" spans="1:13" ht="15" customHeight="1">
      <c r="A6731" s="10">
        <v>46199</v>
      </c>
      <c r="B6731" t="s">
        <v>201</v>
      </c>
      <c r="C6731" t="s">
        <v>320</v>
      </c>
      <c r="D6731">
        <v>2</v>
      </c>
      <c r="E6731">
        <v>0</v>
      </c>
      <c r="I6731">
        <v>2</v>
      </c>
      <c r="M6731" t="s">
        <v>6856</v>
      </c>
    </row>
    <row r="6732" spans="1:13" ht="15" customHeight="1">
      <c r="A6732" s="10">
        <v>46199</v>
      </c>
      <c r="B6732" t="s">
        <v>201</v>
      </c>
      <c r="C6732" t="s">
        <v>322</v>
      </c>
      <c r="D6732">
        <v>2</v>
      </c>
      <c r="E6732">
        <v>0</v>
      </c>
      <c r="I6732">
        <v>2</v>
      </c>
      <c r="M6732" t="s">
        <v>6857</v>
      </c>
    </row>
    <row r="6733" spans="1:13" ht="15" customHeight="1">
      <c r="A6733" s="10">
        <v>46199</v>
      </c>
      <c r="B6733" t="s">
        <v>201</v>
      </c>
      <c r="C6733" s="135" t="s">
        <v>168</v>
      </c>
      <c r="D6733">
        <v>1</v>
      </c>
      <c r="E6733">
        <v>0</v>
      </c>
      <c r="I6733">
        <v>1</v>
      </c>
      <c r="M6733" t="s">
        <v>6858</v>
      </c>
    </row>
    <row r="6734" spans="1:13" ht="15" customHeight="1">
      <c r="A6734" s="10">
        <v>46199</v>
      </c>
      <c r="B6734" t="s">
        <v>201</v>
      </c>
      <c r="C6734" s="135" t="s">
        <v>170</v>
      </c>
      <c r="D6734">
        <v>2</v>
      </c>
      <c r="E6734">
        <v>0</v>
      </c>
      <c r="I6734">
        <v>1</v>
      </c>
      <c r="M6734" t="s">
        <v>6859</v>
      </c>
    </row>
    <row r="6735" spans="1:13" ht="15" customHeight="1">
      <c r="A6735" s="10">
        <v>46199</v>
      </c>
      <c r="B6735" t="s">
        <v>201</v>
      </c>
      <c r="C6735" s="135" t="s">
        <v>171</v>
      </c>
      <c r="D6735">
        <v>3</v>
      </c>
      <c r="E6735">
        <v>0</v>
      </c>
      <c r="I6735">
        <v>3</v>
      </c>
      <c r="M6735" t="s">
        <v>6860</v>
      </c>
    </row>
    <row r="6736" spans="1:13" ht="15" customHeight="1">
      <c r="A6736" s="10">
        <v>46199</v>
      </c>
      <c r="B6736" t="s">
        <v>201</v>
      </c>
      <c r="C6736" s="135" t="s">
        <v>172</v>
      </c>
      <c r="D6736">
        <v>1</v>
      </c>
      <c r="E6736">
        <v>0</v>
      </c>
      <c r="I6736">
        <v>1</v>
      </c>
      <c r="M6736" t="s">
        <v>6861</v>
      </c>
    </row>
    <row r="6737" spans="1:13" ht="15" customHeight="1">
      <c r="A6737" s="10">
        <v>46199</v>
      </c>
      <c r="B6737" t="s">
        <v>201</v>
      </c>
      <c r="C6737" s="135" t="s">
        <v>173</v>
      </c>
      <c r="D6737">
        <v>0</v>
      </c>
      <c r="E6737">
        <v>0</v>
      </c>
      <c r="I6737">
        <v>0</v>
      </c>
      <c r="M6737" t="s">
        <v>6862</v>
      </c>
    </row>
    <row r="6738" spans="1:13" ht="15" customHeight="1">
      <c r="A6738" s="10">
        <v>46199</v>
      </c>
      <c r="B6738" t="s">
        <v>201</v>
      </c>
      <c r="C6738" t="s">
        <v>176</v>
      </c>
      <c r="D6738">
        <v>0</v>
      </c>
      <c r="E6738">
        <v>21</v>
      </c>
      <c r="I6738">
        <v>0</v>
      </c>
      <c r="J6738">
        <v>21</v>
      </c>
      <c r="M6738" t="s">
        <v>6863</v>
      </c>
    </row>
    <row r="6739" spans="1:13" ht="15" customHeight="1">
      <c r="A6739" s="10">
        <v>46199</v>
      </c>
      <c r="B6739" t="s">
        <v>201</v>
      </c>
      <c r="C6739" t="s">
        <v>178</v>
      </c>
      <c r="D6739">
        <v>0</v>
      </c>
      <c r="E6739">
        <v>22</v>
      </c>
      <c r="I6739">
        <v>0</v>
      </c>
      <c r="J6739">
        <v>22</v>
      </c>
      <c r="M6739" t="s">
        <v>6864</v>
      </c>
    </row>
    <row r="6740" spans="1:13" ht="15" customHeight="1">
      <c r="A6740" s="10">
        <v>46199</v>
      </c>
      <c r="B6740" t="s">
        <v>201</v>
      </c>
      <c r="C6740" t="s">
        <v>179</v>
      </c>
      <c r="D6740">
        <v>0</v>
      </c>
      <c r="E6740">
        <v>15</v>
      </c>
      <c r="I6740">
        <v>0</v>
      </c>
      <c r="J6740">
        <v>15</v>
      </c>
      <c r="M6740" t="s">
        <v>6865</v>
      </c>
    </row>
    <row r="6741" spans="1:13" ht="15" customHeight="1">
      <c r="A6741" s="10">
        <v>46199</v>
      </c>
      <c r="B6741" t="s">
        <v>201</v>
      </c>
      <c r="C6741" t="s">
        <v>180</v>
      </c>
      <c r="D6741">
        <v>0</v>
      </c>
      <c r="E6741">
        <v>16</v>
      </c>
      <c r="H6741">
        <v>1</v>
      </c>
      <c r="I6741">
        <v>0</v>
      </c>
      <c r="J6741">
        <v>15</v>
      </c>
      <c r="M6741" t="s">
        <v>6866</v>
      </c>
    </row>
    <row r="6742" spans="1:13" ht="15" customHeight="1">
      <c r="A6742" s="10">
        <v>46199</v>
      </c>
      <c r="B6742" t="s">
        <v>201</v>
      </c>
      <c r="C6742" s="135" t="s">
        <v>182</v>
      </c>
      <c r="D6742">
        <v>1</v>
      </c>
      <c r="E6742">
        <v>150</v>
      </c>
      <c r="I6742">
        <v>1</v>
      </c>
      <c r="J6742">
        <v>50</v>
      </c>
      <c r="M6742" t="s">
        <v>6867</v>
      </c>
    </row>
    <row r="6743" spans="1:13" ht="15" customHeight="1">
      <c r="A6743" s="10">
        <v>46199</v>
      </c>
      <c r="B6743" t="s">
        <v>201</v>
      </c>
      <c r="C6743" s="135" t="s">
        <v>184</v>
      </c>
      <c r="D6743">
        <v>0</v>
      </c>
      <c r="E6743">
        <v>70</v>
      </c>
      <c r="I6743">
        <v>0</v>
      </c>
      <c r="J6743">
        <v>70</v>
      </c>
      <c r="M6743" t="s">
        <v>6868</v>
      </c>
    </row>
    <row r="6744" spans="1:13" ht="15" customHeight="1">
      <c r="A6744" s="10">
        <v>46199</v>
      </c>
      <c r="B6744" t="s">
        <v>201</v>
      </c>
      <c r="C6744" s="135" t="s">
        <v>185</v>
      </c>
      <c r="D6744">
        <v>1</v>
      </c>
      <c r="E6744">
        <v>26</v>
      </c>
      <c r="I6744">
        <v>1</v>
      </c>
      <c r="J6744">
        <v>26</v>
      </c>
      <c r="M6744" t="s">
        <v>6869</v>
      </c>
    </row>
    <row r="6745" spans="1:13" ht="15" customHeight="1">
      <c r="A6745" s="10">
        <v>46199</v>
      </c>
      <c r="B6745" t="s">
        <v>201</v>
      </c>
      <c r="C6745" s="135" t="s">
        <v>186</v>
      </c>
      <c r="D6745">
        <v>1</v>
      </c>
      <c r="E6745">
        <v>500</v>
      </c>
      <c r="I6745">
        <v>1</v>
      </c>
      <c r="J6745">
        <v>500</v>
      </c>
      <c r="M6745" t="s">
        <v>6870</v>
      </c>
    </row>
    <row r="6746" spans="1:13" ht="15" customHeight="1">
      <c r="A6746" s="10">
        <v>46199</v>
      </c>
      <c r="B6746" t="s">
        <v>201</v>
      </c>
      <c r="C6746" t="s">
        <v>337</v>
      </c>
      <c r="D6746">
        <v>1</v>
      </c>
      <c r="E6746">
        <v>0</v>
      </c>
      <c r="I6746">
        <v>0</v>
      </c>
      <c r="J6746">
        <v>386</v>
      </c>
      <c r="M6746" t="s">
        <v>6871</v>
      </c>
    </row>
    <row r="6747" spans="1:13" ht="15" customHeight="1">
      <c r="A6747" s="10">
        <v>46199</v>
      </c>
      <c r="B6747" t="s">
        <v>201</v>
      </c>
      <c r="C6747" t="s">
        <v>339</v>
      </c>
      <c r="D6747">
        <v>0</v>
      </c>
      <c r="E6747">
        <v>0</v>
      </c>
      <c r="I6747">
        <v>0</v>
      </c>
      <c r="J6747">
        <v>0</v>
      </c>
      <c r="M6747" t="s">
        <v>6872</v>
      </c>
    </row>
    <row r="6748" spans="1:13" ht="15" customHeight="1">
      <c r="A6748" s="10">
        <v>46199</v>
      </c>
      <c r="B6748" t="s">
        <v>201</v>
      </c>
      <c r="C6748" s="135" t="s">
        <v>191</v>
      </c>
      <c r="D6748">
        <v>1</v>
      </c>
      <c r="E6748">
        <v>499</v>
      </c>
      <c r="I6748">
        <v>1</v>
      </c>
      <c r="J6748">
        <v>499</v>
      </c>
      <c r="M6748" t="s">
        <v>6873</v>
      </c>
    </row>
    <row r="6749" spans="1:13" ht="15" customHeight="1">
      <c r="A6749" s="10">
        <v>46199</v>
      </c>
      <c r="B6749" t="s">
        <v>201</v>
      </c>
      <c r="C6749" s="135" t="s">
        <v>193</v>
      </c>
      <c r="D6749">
        <v>0</v>
      </c>
      <c r="E6749">
        <v>516</v>
      </c>
      <c r="I6749">
        <v>0</v>
      </c>
      <c r="J6749">
        <v>516</v>
      </c>
      <c r="M6749" t="s">
        <v>6874</v>
      </c>
    </row>
    <row r="6750" spans="1:13" ht="15" customHeight="1">
      <c r="A6750" s="10">
        <v>46199</v>
      </c>
      <c r="B6750" t="s">
        <v>201</v>
      </c>
      <c r="C6750" s="135" t="s">
        <v>194</v>
      </c>
      <c r="D6750">
        <v>0</v>
      </c>
      <c r="E6750">
        <v>16</v>
      </c>
      <c r="I6750">
        <v>1</v>
      </c>
      <c r="J6750">
        <v>10</v>
      </c>
      <c r="M6750" t="s">
        <v>6875</v>
      </c>
    </row>
    <row r="6751" spans="1:13" ht="15" customHeight="1">
      <c r="A6751" s="10">
        <v>46199</v>
      </c>
      <c r="B6751" t="s">
        <v>201</v>
      </c>
      <c r="C6751" s="135" t="s">
        <v>196</v>
      </c>
      <c r="D6751">
        <v>0</v>
      </c>
      <c r="E6751">
        <v>446</v>
      </c>
      <c r="I6751">
        <v>0</v>
      </c>
      <c r="J6751">
        <v>226</v>
      </c>
      <c r="M6751" t="s">
        <v>6876</v>
      </c>
    </row>
    <row r="6752" spans="1:13" ht="15" customHeight="1">
      <c r="A6752" s="10">
        <v>46199</v>
      </c>
      <c r="B6752" t="s">
        <v>201</v>
      </c>
      <c r="C6752" s="135" t="s">
        <v>199</v>
      </c>
      <c r="D6752">
        <v>0</v>
      </c>
      <c r="E6752">
        <v>328</v>
      </c>
      <c r="I6752">
        <v>0</v>
      </c>
      <c r="J6752">
        <v>328</v>
      </c>
      <c r="M6752" t="s">
        <v>6877</v>
      </c>
    </row>
    <row r="6753" spans="1:13" ht="15" customHeight="1">
      <c r="A6753" s="10">
        <v>46199</v>
      </c>
      <c r="B6753" t="s">
        <v>201</v>
      </c>
      <c r="C6753" s="135" t="s">
        <v>200</v>
      </c>
      <c r="D6753">
        <v>0</v>
      </c>
      <c r="E6753">
        <v>705</v>
      </c>
      <c r="I6753">
        <v>0</v>
      </c>
      <c r="J6753">
        <v>704</v>
      </c>
      <c r="M6753" t="s">
        <v>6878</v>
      </c>
    </row>
    <row r="6754" spans="1:13" ht="15" customHeight="1">
      <c r="A6754" s="10">
        <v>46199</v>
      </c>
      <c r="B6754" t="s">
        <v>201</v>
      </c>
      <c r="C6754" s="135" t="s">
        <v>202</v>
      </c>
      <c r="D6754">
        <v>0</v>
      </c>
      <c r="E6754">
        <v>584</v>
      </c>
      <c r="I6754">
        <v>0</v>
      </c>
      <c r="J6754">
        <v>584</v>
      </c>
      <c r="M6754" t="s">
        <v>6879</v>
      </c>
    </row>
    <row r="6755" spans="1:13" ht="15" customHeight="1">
      <c r="A6755" s="10">
        <v>46200</v>
      </c>
      <c r="B6755" t="s">
        <v>201</v>
      </c>
      <c r="C6755" t="s">
        <v>23</v>
      </c>
      <c r="D6755">
        <v>4</v>
      </c>
      <c r="E6755">
        <v>636</v>
      </c>
      <c r="F6755">
        <v>4</v>
      </c>
      <c r="I6755">
        <v>6</v>
      </c>
      <c r="J6755">
        <v>2205</v>
      </c>
      <c r="M6755" t="s">
        <v>6880</v>
      </c>
    </row>
    <row r="6756" spans="1:13" ht="15" customHeight="1">
      <c r="A6756" s="10">
        <v>46200</v>
      </c>
      <c r="B6756" t="s">
        <v>201</v>
      </c>
      <c r="C6756" t="s">
        <v>26</v>
      </c>
      <c r="D6756">
        <v>2</v>
      </c>
      <c r="E6756">
        <v>542</v>
      </c>
      <c r="I6756">
        <v>2</v>
      </c>
      <c r="J6756">
        <v>529</v>
      </c>
      <c r="M6756" t="s">
        <v>6881</v>
      </c>
    </row>
    <row r="6757" spans="1:13" ht="15" customHeight="1">
      <c r="A6757" s="10">
        <v>46200</v>
      </c>
      <c r="B6757" t="s">
        <v>201</v>
      </c>
      <c r="C6757" t="s">
        <v>27</v>
      </c>
      <c r="D6757">
        <v>1</v>
      </c>
      <c r="E6757">
        <v>1068</v>
      </c>
      <c r="I6757">
        <v>1</v>
      </c>
      <c r="J6757">
        <v>753</v>
      </c>
      <c r="M6757" t="s">
        <v>6882</v>
      </c>
    </row>
    <row r="6758" spans="1:13" ht="15" customHeight="1">
      <c r="A6758" s="10">
        <v>46200</v>
      </c>
      <c r="B6758" t="s">
        <v>201</v>
      </c>
      <c r="C6758" t="s">
        <v>28</v>
      </c>
      <c r="D6758">
        <v>0</v>
      </c>
      <c r="E6758">
        <v>0</v>
      </c>
      <c r="I6758">
        <v>0</v>
      </c>
      <c r="J6758">
        <v>0</v>
      </c>
      <c r="M6758" t="s">
        <v>6883</v>
      </c>
    </row>
    <row r="6759" spans="1:13" ht="15" customHeight="1">
      <c r="A6759" s="10">
        <v>46200</v>
      </c>
      <c r="B6759" t="s">
        <v>201</v>
      </c>
      <c r="C6759" t="s">
        <v>29</v>
      </c>
      <c r="D6759">
        <v>1</v>
      </c>
      <c r="E6759">
        <v>914</v>
      </c>
      <c r="I6759">
        <v>1</v>
      </c>
      <c r="J6759">
        <v>878</v>
      </c>
      <c r="M6759" t="s">
        <v>6884</v>
      </c>
    </row>
    <row r="6760" spans="1:13" ht="15" customHeight="1">
      <c r="A6760" s="10">
        <v>46200</v>
      </c>
      <c r="B6760" t="s">
        <v>201</v>
      </c>
      <c r="C6760" t="s">
        <v>30</v>
      </c>
      <c r="D6760">
        <v>1</v>
      </c>
      <c r="E6760">
        <v>326</v>
      </c>
      <c r="I6760">
        <v>0</v>
      </c>
      <c r="J6760">
        <v>1164</v>
      </c>
      <c r="M6760" t="s">
        <v>6885</v>
      </c>
    </row>
    <row r="6761" spans="1:13" ht="15" customHeight="1">
      <c r="A6761" s="10">
        <v>46200</v>
      </c>
      <c r="B6761" t="s">
        <v>201</v>
      </c>
      <c r="C6761" t="s">
        <v>31</v>
      </c>
      <c r="D6761">
        <v>0</v>
      </c>
      <c r="E6761">
        <v>767</v>
      </c>
      <c r="F6761">
        <v>2</v>
      </c>
      <c r="I6761">
        <v>2</v>
      </c>
      <c r="J6761">
        <v>442</v>
      </c>
      <c r="M6761" t="s">
        <v>6886</v>
      </c>
    </row>
    <row r="6762" spans="1:13" ht="15" customHeight="1">
      <c r="A6762" s="10">
        <v>46200</v>
      </c>
      <c r="B6762" t="s">
        <v>201</v>
      </c>
      <c r="C6762" t="s">
        <v>32</v>
      </c>
      <c r="D6762">
        <v>0</v>
      </c>
      <c r="E6762">
        <v>165</v>
      </c>
      <c r="F6762">
        <v>2</v>
      </c>
      <c r="I6762">
        <v>2</v>
      </c>
      <c r="J6762">
        <v>0</v>
      </c>
      <c r="M6762" t="s">
        <v>6887</v>
      </c>
    </row>
    <row r="6763" spans="1:13" ht="15" customHeight="1">
      <c r="A6763" s="10">
        <v>46200</v>
      </c>
      <c r="B6763" t="s">
        <v>201</v>
      </c>
      <c r="C6763" t="s">
        <v>223</v>
      </c>
      <c r="D6763">
        <v>4</v>
      </c>
      <c r="E6763">
        <v>463</v>
      </c>
      <c r="F6763">
        <v>2</v>
      </c>
      <c r="I6763">
        <v>5</v>
      </c>
      <c r="J6763">
        <v>872</v>
      </c>
      <c r="M6763" t="s">
        <v>6888</v>
      </c>
    </row>
    <row r="6764" spans="1:13" ht="15" customHeight="1">
      <c r="A6764" s="10">
        <v>46200</v>
      </c>
      <c r="B6764" t="s">
        <v>201</v>
      </c>
      <c r="C6764" t="s">
        <v>35</v>
      </c>
      <c r="D6764">
        <v>6</v>
      </c>
      <c r="E6764">
        <v>0</v>
      </c>
      <c r="F6764">
        <v>8</v>
      </c>
      <c r="H6764">
        <v>2</v>
      </c>
      <c r="I6764">
        <v>12</v>
      </c>
      <c r="M6764" t="s">
        <v>6889</v>
      </c>
    </row>
    <row r="6765" spans="1:13" ht="15" customHeight="1">
      <c r="A6765" s="10">
        <v>46200</v>
      </c>
      <c r="B6765" t="s">
        <v>201</v>
      </c>
      <c r="C6765" t="s">
        <v>37</v>
      </c>
      <c r="D6765">
        <v>4</v>
      </c>
      <c r="E6765">
        <v>0</v>
      </c>
      <c r="I6765">
        <v>4</v>
      </c>
      <c r="M6765" t="s">
        <v>6890</v>
      </c>
    </row>
    <row r="6766" spans="1:13" ht="15" customHeight="1">
      <c r="A6766" s="10">
        <v>46200</v>
      </c>
      <c r="B6766" t="s">
        <v>201</v>
      </c>
      <c r="C6766" t="s">
        <v>39</v>
      </c>
      <c r="D6766">
        <v>21</v>
      </c>
      <c r="E6766">
        <v>0</v>
      </c>
      <c r="I6766">
        <v>21</v>
      </c>
      <c r="M6766" t="s">
        <v>6891</v>
      </c>
    </row>
    <row r="6767" spans="1:13" ht="15" customHeight="1">
      <c r="A6767" s="10">
        <v>46200</v>
      </c>
      <c r="B6767" t="s">
        <v>201</v>
      </c>
      <c r="C6767" t="s">
        <v>41</v>
      </c>
      <c r="D6767">
        <v>15</v>
      </c>
      <c r="E6767">
        <v>0</v>
      </c>
      <c r="H6767">
        <v>1</v>
      </c>
      <c r="I6767">
        <v>14</v>
      </c>
      <c r="M6767" t="s">
        <v>6892</v>
      </c>
    </row>
    <row r="6768" spans="1:13" ht="15" customHeight="1">
      <c r="A6768" s="10">
        <v>46200</v>
      </c>
      <c r="B6768" t="s">
        <v>201</v>
      </c>
      <c r="C6768" s="135" t="s">
        <v>44</v>
      </c>
      <c r="D6768">
        <v>5</v>
      </c>
      <c r="E6768">
        <v>5380</v>
      </c>
      <c r="I6768">
        <v>4</v>
      </c>
      <c r="J6768">
        <v>5845</v>
      </c>
      <c r="M6768" t="s">
        <v>6893</v>
      </c>
    </row>
    <row r="6769" spans="1:13" ht="15" customHeight="1">
      <c r="A6769" s="10">
        <v>46200</v>
      </c>
      <c r="B6769" t="s">
        <v>201</v>
      </c>
      <c r="C6769" t="s">
        <v>230</v>
      </c>
      <c r="D6769">
        <v>1</v>
      </c>
      <c r="E6769">
        <v>631</v>
      </c>
      <c r="I6769">
        <v>1</v>
      </c>
      <c r="J6769">
        <v>523</v>
      </c>
      <c r="M6769" t="s">
        <v>6894</v>
      </c>
    </row>
    <row r="6770" spans="1:13" ht="15" customHeight="1">
      <c r="A6770" s="10">
        <v>46200</v>
      </c>
      <c r="B6770" t="s">
        <v>201</v>
      </c>
      <c r="C6770" t="s">
        <v>232</v>
      </c>
      <c r="D6770">
        <v>11</v>
      </c>
      <c r="E6770">
        <v>0</v>
      </c>
      <c r="H6770">
        <v>6</v>
      </c>
      <c r="I6770">
        <v>5</v>
      </c>
      <c r="M6770" t="s">
        <v>6895</v>
      </c>
    </row>
    <row r="6771" spans="1:13" ht="15" customHeight="1">
      <c r="A6771" s="10">
        <v>46200</v>
      </c>
      <c r="B6771" t="s">
        <v>201</v>
      </c>
      <c r="C6771" t="s">
        <v>234</v>
      </c>
      <c r="D6771">
        <v>73</v>
      </c>
      <c r="E6771">
        <v>0</v>
      </c>
      <c r="H6771">
        <v>6</v>
      </c>
      <c r="I6771">
        <v>67</v>
      </c>
      <c r="M6771" t="s">
        <v>6896</v>
      </c>
    </row>
    <row r="6772" spans="1:13" ht="15" customHeight="1">
      <c r="A6772" s="10">
        <v>46200</v>
      </c>
      <c r="B6772" t="s">
        <v>201</v>
      </c>
      <c r="C6772" t="s">
        <v>54</v>
      </c>
      <c r="D6772">
        <v>0</v>
      </c>
      <c r="E6772">
        <v>0</v>
      </c>
      <c r="I6772">
        <v>0</v>
      </c>
      <c r="M6772" t="s">
        <v>6897</v>
      </c>
    </row>
    <row r="6773" spans="1:13" ht="15" customHeight="1">
      <c r="A6773" s="10">
        <v>46200</v>
      </c>
      <c r="B6773" t="s">
        <v>201</v>
      </c>
      <c r="C6773" t="s">
        <v>237</v>
      </c>
      <c r="D6773">
        <v>13</v>
      </c>
      <c r="E6773">
        <v>0</v>
      </c>
      <c r="I6773">
        <v>13</v>
      </c>
      <c r="M6773" t="s">
        <v>6898</v>
      </c>
    </row>
    <row r="6774" spans="1:13" ht="15" customHeight="1">
      <c r="A6774" s="10">
        <v>46200</v>
      </c>
      <c r="B6774" t="s">
        <v>201</v>
      </c>
      <c r="C6774" s="135" t="s">
        <v>58</v>
      </c>
      <c r="D6774">
        <v>0</v>
      </c>
      <c r="E6774">
        <v>0</v>
      </c>
      <c r="F6774">
        <v>12</v>
      </c>
      <c r="I6774">
        <v>12</v>
      </c>
      <c r="M6774" t="s">
        <v>6899</v>
      </c>
    </row>
    <row r="6775" spans="1:13" ht="15" customHeight="1">
      <c r="A6775" s="10">
        <v>46200</v>
      </c>
      <c r="B6775" t="s">
        <v>201</v>
      </c>
      <c r="C6775" s="135" t="s">
        <v>60</v>
      </c>
      <c r="D6775">
        <v>10</v>
      </c>
      <c r="E6775">
        <v>0</v>
      </c>
      <c r="F6775">
        <v>6</v>
      </c>
      <c r="I6775">
        <v>16</v>
      </c>
      <c r="M6775" t="s">
        <v>6900</v>
      </c>
    </row>
    <row r="6776" spans="1:13" ht="15" customHeight="1">
      <c r="A6776" s="10">
        <v>46200</v>
      </c>
      <c r="B6776" t="s">
        <v>201</v>
      </c>
      <c r="C6776" s="135" t="s">
        <v>61</v>
      </c>
      <c r="D6776">
        <v>2</v>
      </c>
      <c r="E6776">
        <v>0</v>
      </c>
      <c r="F6776">
        <v>14</v>
      </c>
      <c r="H6776">
        <v>1</v>
      </c>
      <c r="I6776">
        <v>15</v>
      </c>
      <c r="M6776" t="s">
        <v>6901</v>
      </c>
    </row>
    <row r="6777" spans="1:13" ht="15" customHeight="1">
      <c r="A6777" s="10">
        <v>46200</v>
      </c>
      <c r="B6777" t="s">
        <v>201</v>
      </c>
      <c r="C6777" s="135" t="s">
        <v>62</v>
      </c>
      <c r="D6777">
        <v>3</v>
      </c>
      <c r="E6777">
        <v>0</v>
      </c>
      <c r="F6777">
        <v>10</v>
      </c>
      <c r="I6777">
        <v>13</v>
      </c>
      <c r="M6777" t="s">
        <v>6902</v>
      </c>
    </row>
    <row r="6778" spans="1:13" ht="15" customHeight="1">
      <c r="A6778" s="10">
        <v>46200</v>
      </c>
      <c r="B6778" t="s">
        <v>201</v>
      </c>
      <c r="C6778" s="135" t="s">
        <v>63</v>
      </c>
      <c r="D6778">
        <v>3</v>
      </c>
      <c r="E6778">
        <v>0</v>
      </c>
      <c r="F6778">
        <v>12</v>
      </c>
      <c r="I6778">
        <v>15</v>
      </c>
      <c r="M6778" t="s">
        <v>6903</v>
      </c>
    </row>
    <row r="6779" spans="1:13" ht="15" customHeight="1">
      <c r="A6779" s="10">
        <v>46200</v>
      </c>
      <c r="B6779" t="s">
        <v>201</v>
      </c>
      <c r="C6779" s="135" t="s">
        <v>64</v>
      </c>
      <c r="D6779">
        <v>6</v>
      </c>
      <c r="E6779">
        <v>0</v>
      </c>
      <c r="F6779">
        <v>6</v>
      </c>
      <c r="I6779">
        <v>12</v>
      </c>
      <c r="M6779" t="s">
        <v>6904</v>
      </c>
    </row>
    <row r="6780" spans="1:13" ht="15" customHeight="1">
      <c r="A6780" s="10">
        <v>46200</v>
      </c>
      <c r="B6780" t="s">
        <v>201</v>
      </c>
      <c r="C6780" t="s">
        <v>66</v>
      </c>
      <c r="D6780">
        <v>5</v>
      </c>
      <c r="E6780">
        <v>0</v>
      </c>
      <c r="I6780">
        <v>5</v>
      </c>
      <c r="M6780" t="s">
        <v>6905</v>
      </c>
    </row>
    <row r="6781" spans="1:13" ht="15" customHeight="1">
      <c r="A6781" s="10">
        <v>46200</v>
      </c>
      <c r="B6781" t="s">
        <v>201</v>
      </c>
      <c r="C6781" t="s">
        <v>67</v>
      </c>
      <c r="D6781">
        <v>5</v>
      </c>
      <c r="E6781">
        <v>0</v>
      </c>
      <c r="I6781">
        <v>5</v>
      </c>
      <c r="M6781" t="s">
        <v>6906</v>
      </c>
    </row>
    <row r="6782" spans="1:13" ht="15" customHeight="1">
      <c r="A6782" s="10">
        <v>46200</v>
      </c>
      <c r="B6782" t="s">
        <v>201</v>
      </c>
      <c r="C6782" t="s">
        <v>68</v>
      </c>
      <c r="D6782">
        <v>2</v>
      </c>
      <c r="E6782">
        <v>0</v>
      </c>
      <c r="I6782">
        <v>2</v>
      </c>
      <c r="M6782" t="s">
        <v>6907</v>
      </c>
    </row>
    <row r="6783" spans="1:13" ht="15" customHeight="1">
      <c r="A6783" s="10">
        <v>46200</v>
      </c>
      <c r="B6783" t="s">
        <v>201</v>
      </c>
      <c r="C6783" t="s">
        <v>71</v>
      </c>
      <c r="D6783">
        <v>1</v>
      </c>
      <c r="E6783">
        <v>415</v>
      </c>
      <c r="I6783">
        <v>1</v>
      </c>
      <c r="J6783">
        <v>337</v>
      </c>
      <c r="M6783" t="s">
        <v>6908</v>
      </c>
    </row>
    <row r="6784" spans="1:13" ht="15" customHeight="1">
      <c r="A6784" s="10">
        <v>46200</v>
      </c>
      <c r="B6784" t="s">
        <v>201</v>
      </c>
      <c r="C6784" t="s">
        <v>73</v>
      </c>
      <c r="D6784">
        <v>2</v>
      </c>
      <c r="E6784">
        <v>270</v>
      </c>
      <c r="I6784">
        <v>1</v>
      </c>
      <c r="J6784">
        <v>625</v>
      </c>
      <c r="M6784" t="s">
        <v>6909</v>
      </c>
    </row>
    <row r="6785" spans="1:13" ht="15" customHeight="1">
      <c r="A6785" s="10">
        <v>46200</v>
      </c>
      <c r="B6785" t="s">
        <v>201</v>
      </c>
      <c r="C6785" t="s">
        <v>75</v>
      </c>
      <c r="D6785">
        <v>1</v>
      </c>
      <c r="E6785">
        <v>216</v>
      </c>
      <c r="I6785">
        <v>1</v>
      </c>
      <c r="J6785">
        <v>216</v>
      </c>
      <c r="M6785" t="s">
        <v>6910</v>
      </c>
    </row>
    <row r="6786" spans="1:13" ht="15" customHeight="1">
      <c r="A6786" s="10">
        <v>46200</v>
      </c>
      <c r="B6786" t="s">
        <v>201</v>
      </c>
      <c r="C6786" t="s">
        <v>77</v>
      </c>
      <c r="D6786">
        <v>1</v>
      </c>
      <c r="E6786">
        <v>180</v>
      </c>
      <c r="I6786">
        <v>1</v>
      </c>
      <c r="J6786">
        <v>180</v>
      </c>
      <c r="M6786" t="s">
        <v>6911</v>
      </c>
    </row>
    <row r="6787" spans="1:13" ht="15" customHeight="1">
      <c r="A6787" s="10">
        <v>46200</v>
      </c>
      <c r="B6787" t="s">
        <v>201</v>
      </c>
      <c r="C6787" t="s">
        <v>79</v>
      </c>
      <c r="D6787">
        <v>0</v>
      </c>
      <c r="E6787">
        <v>2124</v>
      </c>
      <c r="F6787">
        <v>1</v>
      </c>
      <c r="I6787">
        <v>1</v>
      </c>
      <c r="J6787">
        <v>1933</v>
      </c>
      <c r="M6787" t="s">
        <v>6912</v>
      </c>
    </row>
    <row r="6788" spans="1:13" ht="15" customHeight="1">
      <c r="A6788" s="10">
        <v>46200</v>
      </c>
      <c r="B6788" t="s">
        <v>201</v>
      </c>
      <c r="C6788" t="s">
        <v>81</v>
      </c>
      <c r="D6788">
        <v>1</v>
      </c>
      <c r="E6788">
        <v>295</v>
      </c>
      <c r="I6788">
        <v>1</v>
      </c>
      <c r="J6788">
        <v>295</v>
      </c>
      <c r="M6788" t="s">
        <v>6913</v>
      </c>
    </row>
    <row r="6789" spans="1:13" ht="15" customHeight="1">
      <c r="A6789" s="10">
        <v>46200</v>
      </c>
      <c r="B6789" t="s">
        <v>201</v>
      </c>
      <c r="C6789" t="s">
        <v>83</v>
      </c>
      <c r="D6789">
        <v>0</v>
      </c>
      <c r="E6789">
        <v>411</v>
      </c>
      <c r="F6789">
        <v>1</v>
      </c>
      <c r="I6789">
        <v>1</v>
      </c>
      <c r="J6789">
        <v>411</v>
      </c>
      <c r="M6789" t="s">
        <v>6914</v>
      </c>
    </row>
    <row r="6790" spans="1:13" ht="15" customHeight="1">
      <c r="A6790" s="10">
        <v>46200</v>
      </c>
      <c r="B6790" t="s">
        <v>201</v>
      </c>
      <c r="C6790" t="s">
        <v>84</v>
      </c>
      <c r="D6790">
        <v>1</v>
      </c>
      <c r="E6790">
        <v>282</v>
      </c>
      <c r="I6790">
        <v>1</v>
      </c>
      <c r="J6790">
        <v>282</v>
      </c>
      <c r="M6790" t="s">
        <v>6915</v>
      </c>
    </row>
    <row r="6791" spans="1:13" ht="15" customHeight="1">
      <c r="A6791" s="10">
        <v>46200</v>
      </c>
      <c r="B6791" t="s">
        <v>201</v>
      </c>
      <c r="C6791" t="s">
        <v>85</v>
      </c>
      <c r="D6791">
        <v>0</v>
      </c>
      <c r="E6791">
        <v>200</v>
      </c>
      <c r="I6791">
        <v>0</v>
      </c>
      <c r="J6791">
        <v>200</v>
      </c>
      <c r="M6791" t="s">
        <v>6916</v>
      </c>
    </row>
    <row r="6792" spans="1:13" ht="15" customHeight="1">
      <c r="A6792" s="10">
        <v>46200</v>
      </c>
      <c r="B6792" t="s">
        <v>201</v>
      </c>
      <c r="C6792" t="s">
        <v>87</v>
      </c>
      <c r="D6792">
        <v>2</v>
      </c>
      <c r="E6792">
        <v>67</v>
      </c>
      <c r="I6792">
        <v>2</v>
      </c>
      <c r="J6792">
        <v>63</v>
      </c>
      <c r="M6792" t="s">
        <v>6917</v>
      </c>
    </row>
    <row r="6793" spans="1:13" ht="15" customHeight="1">
      <c r="A6793" s="10">
        <v>46200</v>
      </c>
      <c r="B6793" t="s">
        <v>201</v>
      </c>
      <c r="C6793" t="s">
        <v>88</v>
      </c>
      <c r="D6793">
        <v>1</v>
      </c>
      <c r="E6793">
        <v>250</v>
      </c>
      <c r="I6793">
        <v>1</v>
      </c>
      <c r="J6793">
        <v>246</v>
      </c>
      <c r="M6793" t="s">
        <v>6918</v>
      </c>
    </row>
    <row r="6794" spans="1:13" ht="15" customHeight="1">
      <c r="A6794" s="10">
        <v>46200</v>
      </c>
      <c r="B6794" t="s">
        <v>201</v>
      </c>
      <c r="C6794" t="s">
        <v>89</v>
      </c>
      <c r="D6794">
        <v>1</v>
      </c>
      <c r="E6794">
        <v>240</v>
      </c>
      <c r="I6794">
        <v>1</v>
      </c>
      <c r="J6794">
        <v>239</v>
      </c>
      <c r="M6794" t="s">
        <v>6919</v>
      </c>
    </row>
    <row r="6795" spans="1:13" ht="15" customHeight="1">
      <c r="A6795" s="10">
        <v>46200</v>
      </c>
      <c r="B6795" t="s">
        <v>201</v>
      </c>
      <c r="C6795" t="s">
        <v>90</v>
      </c>
      <c r="D6795">
        <v>0</v>
      </c>
      <c r="E6795">
        <v>537</v>
      </c>
      <c r="F6795">
        <v>1</v>
      </c>
      <c r="I6795">
        <v>1</v>
      </c>
      <c r="J6795">
        <v>668</v>
      </c>
      <c r="M6795" t="s">
        <v>6920</v>
      </c>
    </row>
    <row r="6796" spans="1:13" ht="15" customHeight="1">
      <c r="A6796" s="10">
        <v>46200</v>
      </c>
      <c r="B6796" t="s">
        <v>201</v>
      </c>
      <c r="C6796" t="s">
        <v>92</v>
      </c>
      <c r="D6796">
        <v>0</v>
      </c>
      <c r="E6796">
        <v>1094</v>
      </c>
      <c r="F6796">
        <v>1</v>
      </c>
      <c r="I6796">
        <v>1</v>
      </c>
      <c r="J6796">
        <v>1079</v>
      </c>
      <c r="M6796" t="s">
        <v>6921</v>
      </c>
    </row>
    <row r="6797" spans="1:13" ht="15" customHeight="1">
      <c r="A6797" s="10">
        <v>46200</v>
      </c>
      <c r="B6797" t="s">
        <v>201</v>
      </c>
      <c r="C6797" t="s">
        <v>94</v>
      </c>
      <c r="D6797">
        <v>2</v>
      </c>
      <c r="E6797">
        <v>486</v>
      </c>
      <c r="F6797">
        <v>3</v>
      </c>
      <c r="I6797">
        <v>3</v>
      </c>
      <c r="J6797">
        <v>893</v>
      </c>
      <c r="M6797" t="s">
        <v>6922</v>
      </c>
    </row>
    <row r="6798" spans="1:13" ht="15" customHeight="1">
      <c r="A6798" s="10">
        <v>46200</v>
      </c>
      <c r="B6798" t="s">
        <v>201</v>
      </c>
      <c r="C6798" t="s">
        <v>96</v>
      </c>
      <c r="D6798">
        <v>0</v>
      </c>
      <c r="E6798">
        <v>0</v>
      </c>
      <c r="I6798">
        <v>0</v>
      </c>
      <c r="J6798">
        <v>0</v>
      </c>
      <c r="M6798" t="s">
        <v>6923</v>
      </c>
    </row>
    <row r="6799" spans="1:13" ht="15" customHeight="1">
      <c r="A6799" s="10">
        <v>46200</v>
      </c>
      <c r="B6799" t="s">
        <v>201</v>
      </c>
      <c r="C6799" t="s">
        <v>98</v>
      </c>
      <c r="D6799">
        <v>0</v>
      </c>
      <c r="E6799">
        <v>288</v>
      </c>
      <c r="I6799">
        <v>0</v>
      </c>
      <c r="J6799">
        <v>569</v>
      </c>
      <c r="M6799" t="s">
        <v>6924</v>
      </c>
    </row>
    <row r="6800" spans="1:13" ht="15" customHeight="1">
      <c r="A6800" s="10">
        <v>46200</v>
      </c>
      <c r="B6800" t="s">
        <v>201</v>
      </c>
      <c r="C6800" t="s">
        <v>203</v>
      </c>
      <c r="D6800">
        <v>1</v>
      </c>
      <c r="E6800">
        <v>0</v>
      </c>
      <c r="F6800">
        <v>4</v>
      </c>
      <c r="I6800">
        <v>4</v>
      </c>
      <c r="J6800">
        <v>0</v>
      </c>
      <c r="M6800" t="s">
        <v>6925</v>
      </c>
    </row>
    <row r="6801" spans="1:13" ht="15" customHeight="1">
      <c r="A6801" s="10">
        <v>46200</v>
      </c>
      <c r="B6801" t="s">
        <v>201</v>
      </c>
      <c r="C6801" t="s">
        <v>100</v>
      </c>
      <c r="D6801">
        <v>0</v>
      </c>
      <c r="E6801">
        <v>0</v>
      </c>
      <c r="I6801">
        <v>0</v>
      </c>
      <c r="J6801">
        <v>0</v>
      </c>
      <c r="M6801" t="s">
        <v>6926</v>
      </c>
    </row>
    <row r="6802" spans="1:13" ht="15" customHeight="1">
      <c r="A6802" s="10">
        <v>46200</v>
      </c>
      <c r="B6802" t="s">
        <v>201</v>
      </c>
      <c r="C6802" t="s">
        <v>101</v>
      </c>
      <c r="D6802">
        <v>1</v>
      </c>
      <c r="E6802">
        <v>389</v>
      </c>
      <c r="I6802">
        <v>1</v>
      </c>
      <c r="J6802">
        <v>376</v>
      </c>
      <c r="M6802" t="s">
        <v>6927</v>
      </c>
    </row>
    <row r="6803" spans="1:13" ht="15" customHeight="1">
      <c r="A6803" s="10">
        <v>46200</v>
      </c>
      <c r="B6803" t="s">
        <v>201</v>
      </c>
      <c r="C6803" t="s">
        <v>103</v>
      </c>
      <c r="D6803">
        <v>0</v>
      </c>
      <c r="E6803">
        <v>5</v>
      </c>
      <c r="G6803">
        <v>8</v>
      </c>
      <c r="I6803">
        <v>0</v>
      </c>
      <c r="J6803">
        <v>11</v>
      </c>
      <c r="M6803" t="s">
        <v>6928</v>
      </c>
    </row>
    <row r="6804" spans="1:13" ht="15" customHeight="1">
      <c r="A6804" s="10">
        <v>46200</v>
      </c>
      <c r="B6804" t="s">
        <v>201</v>
      </c>
      <c r="C6804" t="s">
        <v>106</v>
      </c>
      <c r="D6804">
        <v>0</v>
      </c>
      <c r="E6804">
        <v>1040</v>
      </c>
      <c r="F6804">
        <v>1</v>
      </c>
      <c r="I6804">
        <v>1</v>
      </c>
      <c r="J6804">
        <v>579</v>
      </c>
      <c r="M6804" t="s">
        <v>6929</v>
      </c>
    </row>
    <row r="6805" spans="1:13" ht="15" customHeight="1">
      <c r="A6805" s="10">
        <v>46200</v>
      </c>
      <c r="B6805" t="s">
        <v>201</v>
      </c>
      <c r="C6805" t="s">
        <v>108</v>
      </c>
      <c r="D6805">
        <v>1</v>
      </c>
      <c r="E6805">
        <v>820</v>
      </c>
      <c r="I6805">
        <v>1</v>
      </c>
      <c r="J6805">
        <v>693</v>
      </c>
      <c r="M6805" t="s">
        <v>6930</v>
      </c>
    </row>
    <row r="6806" spans="1:13" ht="15" customHeight="1">
      <c r="A6806" s="10">
        <v>46200</v>
      </c>
      <c r="B6806" t="s">
        <v>201</v>
      </c>
      <c r="C6806" t="s">
        <v>109</v>
      </c>
      <c r="D6806">
        <v>1</v>
      </c>
      <c r="E6806">
        <v>508</v>
      </c>
      <c r="I6806">
        <v>0</v>
      </c>
      <c r="J6806">
        <v>1352</v>
      </c>
      <c r="M6806" t="s">
        <v>6931</v>
      </c>
    </row>
    <row r="6807" spans="1:13" ht="15" customHeight="1">
      <c r="A6807" s="10">
        <v>46200</v>
      </c>
      <c r="B6807" t="s">
        <v>201</v>
      </c>
      <c r="C6807" t="s">
        <v>112</v>
      </c>
      <c r="D6807">
        <v>1</v>
      </c>
      <c r="E6807">
        <v>7</v>
      </c>
      <c r="F6807">
        <v>1</v>
      </c>
      <c r="I6807">
        <v>1</v>
      </c>
      <c r="J6807">
        <v>56</v>
      </c>
      <c r="M6807" t="s">
        <v>6932</v>
      </c>
    </row>
    <row r="6808" spans="1:13" ht="15" customHeight="1">
      <c r="A6808" s="10">
        <v>46200</v>
      </c>
      <c r="B6808" t="s">
        <v>201</v>
      </c>
      <c r="C6808" t="s">
        <v>114</v>
      </c>
      <c r="D6808">
        <v>2</v>
      </c>
      <c r="E6808">
        <v>30</v>
      </c>
      <c r="I6808">
        <v>2</v>
      </c>
      <c r="J6808">
        <v>13</v>
      </c>
      <c r="M6808" t="s">
        <v>6933</v>
      </c>
    </row>
    <row r="6809" spans="1:13" ht="15" customHeight="1">
      <c r="A6809" s="10">
        <v>46200</v>
      </c>
      <c r="B6809" t="s">
        <v>201</v>
      </c>
      <c r="C6809" t="s">
        <v>115</v>
      </c>
      <c r="D6809">
        <v>0</v>
      </c>
      <c r="E6809">
        <v>37</v>
      </c>
      <c r="F6809">
        <v>1</v>
      </c>
      <c r="I6809">
        <v>1</v>
      </c>
      <c r="J6809">
        <v>35</v>
      </c>
      <c r="M6809" t="s">
        <v>6934</v>
      </c>
    </row>
    <row r="6810" spans="1:13" ht="15" customHeight="1">
      <c r="A6810" s="10">
        <v>46200</v>
      </c>
      <c r="B6810" t="s">
        <v>201</v>
      </c>
      <c r="C6810" t="s">
        <v>116</v>
      </c>
      <c r="D6810">
        <v>2</v>
      </c>
      <c r="E6810">
        <v>34</v>
      </c>
      <c r="I6810">
        <v>2</v>
      </c>
      <c r="J6810">
        <v>27</v>
      </c>
      <c r="M6810" t="s">
        <v>6935</v>
      </c>
    </row>
    <row r="6811" spans="1:13" ht="15" customHeight="1">
      <c r="A6811" s="10">
        <v>46200</v>
      </c>
      <c r="B6811" t="s">
        <v>201</v>
      </c>
      <c r="C6811" t="s">
        <v>119</v>
      </c>
      <c r="D6811">
        <v>2</v>
      </c>
      <c r="E6811">
        <v>0</v>
      </c>
      <c r="I6811">
        <v>2</v>
      </c>
      <c r="M6811" t="s">
        <v>6936</v>
      </c>
    </row>
    <row r="6812" spans="1:13" ht="15" customHeight="1">
      <c r="A6812" s="10">
        <v>46200</v>
      </c>
      <c r="B6812" t="s">
        <v>201</v>
      </c>
      <c r="C6812" t="s">
        <v>120</v>
      </c>
      <c r="D6812">
        <v>2</v>
      </c>
      <c r="E6812">
        <v>0</v>
      </c>
      <c r="I6812">
        <v>2</v>
      </c>
      <c r="M6812" t="s">
        <v>6937</v>
      </c>
    </row>
    <row r="6813" spans="1:13" ht="15" customHeight="1">
      <c r="A6813" s="10">
        <v>46200</v>
      </c>
      <c r="B6813" t="s">
        <v>201</v>
      </c>
      <c r="C6813" t="s">
        <v>121</v>
      </c>
      <c r="D6813">
        <v>2</v>
      </c>
      <c r="E6813">
        <v>0</v>
      </c>
      <c r="I6813">
        <v>2</v>
      </c>
      <c r="M6813" t="s">
        <v>6938</v>
      </c>
    </row>
    <row r="6814" spans="1:13" ht="15" customHeight="1">
      <c r="A6814" s="10">
        <v>46200</v>
      </c>
      <c r="B6814" t="s">
        <v>201</v>
      </c>
      <c r="C6814" t="s">
        <v>123</v>
      </c>
      <c r="D6814">
        <v>2</v>
      </c>
      <c r="E6814">
        <v>0</v>
      </c>
      <c r="I6814">
        <v>2</v>
      </c>
      <c r="M6814" t="s">
        <v>6939</v>
      </c>
    </row>
    <row r="6815" spans="1:13" ht="15" customHeight="1">
      <c r="A6815" s="10">
        <v>46200</v>
      </c>
      <c r="B6815" t="s">
        <v>201</v>
      </c>
      <c r="C6815" t="s">
        <v>124</v>
      </c>
      <c r="D6815">
        <v>2</v>
      </c>
      <c r="E6815">
        <v>0</v>
      </c>
      <c r="I6815">
        <v>2</v>
      </c>
      <c r="M6815" t="s">
        <v>6940</v>
      </c>
    </row>
    <row r="6816" spans="1:13" ht="15" customHeight="1">
      <c r="A6816" s="10">
        <v>46200</v>
      </c>
      <c r="B6816" t="s">
        <v>201</v>
      </c>
      <c r="C6816" t="s">
        <v>125</v>
      </c>
      <c r="D6816">
        <v>2</v>
      </c>
      <c r="E6816">
        <v>0</v>
      </c>
      <c r="I6816">
        <v>2</v>
      </c>
      <c r="M6816" t="s">
        <v>6941</v>
      </c>
    </row>
    <row r="6817" spans="1:13" ht="15" customHeight="1">
      <c r="A6817" s="10">
        <v>46200</v>
      </c>
      <c r="B6817" t="s">
        <v>201</v>
      </c>
      <c r="C6817" t="s">
        <v>126</v>
      </c>
      <c r="D6817">
        <v>2</v>
      </c>
      <c r="E6817">
        <v>0</v>
      </c>
      <c r="I6817">
        <v>2</v>
      </c>
      <c r="M6817" t="s">
        <v>6942</v>
      </c>
    </row>
    <row r="6818" spans="1:13" ht="15" customHeight="1">
      <c r="A6818" s="10">
        <v>46200</v>
      </c>
      <c r="B6818" t="s">
        <v>201</v>
      </c>
      <c r="C6818" t="s">
        <v>128</v>
      </c>
      <c r="D6818">
        <v>2</v>
      </c>
      <c r="E6818">
        <v>0</v>
      </c>
      <c r="I6818">
        <v>2</v>
      </c>
      <c r="M6818" t="s">
        <v>6943</v>
      </c>
    </row>
    <row r="6819" spans="1:13" ht="15" customHeight="1">
      <c r="A6819" s="10">
        <v>46200</v>
      </c>
      <c r="B6819" t="s">
        <v>201</v>
      </c>
      <c r="C6819" t="s">
        <v>130</v>
      </c>
      <c r="D6819">
        <v>4</v>
      </c>
      <c r="E6819">
        <v>0</v>
      </c>
      <c r="I6819">
        <v>4</v>
      </c>
      <c r="M6819" t="s">
        <v>6944</v>
      </c>
    </row>
    <row r="6820" spans="1:13" ht="15" customHeight="1">
      <c r="A6820" s="10">
        <v>46200</v>
      </c>
      <c r="B6820" t="s">
        <v>201</v>
      </c>
      <c r="C6820" t="s">
        <v>285</v>
      </c>
      <c r="D6820">
        <v>2</v>
      </c>
      <c r="E6820">
        <v>0</v>
      </c>
      <c r="I6820">
        <v>2</v>
      </c>
      <c r="M6820" t="s">
        <v>6945</v>
      </c>
    </row>
    <row r="6821" spans="1:13" ht="15" customHeight="1">
      <c r="A6821" s="10">
        <v>46200</v>
      </c>
      <c r="B6821" t="s">
        <v>201</v>
      </c>
      <c r="C6821" t="s">
        <v>287</v>
      </c>
      <c r="D6821">
        <v>6</v>
      </c>
      <c r="E6821">
        <v>0</v>
      </c>
      <c r="I6821">
        <v>6</v>
      </c>
      <c r="M6821" t="s">
        <v>6946</v>
      </c>
    </row>
    <row r="6822" spans="1:13" ht="15" customHeight="1">
      <c r="A6822" s="10">
        <v>46200</v>
      </c>
      <c r="B6822" t="s">
        <v>201</v>
      </c>
      <c r="C6822" t="s">
        <v>289</v>
      </c>
      <c r="D6822">
        <v>2</v>
      </c>
      <c r="E6822">
        <v>0</v>
      </c>
      <c r="I6822">
        <v>2</v>
      </c>
      <c r="M6822" t="s">
        <v>6947</v>
      </c>
    </row>
    <row r="6823" spans="1:13" ht="15" customHeight="1">
      <c r="A6823" s="10">
        <v>46200</v>
      </c>
      <c r="B6823" t="s">
        <v>201</v>
      </c>
      <c r="C6823" t="s">
        <v>291</v>
      </c>
      <c r="D6823">
        <v>1</v>
      </c>
      <c r="E6823">
        <v>0</v>
      </c>
      <c r="I6823">
        <v>1</v>
      </c>
      <c r="M6823" t="s">
        <v>6948</v>
      </c>
    </row>
    <row r="6824" spans="1:13" ht="15" customHeight="1">
      <c r="A6824" s="10">
        <v>46200</v>
      </c>
      <c r="B6824" t="s">
        <v>201</v>
      </c>
      <c r="C6824" t="s">
        <v>293</v>
      </c>
      <c r="D6824">
        <v>2</v>
      </c>
      <c r="E6824">
        <v>0</v>
      </c>
      <c r="I6824">
        <v>2</v>
      </c>
      <c r="M6824" t="s">
        <v>6949</v>
      </c>
    </row>
    <row r="6825" spans="1:13" ht="15" customHeight="1">
      <c r="A6825" s="10">
        <v>46200</v>
      </c>
      <c r="B6825" t="s">
        <v>201</v>
      </c>
      <c r="C6825" s="135" t="s">
        <v>138</v>
      </c>
      <c r="D6825">
        <v>0</v>
      </c>
      <c r="E6825">
        <v>58</v>
      </c>
      <c r="I6825">
        <v>0</v>
      </c>
      <c r="J6825">
        <v>55</v>
      </c>
      <c r="M6825" t="s">
        <v>6950</v>
      </c>
    </row>
    <row r="6826" spans="1:13" ht="15" customHeight="1">
      <c r="A6826" s="10">
        <v>46200</v>
      </c>
      <c r="B6826" t="s">
        <v>201</v>
      </c>
      <c r="C6826" s="135" t="s">
        <v>139</v>
      </c>
      <c r="D6826">
        <v>0</v>
      </c>
      <c r="E6826">
        <v>38</v>
      </c>
      <c r="I6826">
        <v>0</v>
      </c>
      <c r="J6826">
        <v>35</v>
      </c>
      <c r="M6826" t="s">
        <v>6951</v>
      </c>
    </row>
    <row r="6827" spans="1:13" ht="15" customHeight="1">
      <c r="A6827" s="10">
        <v>46200</v>
      </c>
      <c r="B6827" t="s">
        <v>201</v>
      </c>
      <c r="C6827" s="135" t="s">
        <v>140</v>
      </c>
      <c r="D6827">
        <v>0</v>
      </c>
      <c r="E6827">
        <v>29</v>
      </c>
      <c r="G6827">
        <v>20</v>
      </c>
      <c r="I6827">
        <v>0</v>
      </c>
      <c r="J6827">
        <v>49</v>
      </c>
      <c r="M6827" t="s">
        <v>6952</v>
      </c>
    </row>
    <row r="6828" spans="1:13" ht="15" customHeight="1">
      <c r="A6828" s="10">
        <v>46200</v>
      </c>
      <c r="B6828" t="s">
        <v>201</v>
      </c>
      <c r="C6828" s="135" t="s">
        <v>141</v>
      </c>
      <c r="D6828">
        <v>0</v>
      </c>
      <c r="E6828">
        <v>1</v>
      </c>
      <c r="I6828">
        <v>0</v>
      </c>
      <c r="J6828">
        <v>1</v>
      </c>
      <c r="M6828" t="s">
        <v>6953</v>
      </c>
    </row>
    <row r="6829" spans="1:13" ht="15" customHeight="1">
      <c r="A6829" s="10">
        <v>46200</v>
      </c>
      <c r="B6829" t="s">
        <v>201</v>
      </c>
      <c r="C6829" s="135" t="s">
        <v>143</v>
      </c>
      <c r="D6829">
        <v>0</v>
      </c>
      <c r="E6829">
        <v>38</v>
      </c>
      <c r="I6829">
        <v>0</v>
      </c>
      <c r="J6829">
        <v>35</v>
      </c>
      <c r="M6829" t="s">
        <v>6954</v>
      </c>
    </row>
    <row r="6830" spans="1:13" ht="15" customHeight="1">
      <c r="A6830" s="10">
        <v>46200</v>
      </c>
      <c r="B6830" t="s">
        <v>201</v>
      </c>
      <c r="C6830" s="135" t="s">
        <v>145</v>
      </c>
      <c r="D6830">
        <v>0</v>
      </c>
      <c r="E6830">
        <v>14</v>
      </c>
      <c r="G6830">
        <v>40</v>
      </c>
      <c r="I6830">
        <v>0</v>
      </c>
      <c r="J6830">
        <v>52</v>
      </c>
      <c r="M6830" t="s">
        <v>6955</v>
      </c>
    </row>
    <row r="6831" spans="1:13" ht="15" customHeight="1">
      <c r="A6831" s="10">
        <v>46200</v>
      </c>
      <c r="B6831" t="s">
        <v>201</v>
      </c>
      <c r="C6831" s="135" t="s">
        <v>147</v>
      </c>
      <c r="D6831">
        <v>0</v>
      </c>
      <c r="E6831">
        <v>27</v>
      </c>
      <c r="G6831">
        <v>20</v>
      </c>
      <c r="I6831">
        <v>0</v>
      </c>
      <c r="J6831">
        <v>48</v>
      </c>
      <c r="M6831" t="s">
        <v>6956</v>
      </c>
    </row>
    <row r="6832" spans="1:13" ht="15" customHeight="1">
      <c r="A6832" s="10">
        <v>46200</v>
      </c>
      <c r="B6832" t="s">
        <v>201</v>
      </c>
      <c r="C6832" t="s">
        <v>302</v>
      </c>
      <c r="D6832">
        <v>1</v>
      </c>
      <c r="E6832">
        <v>2</v>
      </c>
      <c r="I6832">
        <v>1</v>
      </c>
      <c r="M6832" t="s">
        <v>6957</v>
      </c>
    </row>
    <row r="6833" spans="1:13" ht="15" customHeight="1">
      <c r="A6833" s="10">
        <v>46200</v>
      </c>
      <c r="B6833" t="s">
        <v>201</v>
      </c>
      <c r="C6833" t="s">
        <v>150</v>
      </c>
      <c r="D6833">
        <v>3</v>
      </c>
      <c r="E6833">
        <v>0</v>
      </c>
      <c r="I6833">
        <v>3</v>
      </c>
      <c r="M6833" t="s">
        <v>6958</v>
      </c>
    </row>
    <row r="6834" spans="1:13" ht="15" customHeight="1">
      <c r="A6834" s="10">
        <v>46200</v>
      </c>
      <c r="B6834" t="s">
        <v>201</v>
      </c>
      <c r="C6834" t="s">
        <v>151</v>
      </c>
      <c r="D6834">
        <v>1</v>
      </c>
      <c r="E6834">
        <v>0</v>
      </c>
      <c r="F6834">
        <v>1</v>
      </c>
      <c r="I6834">
        <v>2</v>
      </c>
      <c r="M6834" t="s">
        <v>6959</v>
      </c>
    </row>
    <row r="6835" spans="1:13" ht="15" customHeight="1">
      <c r="A6835" s="10">
        <v>46200</v>
      </c>
      <c r="B6835" t="s">
        <v>201</v>
      </c>
      <c r="C6835" t="s">
        <v>152</v>
      </c>
      <c r="D6835">
        <v>2</v>
      </c>
      <c r="E6835">
        <v>0</v>
      </c>
      <c r="I6835">
        <v>2</v>
      </c>
      <c r="M6835" t="s">
        <v>6960</v>
      </c>
    </row>
    <row r="6836" spans="1:13" ht="15" customHeight="1">
      <c r="A6836" s="10">
        <v>46200</v>
      </c>
      <c r="B6836" t="s">
        <v>201</v>
      </c>
      <c r="C6836" t="s">
        <v>153</v>
      </c>
      <c r="D6836">
        <v>2</v>
      </c>
      <c r="E6836">
        <v>0</v>
      </c>
      <c r="I6836">
        <v>2</v>
      </c>
      <c r="M6836" t="s">
        <v>6961</v>
      </c>
    </row>
    <row r="6837" spans="1:13" ht="15" customHeight="1">
      <c r="A6837" s="10">
        <v>46200</v>
      </c>
      <c r="B6837" t="s">
        <v>201</v>
      </c>
      <c r="C6837" t="s">
        <v>308</v>
      </c>
      <c r="D6837">
        <v>0</v>
      </c>
      <c r="E6837">
        <v>4</v>
      </c>
      <c r="I6837">
        <v>0</v>
      </c>
      <c r="J6837">
        <v>4</v>
      </c>
      <c r="M6837" t="s">
        <v>6962</v>
      </c>
    </row>
    <row r="6838" spans="1:13" ht="15" customHeight="1">
      <c r="A6838" s="10">
        <v>46200</v>
      </c>
      <c r="B6838" t="s">
        <v>201</v>
      </c>
      <c r="C6838" t="s">
        <v>310</v>
      </c>
      <c r="D6838">
        <v>0</v>
      </c>
      <c r="E6838">
        <v>2</v>
      </c>
      <c r="I6838">
        <v>0</v>
      </c>
      <c r="J6838">
        <v>2</v>
      </c>
      <c r="M6838" t="s">
        <v>6963</v>
      </c>
    </row>
    <row r="6839" spans="1:13" ht="15" customHeight="1">
      <c r="A6839" s="10">
        <v>46200</v>
      </c>
      <c r="B6839" t="s">
        <v>201</v>
      </c>
      <c r="C6839" t="s">
        <v>312</v>
      </c>
      <c r="D6839">
        <v>0</v>
      </c>
      <c r="E6839">
        <v>4</v>
      </c>
      <c r="I6839">
        <v>0</v>
      </c>
      <c r="J6839">
        <v>4</v>
      </c>
      <c r="M6839" t="s">
        <v>6964</v>
      </c>
    </row>
    <row r="6840" spans="1:13" ht="15" customHeight="1">
      <c r="A6840" s="10">
        <v>46200</v>
      </c>
      <c r="B6840" t="s">
        <v>201</v>
      </c>
      <c r="C6840" t="s">
        <v>314</v>
      </c>
      <c r="D6840">
        <v>1</v>
      </c>
      <c r="E6840">
        <v>0</v>
      </c>
      <c r="I6840">
        <v>1</v>
      </c>
      <c r="M6840" t="s">
        <v>6965</v>
      </c>
    </row>
    <row r="6841" spans="1:13" ht="15" customHeight="1">
      <c r="A6841" s="10">
        <v>46200</v>
      </c>
      <c r="B6841" t="s">
        <v>201</v>
      </c>
      <c r="C6841" t="s">
        <v>316</v>
      </c>
      <c r="D6841">
        <v>1</v>
      </c>
      <c r="E6841">
        <v>0</v>
      </c>
      <c r="I6841">
        <v>1</v>
      </c>
      <c r="M6841" t="s">
        <v>6966</v>
      </c>
    </row>
    <row r="6842" spans="1:13" ht="15" customHeight="1">
      <c r="A6842" s="10">
        <v>46200</v>
      </c>
      <c r="B6842" t="s">
        <v>201</v>
      </c>
      <c r="C6842" t="s">
        <v>318</v>
      </c>
      <c r="D6842">
        <v>2</v>
      </c>
      <c r="E6842">
        <v>0</v>
      </c>
      <c r="F6842">
        <v>2</v>
      </c>
      <c r="I6842">
        <v>3</v>
      </c>
      <c r="M6842" t="s">
        <v>6967</v>
      </c>
    </row>
    <row r="6843" spans="1:13" ht="15" customHeight="1">
      <c r="A6843" s="10">
        <v>46200</v>
      </c>
      <c r="B6843" t="s">
        <v>201</v>
      </c>
      <c r="C6843" t="s">
        <v>320</v>
      </c>
      <c r="D6843">
        <v>2</v>
      </c>
      <c r="E6843">
        <v>0</v>
      </c>
      <c r="I6843">
        <v>2</v>
      </c>
      <c r="M6843" t="s">
        <v>6968</v>
      </c>
    </row>
    <row r="6844" spans="1:13" ht="15" customHeight="1">
      <c r="A6844" s="10">
        <v>46200</v>
      </c>
      <c r="B6844" t="s">
        <v>201</v>
      </c>
      <c r="C6844" t="s">
        <v>322</v>
      </c>
      <c r="D6844">
        <v>2</v>
      </c>
      <c r="E6844">
        <v>0</v>
      </c>
      <c r="I6844">
        <v>2</v>
      </c>
      <c r="M6844" t="s">
        <v>6969</v>
      </c>
    </row>
    <row r="6845" spans="1:13" ht="15" customHeight="1">
      <c r="A6845" s="10">
        <v>46200</v>
      </c>
      <c r="B6845" t="s">
        <v>201</v>
      </c>
      <c r="C6845" s="135" t="s">
        <v>168</v>
      </c>
      <c r="D6845">
        <v>1</v>
      </c>
      <c r="E6845">
        <v>0</v>
      </c>
      <c r="I6845">
        <v>1</v>
      </c>
      <c r="M6845" t="s">
        <v>6970</v>
      </c>
    </row>
    <row r="6846" spans="1:13" ht="15" customHeight="1">
      <c r="A6846" s="10">
        <v>46200</v>
      </c>
      <c r="B6846" t="s">
        <v>201</v>
      </c>
      <c r="C6846" s="135" t="s">
        <v>170</v>
      </c>
      <c r="D6846">
        <v>1</v>
      </c>
      <c r="E6846">
        <v>0</v>
      </c>
      <c r="I6846">
        <v>1</v>
      </c>
      <c r="M6846" t="s">
        <v>6971</v>
      </c>
    </row>
    <row r="6847" spans="1:13" ht="15" customHeight="1">
      <c r="A6847" s="10">
        <v>46200</v>
      </c>
      <c r="B6847" t="s">
        <v>201</v>
      </c>
      <c r="C6847" s="135" t="s">
        <v>171</v>
      </c>
      <c r="D6847">
        <v>3</v>
      </c>
      <c r="E6847">
        <v>0</v>
      </c>
      <c r="I6847">
        <v>3</v>
      </c>
      <c r="M6847" t="s">
        <v>6972</v>
      </c>
    </row>
    <row r="6848" spans="1:13" ht="15" customHeight="1">
      <c r="A6848" s="10">
        <v>46200</v>
      </c>
      <c r="B6848" t="s">
        <v>201</v>
      </c>
      <c r="C6848" s="135" t="s">
        <v>172</v>
      </c>
      <c r="D6848">
        <v>1</v>
      </c>
      <c r="E6848">
        <v>0</v>
      </c>
      <c r="I6848">
        <v>1</v>
      </c>
      <c r="M6848" t="s">
        <v>6973</v>
      </c>
    </row>
    <row r="6849" spans="1:13" ht="15" customHeight="1">
      <c r="A6849" s="10">
        <v>46200</v>
      </c>
      <c r="B6849" t="s">
        <v>201</v>
      </c>
      <c r="C6849" s="135" t="s">
        <v>173</v>
      </c>
      <c r="D6849">
        <v>0</v>
      </c>
      <c r="E6849">
        <v>0</v>
      </c>
      <c r="I6849">
        <v>0</v>
      </c>
      <c r="M6849" t="s">
        <v>6974</v>
      </c>
    </row>
    <row r="6850" spans="1:13" ht="15" customHeight="1">
      <c r="A6850" s="10">
        <v>46200</v>
      </c>
      <c r="B6850" t="s">
        <v>201</v>
      </c>
      <c r="C6850" t="s">
        <v>176</v>
      </c>
      <c r="D6850">
        <v>0</v>
      </c>
      <c r="E6850">
        <v>21</v>
      </c>
      <c r="I6850">
        <v>0</v>
      </c>
      <c r="J6850">
        <v>21</v>
      </c>
      <c r="M6850" t="s">
        <v>6975</v>
      </c>
    </row>
    <row r="6851" spans="1:13" ht="15" customHeight="1">
      <c r="A6851" s="10">
        <v>46200</v>
      </c>
      <c r="B6851" t="s">
        <v>201</v>
      </c>
      <c r="C6851" t="s">
        <v>178</v>
      </c>
      <c r="D6851">
        <v>0</v>
      </c>
      <c r="E6851">
        <v>22</v>
      </c>
      <c r="I6851">
        <v>0</v>
      </c>
      <c r="J6851">
        <v>22</v>
      </c>
      <c r="M6851" t="s">
        <v>6976</v>
      </c>
    </row>
    <row r="6852" spans="1:13" ht="15" customHeight="1">
      <c r="A6852" s="10">
        <v>46200</v>
      </c>
      <c r="B6852" t="s">
        <v>201</v>
      </c>
      <c r="C6852" t="s">
        <v>179</v>
      </c>
      <c r="D6852">
        <v>0</v>
      </c>
      <c r="E6852">
        <v>15</v>
      </c>
      <c r="I6852">
        <v>0</v>
      </c>
      <c r="J6852">
        <v>15</v>
      </c>
      <c r="M6852" t="s">
        <v>6977</v>
      </c>
    </row>
    <row r="6853" spans="1:13" ht="15" customHeight="1">
      <c r="A6853" s="10">
        <v>46200</v>
      </c>
      <c r="B6853" t="s">
        <v>201</v>
      </c>
      <c r="C6853" t="s">
        <v>180</v>
      </c>
      <c r="D6853">
        <v>0</v>
      </c>
      <c r="E6853">
        <v>15</v>
      </c>
      <c r="H6853">
        <v>1</v>
      </c>
      <c r="I6853">
        <v>0</v>
      </c>
      <c r="J6853">
        <v>14</v>
      </c>
      <c r="M6853" t="s">
        <v>6978</v>
      </c>
    </row>
    <row r="6854" spans="1:13" ht="15" customHeight="1">
      <c r="A6854" s="10">
        <v>46200</v>
      </c>
      <c r="B6854" t="s">
        <v>201</v>
      </c>
      <c r="C6854" s="135" t="s">
        <v>182</v>
      </c>
      <c r="D6854">
        <v>1</v>
      </c>
      <c r="E6854">
        <v>50</v>
      </c>
      <c r="I6854">
        <v>1</v>
      </c>
      <c r="J6854">
        <v>150</v>
      </c>
      <c r="M6854" t="s">
        <v>6979</v>
      </c>
    </row>
    <row r="6855" spans="1:13" ht="15" customHeight="1">
      <c r="A6855" s="10">
        <v>46200</v>
      </c>
      <c r="B6855" t="s">
        <v>201</v>
      </c>
      <c r="C6855" s="135" t="s">
        <v>184</v>
      </c>
      <c r="D6855">
        <v>0</v>
      </c>
      <c r="E6855">
        <v>70</v>
      </c>
      <c r="I6855">
        <v>0</v>
      </c>
      <c r="J6855">
        <v>64</v>
      </c>
      <c r="M6855" t="s">
        <v>6980</v>
      </c>
    </row>
    <row r="6856" spans="1:13" ht="15" customHeight="1">
      <c r="A6856" s="10">
        <v>46200</v>
      </c>
      <c r="B6856" t="s">
        <v>201</v>
      </c>
      <c r="C6856" s="135" t="s">
        <v>185</v>
      </c>
      <c r="D6856">
        <v>1</v>
      </c>
      <c r="E6856">
        <v>26</v>
      </c>
      <c r="I6856">
        <v>1</v>
      </c>
      <c r="J6856">
        <v>26</v>
      </c>
      <c r="M6856" t="s">
        <v>6981</v>
      </c>
    </row>
    <row r="6857" spans="1:13" ht="15" customHeight="1">
      <c r="A6857" s="10">
        <v>46200</v>
      </c>
      <c r="B6857" t="s">
        <v>201</v>
      </c>
      <c r="C6857" s="135" t="s">
        <v>186</v>
      </c>
      <c r="D6857">
        <v>1</v>
      </c>
      <c r="E6857">
        <v>500</v>
      </c>
      <c r="I6857">
        <v>1</v>
      </c>
      <c r="J6857">
        <v>500</v>
      </c>
      <c r="M6857" t="s">
        <v>6982</v>
      </c>
    </row>
    <row r="6858" spans="1:13" ht="15" customHeight="1">
      <c r="A6858" s="10">
        <v>46200</v>
      </c>
      <c r="B6858" t="s">
        <v>201</v>
      </c>
      <c r="C6858" t="s">
        <v>337</v>
      </c>
      <c r="D6858">
        <v>0</v>
      </c>
      <c r="E6858">
        <v>386</v>
      </c>
      <c r="F6858">
        <v>2</v>
      </c>
      <c r="I6858">
        <v>2</v>
      </c>
      <c r="J6858">
        <v>3776</v>
      </c>
      <c r="M6858" t="s">
        <v>6983</v>
      </c>
    </row>
    <row r="6859" spans="1:13" ht="15" customHeight="1">
      <c r="A6859" s="10">
        <v>46200</v>
      </c>
      <c r="B6859" t="s">
        <v>201</v>
      </c>
      <c r="C6859" t="s">
        <v>339</v>
      </c>
      <c r="D6859">
        <v>0</v>
      </c>
      <c r="E6859">
        <v>0</v>
      </c>
      <c r="I6859">
        <v>0</v>
      </c>
      <c r="J6859">
        <v>0</v>
      </c>
      <c r="M6859" t="s">
        <v>6984</v>
      </c>
    </row>
    <row r="6860" spans="1:13" ht="15" customHeight="1">
      <c r="A6860" s="10">
        <v>46200</v>
      </c>
      <c r="B6860" t="s">
        <v>201</v>
      </c>
      <c r="C6860" s="135" t="s">
        <v>191</v>
      </c>
      <c r="D6860">
        <v>1</v>
      </c>
      <c r="E6860">
        <v>499</v>
      </c>
      <c r="I6860">
        <v>1</v>
      </c>
      <c r="J6860">
        <v>440</v>
      </c>
      <c r="M6860" t="s">
        <v>6985</v>
      </c>
    </row>
    <row r="6861" spans="1:13" ht="15" customHeight="1">
      <c r="A6861" s="10">
        <v>46200</v>
      </c>
      <c r="B6861" t="s">
        <v>201</v>
      </c>
      <c r="C6861" s="135" t="s">
        <v>193</v>
      </c>
      <c r="D6861">
        <v>0</v>
      </c>
      <c r="E6861">
        <v>516</v>
      </c>
      <c r="I6861">
        <v>0</v>
      </c>
      <c r="J6861">
        <v>494</v>
      </c>
      <c r="M6861" t="s">
        <v>6986</v>
      </c>
    </row>
    <row r="6862" spans="1:13" ht="15" customHeight="1">
      <c r="A6862" s="10">
        <v>46200</v>
      </c>
      <c r="B6862" t="s">
        <v>201</v>
      </c>
      <c r="C6862" s="135" t="s">
        <v>194</v>
      </c>
      <c r="D6862">
        <v>1</v>
      </c>
      <c r="E6862">
        <v>10</v>
      </c>
      <c r="I6862">
        <v>0</v>
      </c>
      <c r="J6862">
        <v>50</v>
      </c>
      <c r="M6862" t="s">
        <v>6987</v>
      </c>
    </row>
    <row r="6863" spans="1:13" ht="15" customHeight="1">
      <c r="A6863" s="10">
        <v>46200</v>
      </c>
      <c r="B6863" t="s">
        <v>201</v>
      </c>
      <c r="C6863" s="135" t="s">
        <v>196</v>
      </c>
      <c r="D6863">
        <v>0</v>
      </c>
      <c r="E6863">
        <v>226</v>
      </c>
      <c r="I6863">
        <v>0</v>
      </c>
      <c r="J6863">
        <v>226</v>
      </c>
      <c r="M6863" t="s">
        <v>6988</v>
      </c>
    </row>
    <row r="6864" spans="1:13" ht="15" customHeight="1">
      <c r="A6864" s="10">
        <v>46200</v>
      </c>
      <c r="B6864" t="s">
        <v>201</v>
      </c>
      <c r="C6864" s="135" t="s">
        <v>199</v>
      </c>
      <c r="D6864">
        <v>0</v>
      </c>
      <c r="E6864">
        <v>328</v>
      </c>
      <c r="I6864">
        <v>0</v>
      </c>
      <c r="J6864">
        <v>306</v>
      </c>
      <c r="M6864" t="s">
        <v>6989</v>
      </c>
    </row>
    <row r="6865" spans="1:13" ht="15" customHeight="1">
      <c r="A6865" s="10">
        <v>46200</v>
      </c>
      <c r="B6865" t="s">
        <v>201</v>
      </c>
      <c r="C6865" s="135" t="s">
        <v>200</v>
      </c>
      <c r="D6865">
        <v>0</v>
      </c>
      <c r="E6865">
        <v>704</v>
      </c>
      <c r="I6865">
        <v>0</v>
      </c>
      <c r="J6865">
        <v>691</v>
      </c>
      <c r="M6865" t="s">
        <v>6990</v>
      </c>
    </row>
    <row r="6866" spans="1:13" ht="15" customHeight="1">
      <c r="A6866" s="10">
        <v>46200</v>
      </c>
      <c r="B6866" t="s">
        <v>201</v>
      </c>
      <c r="C6866" s="135" t="s">
        <v>202</v>
      </c>
      <c r="D6866">
        <v>0</v>
      </c>
      <c r="E6866">
        <v>584</v>
      </c>
      <c r="I6866">
        <v>0</v>
      </c>
      <c r="J6866">
        <v>573</v>
      </c>
      <c r="M6866" t="s">
        <v>6991</v>
      </c>
    </row>
    <row r="6867" spans="1:13" ht="15" customHeight="1">
      <c r="A6867" s="10">
        <v>46201</v>
      </c>
      <c r="B6867" t="s">
        <v>201</v>
      </c>
      <c r="C6867" t="s">
        <v>23</v>
      </c>
      <c r="D6867">
        <v>6</v>
      </c>
      <c r="E6867">
        <v>2205</v>
      </c>
      <c r="I6867">
        <v>6</v>
      </c>
      <c r="J6867">
        <v>974</v>
      </c>
      <c r="M6867" t="s">
        <v>6992</v>
      </c>
    </row>
    <row r="6868" spans="1:13" ht="15" customHeight="1">
      <c r="A6868" s="10">
        <v>46201</v>
      </c>
      <c r="B6868" t="s">
        <v>201</v>
      </c>
      <c r="C6868" t="s">
        <v>26</v>
      </c>
      <c r="D6868">
        <v>2</v>
      </c>
      <c r="E6868">
        <v>529</v>
      </c>
      <c r="I6868">
        <v>2</v>
      </c>
      <c r="J6868">
        <v>280</v>
      </c>
      <c r="M6868" t="s">
        <v>6993</v>
      </c>
    </row>
    <row r="6869" spans="1:13" ht="15" customHeight="1">
      <c r="A6869" s="10">
        <v>46201</v>
      </c>
      <c r="B6869" t="s">
        <v>201</v>
      </c>
      <c r="C6869" t="s">
        <v>27</v>
      </c>
      <c r="D6869">
        <v>1</v>
      </c>
      <c r="E6869">
        <v>753</v>
      </c>
      <c r="I6869">
        <v>1</v>
      </c>
      <c r="J6869">
        <v>430</v>
      </c>
      <c r="M6869" t="s">
        <v>6994</v>
      </c>
    </row>
    <row r="6870" spans="1:13" ht="15" customHeight="1">
      <c r="A6870" s="10">
        <v>46201</v>
      </c>
      <c r="B6870" t="s">
        <v>201</v>
      </c>
      <c r="C6870" t="s">
        <v>28</v>
      </c>
      <c r="D6870">
        <v>0</v>
      </c>
      <c r="E6870">
        <v>0</v>
      </c>
      <c r="I6870">
        <v>0</v>
      </c>
      <c r="J6870">
        <v>0</v>
      </c>
      <c r="M6870" t="s">
        <v>6995</v>
      </c>
    </row>
    <row r="6871" spans="1:13" ht="15" customHeight="1">
      <c r="A6871" s="10">
        <v>46201</v>
      </c>
      <c r="B6871" t="s">
        <v>201</v>
      </c>
      <c r="C6871" t="s">
        <v>29</v>
      </c>
      <c r="D6871">
        <v>1</v>
      </c>
      <c r="E6871">
        <v>878</v>
      </c>
      <c r="I6871">
        <v>1</v>
      </c>
      <c r="J6871">
        <v>855</v>
      </c>
      <c r="M6871" t="s">
        <v>6996</v>
      </c>
    </row>
    <row r="6872" spans="1:13" ht="15" customHeight="1">
      <c r="A6872" s="10">
        <v>46201</v>
      </c>
      <c r="B6872" t="s">
        <v>201</v>
      </c>
      <c r="C6872" t="s">
        <v>30</v>
      </c>
      <c r="D6872">
        <v>0</v>
      </c>
      <c r="E6872">
        <v>1164</v>
      </c>
      <c r="I6872">
        <v>0</v>
      </c>
      <c r="J6872">
        <v>1135</v>
      </c>
      <c r="M6872" t="s">
        <v>6997</v>
      </c>
    </row>
    <row r="6873" spans="1:13" ht="15" customHeight="1">
      <c r="A6873" s="10">
        <v>46201</v>
      </c>
      <c r="B6873" t="s">
        <v>201</v>
      </c>
      <c r="C6873" t="s">
        <v>31</v>
      </c>
      <c r="D6873">
        <v>2</v>
      </c>
      <c r="E6873">
        <v>442</v>
      </c>
      <c r="I6873">
        <v>1</v>
      </c>
      <c r="J6873">
        <v>1185</v>
      </c>
      <c r="M6873" t="s">
        <v>6998</v>
      </c>
    </row>
    <row r="6874" spans="1:13" ht="15" customHeight="1">
      <c r="A6874" s="10">
        <v>46201</v>
      </c>
      <c r="B6874" t="s">
        <v>201</v>
      </c>
      <c r="C6874" t="s">
        <v>32</v>
      </c>
      <c r="D6874">
        <v>2</v>
      </c>
      <c r="E6874">
        <v>0</v>
      </c>
      <c r="I6874">
        <v>1</v>
      </c>
      <c r="J6874">
        <v>100</v>
      </c>
      <c r="M6874" t="s">
        <v>6999</v>
      </c>
    </row>
    <row r="6875" spans="1:13" ht="15" customHeight="1">
      <c r="A6875" s="10">
        <v>46201</v>
      </c>
      <c r="B6875" t="s">
        <v>201</v>
      </c>
      <c r="C6875" t="s">
        <v>223</v>
      </c>
      <c r="D6875">
        <v>5</v>
      </c>
      <c r="E6875">
        <v>872</v>
      </c>
      <c r="F6875">
        <v>1</v>
      </c>
      <c r="I6875">
        <v>4</v>
      </c>
      <c r="J6875">
        <v>1678</v>
      </c>
      <c r="M6875" t="s">
        <v>7000</v>
      </c>
    </row>
    <row r="6876" spans="1:13" ht="15" customHeight="1">
      <c r="A6876" s="10">
        <v>46201</v>
      </c>
      <c r="B6876" t="s">
        <v>201</v>
      </c>
      <c r="C6876" t="s">
        <v>35</v>
      </c>
      <c r="D6876">
        <v>12</v>
      </c>
      <c r="E6876">
        <v>0</v>
      </c>
      <c r="H6876">
        <v>2</v>
      </c>
      <c r="I6876">
        <v>10</v>
      </c>
      <c r="M6876" t="s">
        <v>7001</v>
      </c>
    </row>
    <row r="6877" spans="1:13" ht="15" customHeight="1">
      <c r="A6877" s="10">
        <v>46201</v>
      </c>
      <c r="B6877" t="s">
        <v>201</v>
      </c>
      <c r="C6877" t="s">
        <v>37</v>
      </c>
      <c r="D6877">
        <v>4</v>
      </c>
      <c r="E6877">
        <v>0</v>
      </c>
      <c r="I6877">
        <v>2</v>
      </c>
      <c r="K6877">
        <v>2</v>
      </c>
      <c r="L6877" t="s">
        <v>5545</v>
      </c>
      <c r="M6877" t="s">
        <v>7002</v>
      </c>
    </row>
    <row r="6878" spans="1:13" ht="15" customHeight="1">
      <c r="A6878" s="10">
        <v>46201</v>
      </c>
      <c r="B6878" t="s">
        <v>201</v>
      </c>
      <c r="C6878" t="s">
        <v>39</v>
      </c>
      <c r="D6878">
        <v>21</v>
      </c>
      <c r="E6878">
        <v>0</v>
      </c>
      <c r="H6878">
        <v>2</v>
      </c>
      <c r="I6878">
        <v>19</v>
      </c>
      <c r="M6878" t="s">
        <v>7003</v>
      </c>
    </row>
    <row r="6879" spans="1:13" ht="15" customHeight="1">
      <c r="A6879" s="10">
        <v>46201</v>
      </c>
      <c r="B6879" t="s">
        <v>201</v>
      </c>
      <c r="C6879" t="s">
        <v>41</v>
      </c>
      <c r="D6879">
        <v>14</v>
      </c>
      <c r="E6879">
        <v>0</v>
      </c>
      <c r="H6879">
        <v>1</v>
      </c>
      <c r="I6879">
        <v>13</v>
      </c>
      <c r="M6879" t="s">
        <v>7004</v>
      </c>
    </row>
    <row r="6880" spans="1:13" ht="15" customHeight="1">
      <c r="A6880" s="10">
        <v>46201</v>
      </c>
      <c r="B6880" t="s">
        <v>201</v>
      </c>
      <c r="C6880" s="135" t="s">
        <v>44</v>
      </c>
      <c r="D6880">
        <v>4</v>
      </c>
      <c r="E6880">
        <v>5845</v>
      </c>
      <c r="I6880">
        <v>3</v>
      </c>
      <c r="J6880">
        <v>5343</v>
      </c>
      <c r="M6880" t="s">
        <v>7005</v>
      </c>
    </row>
    <row r="6881" spans="1:13" ht="15" customHeight="1">
      <c r="A6881" s="10">
        <v>46201</v>
      </c>
      <c r="B6881" t="s">
        <v>201</v>
      </c>
      <c r="C6881" t="s">
        <v>230</v>
      </c>
      <c r="D6881">
        <v>1</v>
      </c>
      <c r="E6881">
        <v>523</v>
      </c>
      <c r="I6881">
        <v>1</v>
      </c>
      <c r="J6881">
        <v>464</v>
      </c>
      <c r="M6881" t="s">
        <v>7006</v>
      </c>
    </row>
    <row r="6882" spans="1:13" ht="15" customHeight="1">
      <c r="A6882" s="10">
        <v>46201</v>
      </c>
      <c r="B6882" t="s">
        <v>201</v>
      </c>
      <c r="C6882" t="s">
        <v>232</v>
      </c>
      <c r="D6882">
        <v>5</v>
      </c>
      <c r="E6882">
        <v>0</v>
      </c>
      <c r="I6882">
        <v>5</v>
      </c>
      <c r="M6882" t="s">
        <v>7007</v>
      </c>
    </row>
    <row r="6883" spans="1:13" ht="15" customHeight="1">
      <c r="A6883" s="10">
        <v>46201</v>
      </c>
      <c r="B6883" t="s">
        <v>201</v>
      </c>
      <c r="C6883" t="s">
        <v>234</v>
      </c>
      <c r="D6883">
        <v>67</v>
      </c>
      <c r="E6883">
        <v>0</v>
      </c>
      <c r="H6883">
        <v>11</v>
      </c>
      <c r="I6883">
        <v>56</v>
      </c>
      <c r="M6883" t="s">
        <v>7008</v>
      </c>
    </row>
    <row r="6884" spans="1:13" ht="15" customHeight="1">
      <c r="A6884" s="10">
        <v>46201</v>
      </c>
      <c r="B6884" t="s">
        <v>201</v>
      </c>
      <c r="C6884" t="s">
        <v>54</v>
      </c>
      <c r="D6884">
        <v>0</v>
      </c>
      <c r="E6884">
        <v>0</v>
      </c>
      <c r="I6884">
        <v>0</v>
      </c>
      <c r="M6884" t="s">
        <v>7009</v>
      </c>
    </row>
    <row r="6885" spans="1:13" ht="15" customHeight="1">
      <c r="A6885" s="10">
        <v>46201</v>
      </c>
      <c r="B6885" t="s">
        <v>201</v>
      </c>
      <c r="C6885" t="s">
        <v>237</v>
      </c>
      <c r="D6885">
        <v>13</v>
      </c>
      <c r="E6885">
        <v>0</v>
      </c>
      <c r="I6885">
        <v>13</v>
      </c>
      <c r="M6885" t="s">
        <v>7010</v>
      </c>
    </row>
    <row r="6886" spans="1:13" ht="15" customHeight="1">
      <c r="A6886" s="10">
        <v>46201</v>
      </c>
      <c r="B6886" t="s">
        <v>201</v>
      </c>
      <c r="C6886" s="135" t="s">
        <v>58</v>
      </c>
      <c r="D6886">
        <v>12</v>
      </c>
      <c r="E6886">
        <v>0</v>
      </c>
      <c r="I6886">
        <v>12</v>
      </c>
      <c r="M6886" t="s">
        <v>7011</v>
      </c>
    </row>
    <row r="6887" spans="1:13" ht="15" customHeight="1">
      <c r="A6887" s="10">
        <v>46201</v>
      </c>
      <c r="B6887" t="s">
        <v>201</v>
      </c>
      <c r="C6887" s="135" t="s">
        <v>60</v>
      </c>
      <c r="D6887">
        <v>16</v>
      </c>
      <c r="E6887">
        <v>0</v>
      </c>
      <c r="H6887">
        <v>2</v>
      </c>
      <c r="I6887">
        <v>14</v>
      </c>
      <c r="M6887" t="s">
        <v>7012</v>
      </c>
    </row>
    <row r="6888" spans="1:13" ht="15" customHeight="1">
      <c r="A6888" s="10">
        <v>46201</v>
      </c>
      <c r="B6888" t="s">
        <v>201</v>
      </c>
      <c r="C6888" s="135" t="s">
        <v>61</v>
      </c>
      <c r="D6888">
        <v>15</v>
      </c>
      <c r="E6888">
        <v>0</v>
      </c>
      <c r="H6888">
        <v>2</v>
      </c>
      <c r="I6888">
        <v>13</v>
      </c>
      <c r="M6888" t="s">
        <v>7013</v>
      </c>
    </row>
    <row r="6889" spans="1:13" ht="15" customHeight="1">
      <c r="A6889" s="10">
        <v>46201</v>
      </c>
      <c r="B6889" t="s">
        <v>201</v>
      </c>
      <c r="C6889" s="135" t="s">
        <v>62</v>
      </c>
      <c r="D6889">
        <v>13</v>
      </c>
      <c r="E6889">
        <v>0</v>
      </c>
      <c r="I6889">
        <v>13</v>
      </c>
      <c r="M6889" t="s">
        <v>7014</v>
      </c>
    </row>
    <row r="6890" spans="1:13" ht="15" customHeight="1">
      <c r="A6890" s="10">
        <v>46201</v>
      </c>
      <c r="B6890" t="s">
        <v>201</v>
      </c>
      <c r="C6890" s="135" t="s">
        <v>63</v>
      </c>
      <c r="D6890">
        <v>15</v>
      </c>
      <c r="E6890">
        <v>0</v>
      </c>
      <c r="I6890">
        <v>15</v>
      </c>
      <c r="M6890" t="s">
        <v>7015</v>
      </c>
    </row>
    <row r="6891" spans="1:13" ht="15" customHeight="1">
      <c r="A6891" s="10">
        <v>46201</v>
      </c>
      <c r="B6891" t="s">
        <v>201</v>
      </c>
      <c r="C6891" s="135" t="s">
        <v>64</v>
      </c>
      <c r="D6891">
        <v>12</v>
      </c>
      <c r="E6891">
        <v>0</v>
      </c>
      <c r="I6891">
        <v>12</v>
      </c>
      <c r="M6891" t="s">
        <v>7016</v>
      </c>
    </row>
    <row r="6892" spans="1:13" ht="15" customHeight="1">
      <c r="A6892" s="10">
        <v>46201</v>
      </c>
      <c r="B6892" t="s">
        <v>201</v>
      </c>
      <c r="C6892" t="s">
        <v>66</v>
      </c>
      <c r="D6892">
        <v>5</v>
      </c>
      <c r="E6892">
        <v>0</v>
      </c>
      <c r="I6892">
        <v>5</v>
      </c>
      <c r="M6892" t="s">
        <v>7017</v>
      </c>
    </row>
    <row r="6893" spans="1:13" ht="15" customHeight="1">
      <c r="A6893" s="10">
        <v>46201</v>
      </c>
      <c r="B6893" t="s">
        <v>201</v>
      </c>
      <c r="C6893" t="s">
        <v>67</v>
      </c>
      <c r="D6893">
        <v>5</v>
      </c>
      <c r="E6893">
        <v>0</v>
      </c>
      <c r="I6893">
        <v>5</v>
      </c>
      <c r="M6893" t="s">
        <v>7018</v>
      </c>
    </row>
    <row r="6894" spans="1:13" ht="15" customHeight="1">
      <c r="A6894" s="10">
        <v>46201</v>
      </c>
      <c r="B6894" t="s">
        <v>201</v>
      </c>
      <c r="C6894" t="s">
        <v>68</v>
      </c>
      <c r="D6894">
        <v>2</v>
      </c>
      <c r="E6894">
        <v>0</v>
      </c>
      <c r="H6894">
        <v>1</v>
      </c>
      <c r="I6894">
        <v>1</v>
      </c>
      <c r="M6894" t="s">
        <v>7019</v>
      </c>
    </row>
    <row r="6895" spans="1:13" ht="15" customHeight="1">
      <c r="A6895" s="10">
        <v>46201</v>
      </c>
      <c r="B6895" t="s">
        <v>201</v>
      </c>
      <c r="C6895" t="s">
        <v>71</v>
      </c>
      <c r="D6895">
        <v>1</v>
      </c>
      <c r="E6895">
        <v>337</v>
      </c>
      <c r="I6895">
        <v>1</v>
      </c>
      <c r="J6895">
        <v>219</v>
      </c>
      <c r="M6895" t="s">
        <v>7020</v>
      </c>
    </row>
    <row r="6896" spans="1:13" ht="15" customHeight="1">
      <c r="A6896" s="10">
        <v>46201</v>
      </c>
      <c r="B6896" t="s">
        <v>201</v>
      </c>
      <c r="C6896" t="s">
        <v>73</v>
      </c>
      <c r="D6896">
        <v>1</v>
      </c>
      <c r="E6896">
        <v>625</v>
      </c>
      <c r="I6896">
        <v>1</v>
      </c>
      <c r="J6896">
        <v>563</v>
      </c>
      <c r="M6896" t="s">
        <v>7021</v>
      </c>
    </row>
    <row r="6897" spans="1:13" ht="15" customHeight="1">
      <c r="A6897" s="10">
        <v>46201</v>
      </c>
      <c r="B6897" t="s">
        <v>201</v>
      </c>
      <c r="C6897" t="s">
        <v>75</v>
      </c>
      <c r="D6897">
        <v>1</v>
      </c>
      <c r="E6897">
        <v>216</v>
      </c>
      <c r="I6897">
        <v>1</v>
      </c>
      <c r="J6897">
        <v>237</v>
      </c>
      <c r="M6897" t="s">
        <v>7022</v>
      </c>
    </row>
    <row r="6898" spans="1:13" ht="15" customHeight="1">
      <c r="A6898" s="10">
        <v>46201</v>
      </c>
      <c r="B6898" t="s">
        <v>201</v>
      </c>
      <c r="C6898" t="s">
        <v>77</v>
      </c>
      <c r="D6898">
        <v>1</v>
      </c>
      <c r="E6898">
        <v>180</v>
      </c>
      <c r="I6898">
        <v>1</v>
      </c>
      <c r="J6898">
        <v>154</v>
      </c>
      <c r="M6898" t="s">
        <v>7023</v>
      </c>
    </row>
    <row r="6899" spans="1:13" ht="15" customHeight="1">
      <c r="A6899" s="10">
        <v>46201</v>
      </c>
      <c r="B6899" t="s">
        <v>201</v>
      </c>
      <c r="C6899" t="s">
        <v>79</v>
      </c>
      <c r="D6899">
        <v>1</v>
      </c>
      <c r="E6899">
        <v>1933</v>
      </c>
      <c r="I6899">
        <v>1</v>
      </c>
      <c r="J6899">
        <v>1805</v>
      </c>
      <c r="M6899" t="s">
        <v>7024</v>
      </c>
    </row>
    <row r="6900" spans="1:13" ht="15" customHeight="1">
      <c r="A6900" s="10">
        <v>46201</v>
      </c>
      <c r="B6900" t="s">
        <v>201</v>
      </c>
      <c r="C6900" t="s">
        <v>81</v>
      </c>
      <c r="D6900">
        <v>1</v>
      </c>
      <c r="E6900">
        <v>295</v>
      </c>
      <c r="I6900">
        <v>1</v>
      </c>
      <c r="J6900">
        <v>213</v>
      </c>
      <c r="M6900" t="s">
        <v>7025</v>
      </c>
    </row>
    <row r="6901" spans="1:13" ht="15" customHeight="1">
      <c r="A6901" s="10">
        <v>46201</v>
      </c>
      <c r="B6901" t="s">
        <v>201</v>
      </c>
      <c r="C6901" t="s">
        <v>83</v>
      </c>
      <c r="D6901">
        <v>1</v>
      </c>
      <c r="E6901">
        <v>411</v>
      </c>
      <c r="I6901">
        <v>1</v>
      </c>
      <c r="J6901">
        <v>319</v>
      </c>
      <c r="M6901" t="s">
        <v>7026</v>
      </c>
    </row>
    <row r="6902" spans="1:13" ht="15" customHeight="1">
      <c r="A6902" s="10">
        <v>46201</v>
      </c>
      <c r="B6902" t="s">
        <v>201</v>
      </c>
      <c r="C6902" t="s">
        <v>84</v>
      </c>
      <c r="D6902">
        <v>1</v>
      </c>
      <c r="E6902">
        <v>282</v>
      </c>
      <c r="I6902">
        <v>1</v>
      </c>
      <c r="J6902">
        <v>282</v>
      </c>
      <c r="M6902" t="s">
        <v>7027</v>
      </c>
    </row>
    <row r="6903" spans="1:13" ht="15" customHeight="1">
      <c r="A6903" s="10">
        <v>46201</v>
      </c>
      <c r="B6903" t="s">
        <v>201</v>
      </c>
      <c r="C6903" t="s">
        <v>85</v>
      </c>
      <c r="D6903">
        <v>0</v>
      </c>
      <c r="E6903">
        <v>200</v>
      </c>
      <c r="I6903">
        <v>0</v>
      </c>
      <c r="J6903">
        <v>181</v>
      </c>
      <c r="M6903" t="s">
        <v>7028</v>
      </c>
    </row>
    <row r="6904" spans="1:13" ht="15" customHeight="1">
      <c r="A6904" s="10">
        <v>46201</v>
      </c>
      <c r="B6904" t="s">
        <v>201</v>
      </c>
      <c r="C6904" t="s">
        <v>87</v>
      </c>
      <c r="D6904">
        <v>2</v>
      </c>
      <c r="E6904">
        <v>63</v>
      </c>
      <c r="I6904">
        <v>2</v>
      </c>
      <c r="J6904">
        <v>26</v>
      </c>
      <c r="M6904" t="s">
        <v>7029</v>
      </c>
    </row>
    <row r="6905" spans="1:13" ht="15" customHeight="1">
      <c r="A6905" s="10">
        <v>46201</v>
      </c>
      <c r="B6905" t="s">
        <v>201</v>
      </c>
      <c r="C6905" t="s">
        <v>88</v>
      </c>
      <c r="D6905">
        <v>1</v>
      </c>
      <c r="E6905">
        <v>246</v>
      </c>
      <c r="I6905">
        <v>1</v>
      </c>
      <c r="J6905">
        <v>242</v>
      </c>
      <c r="M6905" t="s">
        <v>7030</v>
      </c>
    </row>
    <row r="6906" spans="1:13" ht="15" customHeight="1">
      <c r="A6906" s="10">
        <v>46201</v>
      </c>
      <c r="B6906" t="s">
        <v>201</v>
      </c>
      <c r="C6906" t="s">
        <v>89</v>
      </c>
      <c r="D6906">
        <v>1</v>
      </c>
      <c r="E6906">
        <v>239</v>
      </c>
      <c r="I6906">
        <v>1</v>
      </c>
      <c r="J6906">
        <v>225</v>
      </c>
      <c r="M6906" t="s">
        <v>7031</v>
      </c>
    </row>
    <row r="6907" spans="1:13" ht="15" customHeight="1">
      <c r="A6907" s="10">
        <v>46201</v>
      </c>
      <c r="B6907" t="s">
        <v>201</v>
      </c>
      <c r="C6907" t="s">
        <v>90</v>
      </c>
      <c r="D6907">
        <v>1</v>
      </c>
      <c r="E6907">
        <v>668</v>
      </c>
      <c r="I6907">
        <v>1</v>
      </c>
      <c r="J6907">
        <v>627</v>
      </c>
      <c r="M6907" t="s">
        <v>7032</v>
      </c>
    </row>
    <row r="6908" spans="1:13" ht="15" customHeight="1">
      <c r="A6908" s="10">
        <v>46201</v>
      </c>
      <c r="B6908" t="s">
        <v>201</v>
      </c>
      <c r="C6908" t="s">
        <v>92</v>
      </c>
      <c r="D6908">
        <v>1</v>
      </c>
      <c r="E6908">
        <v>1079</v>
      </c>
      <c r="I6908">
        <v>1</v>
      </c>
      <c r="J6908">
        <v>1016</v>
      </c>
      <c r="M6908" t="s">
        <v>7033</v>
      </c>
    </row>
    <row r="6909" spans="1:13" ht="15" customHeight="1">
      <c r="A6909" s="10">
        <v>46201</v>
      </c>
      <c r="B6909" t="s">
        <v>201</v>
      </c>
      <c r="C6909" t="s">
        <v>94</v>
      </c>
      <c r="D6909">
        <v>3</v>
      </c>
      <c r="E6909">
        <v>893</v>
      </c>
      <c r="I6909">
        <v>3</v>
      </c>
      <c r="J6909">
        <v>672</v>
      </c>
      <c r="M6909" t="s">
        <v>7034</v>
      </c>
    </row>
    <row r="6910" spans="1:13" ht="15" customHeight="1">
      <c r="A6910" s="10">
        <v>46201</v>
      </c>
      <c r="B6910" t="s">
        <v>201</v>
      </c>
      <c r="C6910" t="s">
        <v>96</v>
      </c>
      <c r="D6910">
        <v>0</v>
      </c>
      <c r="E6910">
        <v>0</v>
      </c>
      <c r="I6910">
        <v>0</v>
      </c>
      <c r="J6910">
        <v>0</v>
      </c>
      <c r="M6910" t="s">
        <v>7035</v>
      </c>
    </row>
    <row r="6911" spans="1:13" ht="15" customHeight="1">
      <c r="A6911" s="10">
        <v>46201</v>
      </c>
      <c r="B6911" t="s">
        <v>201</v>
      </c>
      <c r="C6911" t="s">
        <v>98</v>
      </c>
      <c r="D6911">
        <v>0</v>
      </c>
      <c r="E6911">
        <v>569</v>
      </c>
      <c r="I6911">
        <v>0</v>
      </c>
      <c r="J6911">
        <v>425</v>
      </c>
      <c r="M6911" t="s">
        <v>7036</v>
      </c>
    </row>
    <row r="6912" spans="1:13" ht="15" customHeight="1">
      <c r="A6912" s="10">
        <v>46201</v>
      </c>
      <c r="B6912" t="s">
        <v>201</v>
      </c>
      <c r="C6912" t="s">
        <v>203</v>
      </c>
      <c r="D6912">
        <v>4</v>
      </c>
      <c r="E6912">
        <v>0</v>
      </c>
      <c r="I6912">
        <v>4</v>
      </c>
      <c r="J6912">
        <v>0</v>
      </c>
      <c r="M6912" t="s">
        <v>7037</v>
      </c>
    </row>
    <row r="6913" spans="1:13" ht="15" customHeight="1">
      <c r="A6913" s="10">
        <v>46201</v>
      </c>
      <c r="B6913" t="s">
        <v>201</v>
      </c>
      <c r="C6913" t="s">
        <v>100</v>
      </c>
      <c r="D6913">
        <v>0</v>
      </c>
      <c r="E6913">
        <v>0</v>
      </c>
      <c r="I6913">
        <v>0</v>
      </c>
      <c r="J6913">
        <v>0</v>
      </c>
      <c r="M6913" t="s">
        <v>7038</v>
      </c>
    </row>
    <row r="6914" spans="1:13" ht="15" customHeight="1">
      <c r="A6914" s="10">
        <v>46201</v>
      </c>
      <c r="B6914" t="s">
        <v>201</v>
      </c>
      <c r="C6914" t="s">
        <v>101</v>
      </c>
      <c r="D6914">
        <v>1</v>
      </c>
      <c r="E6914">
        <v>376</v>
      </c>
      <c r="I6914">
        <v>1</v>
      </c>
      <c r="J6914">
        <v>325</v>
      </c>
      <c r="M6914" t="s">
        <v>7039</v>
      </c>
    </row>
    <row r="6915" spans="1:13" ht="15" customHeight="1">
      <c r="A6915" s="10">
        <v>46201</v>
      </c>
      <c r="B6915" t="s">
        <v>201</v>
      </c>
      <c r="C6915" t="s">
        <v>103</v>
      </c>
      <c r="D6915">
        <v>0</v>
      </c>
      <c r="E6915">
        <v>11</v>
      </c>
      <c r="I6915">
        <v>0</v>
      </c>
      <c r="J6915">
        <v>8</v>
      </c>
      <c r="M6915" t="s">
        <v>7040</v>
      </c>
    </row>
    <row r="6916" spans="1:13" ht="15" customHeight="1">
      <c r="A6916" s="10">
        <v>46201</v>
      </c>
      <c r="B6916" t="s">
        <v>201</v>
      </c>
      <c r="C6916" t="s">
        <v>106</v>
      </c>
      <c r="D6916">
        <v>1</v>
      </c>
      <c r="E6916">
        <v>579</v>
      </c>
      <c r="I6916">
        <v>1</v>
      </c>
      <c r="J6916">
        <v>426</v>
      </c>
      <c r="M6916" t="s">
        <v>7041</v>
      </c>
    </row>
    <row r="6917" spans="1:13" ht="15" customHeight="1">
      <c r="A6917" s="10">
        <v>46201</v>
      </c>
      <c r="B6917" t="s">
        <v>201</v>
      </c>
      <c r="C6917" t="s">
        <v>108</v>
      </c>
      <c r="D6917">
        <v>1</v>
      </c>
      <c r="E6917">
        <v>693</v>
      </c>
      <c r="I6917">
        <v>1</v>
      </c>
      <c r="J6917">
        <v>647</v>
      </c>
      <c r="M6917" t="s">
        <v>7042</v>
      </c>
    </row>
    <row r="6918" spans="1:13" ht="15" customHeight="1">
      <c r="A6918" s="10">
        <v>46201</v>
      </c>
      <c r="B6918" t="s">
        <v>201</v>
      </c>
      <c r="C6918" t="s">
        <v>109</v>
      </c>
      <c r="D6918">
        <v>0</v>
      </c>
      <c r="E6918">
        <v>1352</v>
      </c>
      <c r="I6918">
        <v>0</v>
      </c>
      <c r="J6918">
        <v>1243</v>
      </c>
      <c r="M6918" t="s">
        <v>7043</v>
      </c>
    </row>
    <row r="6919" spans="1:13" ht="15" customHeight="1">
      <c r="A6919" s="10">
        <v>46201</v>
      </c>
      <c r="B6919" t="s">
        <v>201</v>
      </c>
      <c r="C6919" t="s">
        <v>112</v>
      </c>
      <c r="D6919">
        <v>1</v>
      </c>
      <c r="E6919">
        <v>56</v>
      </c>
      <c r="I6919">
        <v>1</v>
      </c>
      <c r="J6919">
        <v>48</v>
      </c>
      <c r="M6919" t="s">
        <v>7044</v>
      </c>
    </row>
    <row r="6920" spans="1:13" ht="15" customHeight="1">
      <c r="A6920" s="10">
        <v>46201</v>
      </c>
      <c r="B6920" t="s">
        <v>201</v>
      </c>
      <c r="C6920" t="s">
        <v>114</v>
      </c>
      <c r="D6920">
        <v>2</v>
      </c>
      <c r="E6920">
        <v>13</v>
      </c>
      <c r="I6920">
        <v>1</v>
      </c>
      <c r="J6920">
        <v>38</v>
      </c>
      <c r="M6920" t="s">
        <v>7045</v>
      </c>
    </row>
    <row r="6921" spans="1:13" ht="15" customHeight="1">
      <c r="A6921" s="10">
        <v>46201</v>
      </c>
      <c r="B6921" t="s">
        <v>201</v>
      </c>
      <c r="C6921" t="s">
        <v>115</v>
      </c>
      <c r="D6921">
        <v>1</v>
      </c>
      <c r="E6921">
        <v>35</v>
      </c>
      <c r="I6921">
        <v>1</v>
      </c>
      <c r="J6921">
        <v>31</v>
      </c>
      <c r="M6921" t="s">
        <v>7046</v>
      </c>
    </row>
    <row r="6922" spans="1:13" ht="15" customHeight="1">
      <c r="A6922" s="10">
        <v>46201</v>
      </c>
      <c r="B6922" t="s">
        <v>201</v>
      </c>
      <c r="C6922" t="s">
        <v>116</v>
      </c>
      <c r="D6922">
        <v>2</v>
      </c>
      <c r="E6922">
        <v>27</v>
      </c>
      <c r="I6922">
        <v>2</v>
      </c>
      <c r="J6922">
        <v>14</v>
      </c>
      <c r="M6922" t="s">
        <v>7047</v>
      </c>
    </row>
    <row r="6923" spans="1:13" ht="15" customHeight="1">
      <c r="A6923" s="10">
        <v>46201</v>
      </c>
      <c r="B6923" t="s">
        <v>201</v>
      </c>
      <c r="C6923" t="s">
        <v>119</v>
      </c>
      <c r="D6923">
        <v>2</v>
      </c>
      <c r="E6923">
        <v>0</v>
      </c>
      <c r="I6923">
        <v>2</v>
      </c>
      <c r="M6923" t="s">
        <v>7048</v>
      </c>
    </row>
    <row r="6924" spans="1:13" ht="15" customHeight="1">
      <c r="A6924" s="10">
        <v>46201</v>
      </c>
      <c r="B6924" t="s">
        <v>201</v>
      </c>
      <c r="C6924" t="s">
        <v>120</v>
      </c>
      <c r="D6924">
        <v>2</v>
      </c>
      <c r="E6924">
        <v>0</v>
      </c>
      <c r="I6924">
        <v>2</v>
      </c>
      <c r="M6924" t="s">
        <v>7049</v>
      </c>
    </row>
    <row r="6925" spans="1:13" ht="15" customHeight="1">
      <c r="A6925" s="10">
        <v>46201</v>
      </c>
      <c r="B6925" t="s">
        <v>201</v>
      </c>
      <c r="C6925" t="s">
        <v>121</v>
      </c>
      <c r="D6925">
        <v>2</v>
      </c>
      <c r="E6925">
        <v>0</v>
      </c>
      <c r="I6925">
        <v>2</v>
      </c>
      <c r="M6925" t="s">
        <v>7050</v>
      </c>
    </row>
    <row r="6926" spans="1:13" ht="15" customHeight="1">
      <c r="A6926" s="10">
        <v>46201</v>
      </c>
      <c r="B6926" t="s">
        <v>201</v>
      </c>
      <c r="C6926" t="s">
        <v>123</v>
      </c>
      <c r="D6926">
        <v>2</v>
      </c>
      <c r="E6926">
        <v>0</v>
      </c>
      <c r="I6926">
        <v>2</v>
      </c>
      <c r="M6926" t="s">
        <v>7051</v>
      </c>
    </row>
    <row r="6927" spans="1:13" ht="15" customHeight="1">
      <c r="A6927" s="10">
        <v>46201</v>
      </c>
      <c r="B6927" t="s">
        <v>201</v>
      </c>
      <c r="C6927" t="s">
        <v>124</v>
      </c>
      <c r="D6927">
        <v>2</v>
      </c>
      <c r="E6927">
        <v>0</v>
      </c>
      <c r="I6927">
        <v>1</v>
      </c>
      <c r="M6927" t="s">
        <v>7052</v>
      </c>
    </row>
    <row r="6928" spans="1:13" ht="15" customHeight="1">
      <c r="A6928" s="10">
        <v>46201</v>
      </c>
      <c r="B6928" t="s">
        <v>201</v>
      </c>
      <c r="C6928" t="s">
        <v>125</v>
      </c>
      <c r="D6928">
        <v>2</v>
      </c>
      <c r="E6928">
        <v>0</v>
      </c>
      <c r="I6928">
        <v>2</v>
      </c>
      <c r="M6928" t="s">
        <v>7053</v>
      </c>
    </row>
    <row r="6929" spans="1:13" ht="15" customHeight="1">
      <c r="A6929" s="10">
        <v>46201</v>
      </c>
      <c r="B6929" t="s">
        <v>201</v>
      </c>
      <c r="C6929" t="s">
        <v>126</v>
      </c>
      <c r="D6929">
        <v>2</v>
      </c>
      <c r="E6929">
        <v>0</v>
      </c>
      <c r="I6929">
        <v>2</v>
      </c>
      <c r="M6929" t="s">
        <v>7054</v>
      </c>
    </row>
    <row r="6930" spans="1:13" ht="15" customHeight="1">
      <c r="A6930" s="10">
        <v>46201</v>
      </c>
      <c r="B6930" t="s">
        <v>201</v>
      </c>
      <c r="C6930" t="s">
        <v>128</v>
      </c>
      <c r="D6930">
        <v>2</v>
      </c>
      <c r="E6930">
        <v>0</v>
      </c>
      <c r="I6930">
        <v>2</v>
      </c>
      <c r="M6930" t="s">
        <v>7055</v>
      </c>
    </row>
    <row r="6931" spans="1:13" ht="15" customHeight="1">
      <c r="A6931" s="10">
        <v>46201</v>
      </c>
      <c r="B6931" t="s">
        <v>201</v>
      </c>
      <c r="C6931" t="s">
        <v>130</v>
      </c>
      <c r="D6931">
        <v>4</v>
      </c>
      <c r="E6931">
        <v>0</v>
      </c>
      <c r="I6931">
        <v>4</v>
      </c>
      <c r="M6931" t="s">
        <v>7056</v>
      </c>
    </row>
    <row r="6932" spans="1:13" ht="15" customHeight="1">
      <c r="A6932" s="10">
        <v>46201</v>
      </c>
      <c r="B6932" t="s">
        <v>201</v>
      </c>
      <c r="C6932" t="s">
        <v>285</v>
      </c>
      <c r="D6932">
        <v>2</v>
      </c>
      <c r="E6932">
        <v>0</v>
      </c>
      <c r="I6932">
        <v>2</v>
      </c>
      <c r="M6932" t="s">
        <v>7057</v>
      </c>
    </row>
    <row r="6933" spans="1:13" ht="15" customHeight="1">
      <c r="A6933" s="10">
        <v>46201</v>
      </c>
      <c r="B6933" t="s">
        <v>201</v>
      </c>
      <c r="C6933" t="s">
        <v>287</v>
      </c>
      <c r="D6933">
        <v>6</v>
      </c>
      <c r="E6933">
        <v>0</v>
      </c>
      <c r="I6933">
        <v>6</v>
      </c>
      <c r="M6933" t="s">
        <v>7058</v>
      </c>
    </row>
    <row r="6934" spans="1:13" ht="15" customHeight="1">
      <c r="A6934" s="10">
        <v>46201</v>
      </c>
      <c r="B6934" t="s">
        <v>201</v>
      </c>
      <c r="C6934" t="s">
        <v>289</v>
      </c>
      <c r="D6934">
        <v>2</v>
      </c>
      <c r="E6934">
        <v>0</v>
      </c>
      <c r="I6934">
        <v>2</v>
      </c>
      <c r="M6934" t="s">
        <v>7059</v>
      </c>
    </row>
    <row r="6935" spans="1:13" ht="15" customHeight="1">
      <c r="A6935" s="10">
        <v>46201</v>
      </c>
      <c r="B6935" t="s">
        <v>201</v>
      </c>
      <c r="C6935" t="s">
        <v>291</v>
      </c>
      <c r="D6935">
        <v>1</v>
      </c>
      <c r="E6935">
        <v>0</v>
      </c>
      <c r="I6935">
        <v>1</v>
      </c>
      <c r="M6935" t="s">
        <v>7060</v>
      </c>
    </row>
    <row r="6936" spans="1:13" ht="15" customHeight="1">
      <c r="A6936" s="10">
        <v>46201</v>
      </c>
      <c r="B6936" t="s">
        <v>201</v>
      </c>
      <c r="C6936" t="s">
        <v>293</v>
      </c>
      <c r="D6936">
        <v>2</v>
      </c>
      <c r="E6936">
        <v>0</v>
      </c>
      <c r="I6936">
        <v>2</v>
      </c>
      <c r="M6936" t="s">
        <v>7061</v>
      </c>
    </row>
    <row r="6937" spans="1:13" ht="15" customHeight="1">
      <c r="A6937" s="10">
        <v>46201</v>
      </c>
      <c r="B6937" t="s">
        <v>201</v>
      </c>
      <c r="C6937" s="135" t="s">
        <v>138</v>
      </c>
      <c r="D6937">
        <v>0</v>
      </c>
      <c r="E6937">
        <v>55</v>
      </c>
      <c r="I6937">
        <v>0</v>
      </c>
      <c r="J6937">
        <v>54</v>
      </c>
      <c r="M6937" t="s">
        <v>7062</v>
      </c>
    </row>
    <row r="6938" spans="1:13" ht="15" customHeight="1">
      <c r="A6938" s="10">
        <v>46201</v>
      </c>
      <c r="B6938" t="s">
        <v>201</v>
      </c>
      <c r="C6938" s="135" t="s">
        <v>139</v>
      </c>
      <c r="D6938">
        <v>0</v>
      </c>
      <c r="E6938">
        <v>35</v>
      </c>
      <c r="I6938">
        <v>0</v>
      </c>
      <c r="J6938">
        <v>29</v>
      </c>
      <c r="M6938" t="s">
        <v>7063</v>
      </c>
    </row>
    <row r="6939" spans="1:13" ht="15" customHeight="1">
      <c r="A6939" s="10">
        <v>46201</v>
      </c>
      <c r="B6939" t="s">
        <v>201</v>
      </c>
      <c r="C6939" s="135" t="s">
        <v>140</v>
      </c>
      <c r="D6939">
        <v>0</v>
      </c>
      <c r="E6939">
        <v>49</v>
      </c>
      <c r="I6939">
        <v>0</v>
      </c>
      <c r="J6939">
        <v>49</v>
      </c>
      <c r="M6939" t="s">
        <v>7064</v>
      </c>
    </row>
    <row r="6940" spans="1:13" ht="15" customHeight="1">
      <c r="A6940" s="10">
        <v>46201</v>
      </c>
      <c r="B6940" t="s">
        <v>201</v>
      </c>
      <c r="C6940" s="135" t="s">
        <v>141</v>
      </c>
      <c r="D6940">
        <v>0</v>
      </c>
      <c r="E6940">
        <v>1</v>
      </c>
      <c r="I6940">
        <v>0</v>
      </c>
      <c r="J6940">
        <v>1</v>
      </c>
      <c r="M6940" t="s">
        <v>7065</v>
      </c>
    </row>
    <row r="6941" spans="1:13" ht="15" customHeight="1">
      <c r="A6941" s="10">
        <v>46201</v>
      </c>
      <c r="B6941" t="s">
        <v>201</v>
      </c>
      <c r="C6941" s="135" t="s">
        <v>143</v>
      </c>
      <c r="D6941">
        <v>0</v>
      </c>
      <c r="E6941">
        <v>35</v>
      </c>
      <c r="I6941">
        <v>0</v>
      </c>
      <c r="J6941">
        <v>27</v>
      </c>
      <c r="M6941" t="s">
        <v>7066</v>
      </c>
    </row>
    <row r="6942" spans="1:13" ht="15" customHeight="1">
      <c r="A6942" s="10">
        <v>46201</v>
      </c>
      <c r="B6942" t="s">
        <v>201</v>
      </c>
      <c r="C6942" s="135" t="s">
        <v>145</v>
      </c>
      <c r="D6942">
        <v>0</v>
      </c>
      <c r="E6942">
        <v>52</v>
      </c>
      <c r="I6942">
        <v>0</v>
      </c>
      <c r="J6942">
        <v>49</v>
      </c>
      <c r="M6942" t="s">
        <v>7067</v>
      </c>
    </row>
    <row r="6943" spans="1:13" ht="15" customHeight="1">
      <c r="A6943" s="10">
        <v>46201</v>
      </c>
      <c r="B6943" t="s">
        <v>201</v>
      </c>
      <c r="C6943" s="135" t="s">
        <v>147</v>
      </c>
      <c r="D6943">
        <v>0</v>
      </c>
      <c r="E6943">
        <v>48</v>
      </c>
      <c r="I6943">
        <v>0</v>
      </c>
      <c r="J6943">
        <v>46</v>
      </c>
      <c r="M6943" t="s">
        <v>7068</v>
      </c>
    </row>
    <row r="6944" spans="1:13" ht="15" customHeight="1">
      <c r="A6944" s="10">
        <v>46201</v>
      </c>
      <c r="B6944" t="s">
        <v>201</v>
      </c>
      <c r="C6944" t="s">
        <v>302</v>
      </c>
      <c r="D6944">
        <v>1</v>
      </c>
      <c r="E6944">
        <v>2</v>
      </c>
      <c r="I6944">
        <v>1</v>
      </c>
      <c r="M6944" t="s">
        <v>7069</v>
      </c>
    </row>
    <row r="6945" spans="1:13" ht="15" customHeight="1">
      <c r="A6945" s="10">
        <v>46201</v>
      </c>
      <c r="B6945" t="s">
        <v>201</v>
      </c>
      <c r="C6945" t="s">
        <v>150</v>
      </c>
      <c r="D6945">
        <v>3</v>
      </c>
      <c r="E6945">
        <v>0</v>
      </c>
      <c r="I6945">
        <v>3</v>
      </c>
      <c r="M6945" t="s">
        <v>7070</v>
      </c>
    </row>
    <row r="6946" spans="1:13" ht="15" customHeight="1">
      <c r="A6946" s="10">
        <v>46201</v>
      </c>
      <c r="B6946" t="s">
        <v>201</v>
      </c>
      <c r="C6946" t="s">
        <v>151</v>
      </c>
      <c r="D6946">
        <v>2</v>
      </c>
      <c r="E6946">
        <v>0</v>
      </c>
      <c r="I6946">
        <v>2</v>
      </c>
      <c r="M6946" t="s">
        <v>7071</v>
      </c>
    </row>
    <row r="6947" spans="1:13" ht="15" customHeight="1">
      <c r="A6947" s="10">
        <v>46201</v>
      </c>
      <c r="B6947" t="s">
        <v>201</v>
      </c>
      <c r="C6947" t="s">
        <v>152</v>
      </c>
      <c r="D6947">
        <v>2</v>
      </c>
      <c r="E6947">
        <v>0</v>
      </c>
      <c r="I6947">
        <v>2</v>
      </c>
      <c r="M6947" t="s">
        <v>7072</v>
      </c>
    </row>
    <row r="6948" spans="1:13" ht="15" customHeight="1">
      <c r="A6948" s="10">
        <v>46201</v>
      </c>
      <c r="B6948" t="s">
        <v>201</v>
      </c>
      <c r="C6948" t="s">
        <v>153</v>
      </c>
      <c r="D6948">
        <v>2</v>
      </c>
      <c r="E6948">
        <v>0</v>
      </c>
      <c r="I6948">
        <v>2</v>
      </c>
      <c r="M6948" t="s">
        <v>7073</v>
      </c>
    </row>
    <row r="6949" spans="1:13" ht="15" customHeight="1">
      <c r="A6949" s="10">
        <v>46201</v>
      </c>
      <c r="B6949" t="s">
        <v>201</v>
      </c>
      <c r="C6949" t="s">
        <v>308</v>
      </c>
      <c r="D6949">
        <v>0</v>
      </c>
      <c r="E6949">
        <v>4</v>
      </c>
      <c r="I6949">
        <v>0</v>
      </c>
      <c r="J6949">
        <v>3</v>
      </c>
      <c r="M6949" t="s">
        <v>7074</v>
      </c>
    </row>
    <row r="6950" spans="1:13" ht="15" customHeight="1">
      <c r="A6950" s="10">
        <v>46201</v>
      </c>
      <c r="B6950" t="s">
        <v>201</v>
      </c>
      <c r="C6950" t="s">
        <v>310</v>
      </c>
      <c r="D6950">
        <v>0</v>
      </c>
      <c r="E6950">
        <v>2</v>
      </c>
      <c r="I6950">
        <v>0</v>
      </c>
      <c r="J6950">
        <v>2</v>
      </c>
      <c r="M6950" t="s">
        <v>7075</v>
      </c>
    </row>
    <row r="6951" spans="1:13" ht="15" customHeight="1">
      <c r="A6951" s="10">
        <v>46201</v>
      </c>
      <c r="B6951" t="s">
        <v>201</v>
      </c>
      <c r="C6951" t="s">
        <v>312</v>
      </c>
      <c r="D6951">
        <v>0</v>
      </c>
      <c r="E6951">
        <v>4</v>
      </c>
      <c r="I6951">
        <v>0</v>
      </c>
      <c r="J6951">
        <v>4</v>
      </c>
      <c r="M6951" t="s">
        <v>7076</v>
      </c>
    </row>
    <row r="6952" spans="1:13" ht="15" customHeight="1">
      <c r="A6952" s="10">
        <v>46201</v>
      </c>
      <c r="B6952" t="s">
        <v>201</v>
      </c>
      <c r="C6952" t="s">
        <v>314</v>
      </c>
      <c r="D6952">
        <v>1</v>
      </c>
      <c r="E6952">
        <v>0</v>
      </c>
      <c r="I6952">
        <v>1</v>
      </c>
      <c r="M6952" t="s">
        <v>7077</v>
      </c>
    </row>
    <row r="6953" spans="1:13" ht="15" customHeight="1">
      <c r="A6953" s="10">
        <v>46201</v>
      </c>
      <c r="B6953" t="s">
        <v>201</v>
      </c>
      <c r="C6953" t="s">
        <v>316</v>
      </c>
      <c r="D6953">
        <v>1</v>
      </c>
      <c r="E6953">
        <v>0</v>
      </c>
      <c r="I6953">
        <v>1</v>
      </c>
      <c r="M6953" t="s">
        <v>7078</v>
      </c>
    </row>
    <row r="6954" spans="1:13" ht="15" customHeight="1">
      <c r="A6954" s="10">
        <v>46201</v>
      </c>
      <c r="B6954" t="s">
        <v>201</v>
      </c>
      <c r="C6954" t="s">
        <v>318</v>
      </c>
      <c r="D6954">
        <v>3</v>
      </c>
      <c r="E6954">
        <v>0</v>
      </c>
      <c r="I6954">
        <v>3</v>
      </c>
      <c r="M6954" t="s">
        <v>7079</v>
      </c>
    </row>
    <row r="6955" spans="1:13" ht="15" customHeight="1">
      <c r="A6955" s="10">
        <v>46201</v>
      </c>
      <c r="B6955" t="s">
        <v>201</v>
      </c>
      <c r="C6955" t="s">
        <v>320</v>
      </c>
      <c r="D6955">
        <v>2</v>
      </c>
      <c r="E6955">
        <v>0</v>
      </c>
      <c r="I6955">
        <v>2</v>
      </c>
      <c r="M6955" t="s">
        <v>7080</v>
      </c>
    </row>
    <row r="6956" spans="1:13" ht="15" customHeight="1">
      <c r="A6956" s="10">
        <v>46201</v>
      </c>
      <c r="B6956" t="s">
        <v>201</v>
      </c>
      <c r="C6956" t="s">
        <v>322</v>
      </c>
      <c r="D6956">
        <v>2</v>
      </c>
      <c r="E6956">
        <v>0</v>
      </c>
      <c r="I6956">
        <v>2</v>
      </c>
      <c r="M6956" t="s">
        <v>7081</v>
      </c>
    </row>
    <row r="6957" spans="1:13" ht="15" customHeight="1">
      <c r="A6957" s="10">
        <v>46201</v>
      </c>
      <c r="B6957" t="s">
        <v>201</v>
      </c>
      <c r="C6957" s="135" t="s">
        <v>168</v>
      </c>
      <c r="D6957">
        <v>1</v>
      </c>
      <c r="E6957">
        <v>0</v>
      </c>
      <c r="I6957">
        <v>1</v>
      </c>
      <c r="M6957" t="s">
        <v>7082</v>
      </c>
    </row>
    <row r="6958" spans="1:13" ht="15" customHeight="1">
      <c r="A6958" s="10">
        <v>46201</v>
      </c>
      <c r="B6958" t="s">
        <v>201</v>
      </c>
      <c r="C6958" s="135" t="s">
        <v>170</v>
      </c>
      <c r="D6958">
        <v>1</v>
      </c>
      <c r="E6958">
        <v>0</v>
      </c>
      <c r="I6958">
        <v>1</v>
      </c>
      <c r="M6958" t="s">
        <v>7083</v>
      </c>
    </row>
    <row r="6959" spans="1:13" ht="15" customHeight="1">
      <c r="A6959" s="10">
        <v>46201</v>
      </c>
      <c r="B6959" t="s">
        <v>201</v>
      </c>
      <c r="C6959" s="135" t="s">
        <v>171</v>
      </c>
      <c r="D6959">
        <v>3</v>
      </c>
      <c r="E6959">
        <v>0</v>
      </c>
      <c r="I6959">
        <v>3</v>
      </c>
      <c r="M6959" t="s">
        <v>7084</v>
      </c>
    </row>
    <row r="6960" spans="1:13" ht="15" customHeight="1">
      <c r="A6960" s="10">
        <v>46201</v>
      </c>
      <c r="B6960" t="s">
        <v>201</v>
      </c>
      <c r="C6960" s="135" t="s">
        <v>172</v>
      </c>
      <c r="D6960">
        <v>1</v>
      </c>
      <c r="E6960">
        <v>0</v>
      </c>
      <c r="I6960">
        <v>1</v>
      </c>
      <c r="M6960" t="s">
        <v>7085</v>
      </c>
    </row>
    <row r="6961" spans="1:13" ht="15" customHeight="1">
      <c r="A6961" s="10">
        <v>46201</v>
      </c>
      <c r="B6961" t="s">
        <v>201</v>
      </c>
      <c r="C6961" s="135" t="s">
        <v>173</v>
      </c>
      <c r="D6961">
        <v>0</v>
      </c>
      <c r="E6961">
        <v>0</v>
      </c>
      <c r="I6961">
        <v>0</v>
      </c>
      <c r="M6961" t="s">
        <v>7086</v>
      </c>
    </row>
    <row r="6962" spans="1:13" ht="15" customHeight="1">
      <c r="A6962" s="10">
        <v>46201</v>
      </c>
      <c r="B6962" t="s">
        <v>201</v>
      </c>
      <c r="C6962" t="s">
        <v>176</v>
      </c>
      <c r="D6962">
        <v>0</v>
      </c>
      <c r="E6962">
        <v>21</v>
      </c>
      <c r="I6962">
        <v>0</v>
      </c>
      <c r="J6962">
        <v>21</v>
      </c>
      <c r="M6962" t="s">
        <v>7087</v>
      </c>
    </row>
    <row r="6963" spans="1:13" ht="15" customHeight="1">
      <c r="A6963" s="10">
        <v>46201</v>
      </c>
      <c r="B6963" t="s">
        <v>201</v>
      </c>
      <c r="C6963" t="s">
        <v>178</v>
      </c>
      <c r="D6963">
        <v>0</v>
      </c>
      <c r="E6963">
        <v>22</v>
      </c>
      <c r="H6963">
        <v>1</v>
      </c>
      <c r="I6963">
        <v>0</v>
      </c>
      <c r="J6963">
        <v>21</v>
      </c>
      <c r="M6963" t="s">
        <v>7088</v>
      </c>
    </row>
    <row r="6964" spans="1:13" ht="15" customHeight="1">
      <c r="A6964" s="10">
        <v>46201</v>
      </c>
      <c r="B6964" t="s">
        <v>201</v>
      </c>
      <c r="C6964" t="s">
        <v>179</v>
      </c>
      <c r="D6964">
        <v>0</v>
      </c>
      <c r="E6964">
        <v>15</v>
      </c>
      <c r="I6964">
        <v>0</v>
      </c>
      <c r="J6964">
        <v>15</v>
      </c>
      <c r="M6964" t="s">
        <v>7089</v>
      </c>
    </row>
    <row r="6965" spans="1:13" ht="15" customHeight="1">
      <c r="A6965" s="10">
        <v>46201</v>
      </c>
      <c r="B6965" t="s">
        <v>201</v>
      </c>
      <c r="C6965" t="s">
        <v>180</v>
      </c>
      <c r="D6965">
        <v>0</v>
      </c>
      <c r="E6965">
        <v>14</v>
      </c>
      <c r="H6965">
        <v>1</v>
      </c>
      <c r="I6965">
        <v>0</v>
      </c>
      <c r="J6965">
        <v>13</v>
      </c>
      <c r="M6965" t="s">
        <v>7090</v>
      </c>
    </row>
    <row r="6966" spans="1:13" ht="15" customHeight="1">
      <c r="A6966" s="10">
        <v>46201</v>
      </c>
      <c r="B6966" t="s">
        <v>201</v>
      </c>
      <c r="C6966" s="135" t="s">
        <v>182</v>
      </c>
      <c r="D6966">
        <v>1</v>
      </c>
      <c r="E6966">
        <v>150</v>
      </c>
      <c r="I6966">
        <v>1</v>
      </c>
      <c r="J6966">
        <v>150</v>
      </c>
      <c r="M6966" t="s">
        <v>7091</v>
      </c>
    </row>
    <row r="6967" spans="1:13" ht="15" customHeight="1">
      <c r="A6967" s="10">
        <v>46201</v>
      </c>
      <c r="B6967" t="s">
        <v>201</v>
      </c>
      <c r="C6967" s="135" t="s">
        <v>184</v>
      </c>
      <c r="D6967">
        <v>0</v>
      </c>
      <c r="E6967">
        <v>64</v>
      </c>
      <c r="I6967">
        <v>0</v>
      </c>
      <c r="J6967">
        <v>60</v>
      </c>
      <c r="M6967" t="s">
        <v>7092</v>
      </c>
    </row>
    <row r="6968" spans="1:13" ht="15" customHeight="1">
      <c r="A6968" s="10">
        <v>46201</v>
      </c>
      <c r="B6968" t="s">
        <v>201</v>
      </c>
      <c r="C6968" s="135" t="s">
        <v>185</v>
      </c>
      <c r="D6968">
        <v>1</v>
      </c>
      <c r="E6968">
        <v>26</v>
      </c>
      <c r="I6968">
        <v>1</v>
      </c>
      <c r="J6968">
        <v>26</v>
      </c>
      <c r="M6968" t="s">
        <v>7093</v>
      </c>
    </row>
    <row r="6969" spans="1:13" ht="15" customHeight="1">
      <c r="A6969" s="10">
        <v>46201</v>
      </c>
      <c r="B6969" t="s">
        <v>201</v>
      </c>
      <c r="C6969" s="135" t="s">
        <v>186</v>
      </c>
      <c r="D6969">
        <v>1</v>
      </c>
      <c r="E6969">
        <v>500</v>
      </c>
      <c r="I6969">
        <v>1</v>
      </c>
      <c r="J6969">
        <v>500</v>
      </c>
      <c r="M6969" t="s">
        <v>7094</v>
      </c>
    </row>
    <row r="6970" spans="1:13" ht="15" customHeight="1">
      <c r="A6970" s="10">
        <v>46201</v>
      </c>
      <c r="B6970" t="s">
        <v>201</v>
      </c>
      <c r="C6970" t="s">
        <v>337</v>
      </c>
      <c r="D6970">
        <v>2</v>
      </c>
      <c r="E6970">
        <v>3776</v>
      </c>
      <c r="I6970">
        <v>2</v>
      </c>
      <c r="J6970">
        <v>294</v>
      </c>
      <c r="M6970" t="s">
        <v>7095</v>
      </c>
    </row>
    <row r="6971" spans="1:13" ht="15" customHeight="1">
      <c r="A6971" s="10">
        <v>46201</v>
      </c>
      <c r="B6971" t="s">
        <v>201</v>
      </c>
      <c r="C6971" t="s">
        <v>339</v>
      </c>
      <c r="D6971">
        <v>0</v>
      </c>
      <c r="E6971">
        <v>0</v>
      </c>
      <c r="I6971">
        <v>0</v>
      </c>
      <c r="J6971">
        <v>0</v>
      </c>
      <c r="M6971" t="s">
        <v>7096</v>
      </c>
    </row>
    <row r="6972" spans="1:13" ht="15" customHeight="1">
      <c r="A6972" s="10">
        <v>46201</v>
      </c>
      <c r="B6972" t="s">
        <v>201</v>
      </c>
      <c r="C6972" s="135" t="s">
        <v>191</v>
      </c>
      <c r="D6972">
        <v>1</v>
      </c>
      <c r="E6972">
        <v>440</v>
      </c>
      <c r="I6972">
        <v>1</v>
      </c>
      <c r="J6972">
        <v>399</v>
      </c>
      <c r="M6972" t="s">
        <v>7097</v>
      </c>
    </row>
    <row r="6973" spans="1:13" ht="15" customHeight="1">
      <c r="A6973" s="10">
        <v>46201</v>
      </c>
      <c r="B6973" t="s">
        <v>201</v>
      </c>
      <c r="C6973" s="135" t="s">
        <v>193</v>
      </c>
      <c r="D6973">
        <v>0</v>
      </c>
      <c r="E6973">
        <v>494</v>
      </c>
      <c r="I6973">
        <v>0</v>
      </c>
      <c r="J6973">
        <v>430</v>
      </c>
      <c r="M6973" t="s">
        <v>7098</v>
      </c>
    </row>
    <row r="6974" spans="1:13" ht="15" customHeight="1">
      <c r="A6974" s="10">
        <v>46201</v>
      </c>
      <c r="B6974" t="s">
        <v>201</v>
      </c>
      <c r="C6974" s="135" t="s">
        <v>194</v>
      </c>
      <c r="D6974">
        <v>0</v>
      </c>
      <c r="E6974">
        <v>50</v>
      </c>
      <c r="I6974">
        <v>0</v>
      </c>
      <c r="J6974">
        <v>50</v>
      </c>
      <c r="M6974" t="s">
        <v>7099</v>
      </c>
    </row>
    <row r="6975" spans="1:13" ht="15" customHeight="1">
      <c r="A6975" s="10">
        <v>46201</v>
      </c>
      <c r="B6975" t="s">
        <v>201</v>
      </c>
      <c r="C6975" s="135" t="s">
        <v>196</v>
      </c>
      <c r="D6975">
        <v>0</v>
      </c>
      <c r="E6975">
        <v>226</v>
      </c>
      <c r="I6975">
        <v>0</v>
      </c>
      <c r="J6975">
        <v>226</v>
      </c>
      <c r="M6975" t="s">
        <v>7100</v>
      </c>
    </row>
    <row r="6976" spans="1:13" ht="15" customHeight="1">
      <c r="A6976" s="10">
        <v>46201</v>
      </c>
      <c r="B6976" t="s">
        <v>201</v>
      </c>
      <c r="C6976" s="135" t="s">
        <v>199</v>
      </c>
      <c r="D6976">
        <v>0</v>
      </c>
      <c r="E6976">
        <v>306</v>
      </c>
      <c r="I6976">
        <v>0</v>
      </c>
      <c r="J6976">
        <v>252</v>
      </c>
      <c r="M6976" t="s">
        <v>7101</v>
      </c>
    </row>
    <row r="6977" spans="1:13" ht="15" customHeight="1">
      <c r="A6977" s="10">
        <v>46201</v>
      </c>
      <c r="B6977" t="s">
        <v>201</v>
      </c>
      <c r="C6977" s="135" t="s">
        <v>200</v>
      </c>
      <c r="D6977">
        <v>0</v>
      </c>
      <c r="E6977">
        <v>691</v>
      </c>
      <c r="I6977">
        <v>0</v>
      </c>
      <c r="J6977">
        <v>641</v>
      </c>
      <c r="M6977" t="s">
        <v>7102</v>
      </c>
    </row>
    <row r="6978" spans="1:13" ht="15" customHeight="1">
      <c r="A6978" s="10">
        <v>46201</v>
      </c>
      <c r="B6978" t="s">
        <v>201</v>
      </c>
      <c r="C6978" s="135" t="s">
        <v>202</v>
      </c>
      <c r="D6978">
        <v>0</v>
      </c>
      <c r="E6978">
        <v>573</v>
      </c>
      <c r="I6978">
        <v>0</v>
      </c>
      <c r="J6978">
        <v>539</v>
      </c>
      <c r="M6978" t="s">
        <v>7103</v>
      </c>
    </row>
    <row r="6979" spans="1:13" ht="15" customHeight="1">
      <c r="A6979" s="10">
        <v>46202</v>
      </c>
      <c r="B6979" t="s">
        <v>201</v>
      </c>
      <c r="C6979" t="s">
        <v>54</v>
      </c>
      <c r="D6979">
        <v>0</v>
      </c>
      <c r="E6979">
        <v>0</v>
      </c>
      <c r="I6979">
        <v>0</v>
      </c>
      <c r="M6979" t="s">
        <v>7104</v>
      </c>
    </row>
    <row r="6980" spans="1:13" ht="15" customHeight="1">
      <c r="A6980" s="10">
        <v>46202</v>
      </c>
      <c r="B6980" t="s">
        <v>201</v>
      </c>
      <c r="C6980" t="s">
        <v>96</v>
      </c>
      <c r="D6980">
        <v>0</v>
      </c>
      <c r="E6980">
        <v>0</v>
      </c>
      <c r="I6980">
        <v>0</v>
      </c>
      <c r="J6980">
        <v>0</v>
      </c>
      <c r="M6980" t="s">
        <v>7105</v>
      </c>
    </row>
    <row r="6981" spans="1:13" ht="15" customHeight="1">
      <c r="A6981" s="10">
        <v>46202</v>
      </c>
      <c r="B6981" t="s">
        <v>201</v>
      </c>
      <c r="C6981" t="s">
        <v>100</v>
      </c>
      <c r="D6981">
        <v>0</v>
      </c>
      <c r="E6981">
        <v>0</v>
      </c>
      <c r="I6981">
        <v>0</v>
      </c>
      <c r="J6981">
        <v>0</v>
      </c>
      <c r="M6981" t="s">
        <v>7106</v>
      </c>
    </row>
    <row r="6982" spans="1:13" ht="15" customHeight="1">
      <c r="A6982" s="10">
        <v>46202</v>
      </c>
      <c r="B6982" t="s">
        <v>201</v>
      </c>
      <c r="C6982" t="s">
        <v>339</v>
      </c>
      <c r="D6982">
        <v>0</v>
      </c>
      <c r="E6982">
        <v>0</v>
      </c>
      <c r="I6982">
        <v>0</v>
      </c>
      <c r="J6982">
        <v>0</v>
      </c>
      <c r="M6982" t="s">
        <v>7107</v>
      </c>
    </row>
    <row r="6983" spans="1:13" ht="15" customHeight="1">
      <c r="A6983" s="10">
        <v>46203</v>
      </c>
      <c r="B6983" t="s">
        <v>201</v>
      </c>
      <c r="C6983" t="s">
        <v>23</v>
      </c>
      <c r="D6983">
        <v>5</v>
      </c>
      <c r="E6983">
        <v>1237</v>
      </c>
      <c r="F6983">
        <v>1</v>
      </c>
      <c r="I6983">
        <v>5</v>
      </c>
      <c r="J6983">
        <v>1337</v>
      </c>
      <c r="M6983" t="s">
        <v>7108</v>
      </c>
    </row>
    <row r="6984" spans="1:13" ht="15" customHeight="1">
      <c r="A6984" s="10">
        <v>46203</v>
      </c>
      <c r="B6984" t="s">
        <v>201</v>
      </c>
      <c r="C6984" t="s">
        <v>26</v>
      </c>
      <c r="D6984">
        <v>1</v>
      </c>
      <c r="E6984">
        <v>1044</v>
      </c>
      <c r="I6984">
        <v>1</v>
      </c>
      <c r="J6984">
        <v>933</v>
      </c>
      <c r="M6984" t="s">
        <v>7109</v>
      </c>
    </row>
    <row r="6985" spans="1:13" ht="15" customHeight="1">
      <c r="A6985" s="10">
        <v>46203</v>
      </c>
      <c r="B6985" t="s">
        <v>201</v>
      </c>
      <c r="C6985" t="s">
        <v>27</v>
      </c>
      <c r="D6985">
        <v>1</v>
      </c>
      <c r="E6985">
        <v>0</v>
      </c>
      <c r="I6985">
        <v>0</v>
      </c>
      <c r="J6985">
        <v>982</v>
      </c>
      <c r="M6985" t="s">
        <v>7110</v>
      </c>
    </row>
    <row r="6986" spans="1:13" ht="15" customHeight="1">
      <c r="A6986" s="10">
        <v>46203</v>
      </c>
      <c r="B6986" t="s">
        <v>201</v>
      </c>
      <c r="C6986" t="s">
        <v>28</v>
      </c>
      <c r="D6986">
        <v>0</v>
      </c>
      <c r="E6986">
        <v>0</v>
      </c>
      <c r="I6986">
        <v>0</v>
      </c>
      <c r="J6986">
        <v>0</v>
      </c>
      <c r="M6986" t="s">
        <v>7111</v>
      </c>
    </row>
    <row r="6987" spans="1:13" ht="15" customHeight="1">
      <c r="A6987" s="10">
        <v>46203</v>
      </c>
      <c r="B6987" t="s">
        <v>201</v>
      </c>
      <c r="C6987" t="s">
        <v>29</v>
      </c>
      <c r="D6987">
        <v>1</v>
      </c>
      <c r="E6987">
        <v>833</v>
      </c>
      <c r="I6987">
        <v>1</v>
      </c>
      <c r="J6987">
        <v>575</v>
      </c>
      <c r="M6987" t="s">
        <v>7112</v>
      </c>
    </row>
    <row r="6988" spans="1:13" ht="15" customHeight="1">
      <c r="A6988" s="10">
        <v>46203</v>
      </c>
      <c r="B6988" t="s">
        <v>201</v>
      </c>
      <c r="C6988" t="s">
        <v>30</v>
      </c>
      <c r="D6988">
        <v>0</v>
      </c>
      <c r="E6988">
        <v>1018</v>
      </c>
      <c r="I6988">
        <v>0</v>
      </c>
      <c r="J6988">
        <v>998</v>
      </c>
      <c r="M6988" t="s">
        <v>7113</v>
      </c>
    </row>
    <row r="6989" spans="1:13" ht="15" customHeight="1">
      <c r="A6989" s="10">
        <v>46203</v>
      </c>
      <c r="B6989" t="s">
        <v>201</v>
      </c>
      <c r="C6989" t="s">
        <v>31</v>
      </c>
      <c r="D6989">
        <v>1</v>
      </c>
      <c r="E6989">
        <v>1011</v>
      </c>
      <c r="I6989">
        <v>1</v>
      </c>
      <c r="J6989">
        <v>992</v>
      </c>
      <c r="M6989" t="s">
        <v>7114</v>
      </c>
    </row>
    <row r="6990" spans="1:13" ht="15" customHeight="1">
      <c r="A6990" s="10">
        <v>46203</v>
      </c>
      <c r="B6990" t="s">
        <v>201</v>
      </c>
      <c r="C6990" t="s">
        <v>32</v>
      </c>
      <c r="D6990">
        <v>1</v>
      </c>
      <c r="E6990">
        <v>100</v>
      </c>
      <c r="I6990">
        <v>1</v>
      </c>
      <c r="J6990">
        <v>100</v>
      </c>
      <c r="M6990" t="s">
        <v>7115</v>
      </c>
    </row>
    <row r="6991" spans="1:13" ht="15" customHeight="1">
      <c r="A6991" s="10">
        <v>46203</v>
      </c>
      <c r="B6991" t="s">
        <v>201</v>
      </c>
      <c r="C6991" t="s">
        <v>223</v>
      </c>
      <c r="D6991">
        <v>5</v>
      </c>
      <c r="E6991">
        <v>283</v>
      </c>
      <c r="I6991">
        <v>4</v>
      </c>
      <c r="J6991">
        <v>1000</v>
      </c>
      <c r="M6991" t="s">
        <v>7116</v>
      </c>
    </row>
    <row r="6992" spans="1:13" ht="15" customHeight="1">
      <c r="A6992" s="10">
        <v>46203</v>
      </c>
      <c r="B6992" t="s">
        <v>201</v>
      </c>
      <c r="C6992" t="s">
        <v>35</v>
      </c>
      <c r="D6992">
        <v>8</v>
      </c>
      <c r="E6992">
        <v>0</v>
      </c>
      <c r="I6992">
        <v>6</v>
      </c>
      <c r="K6992">
        <v>2</v>
      </c>
      <c r="L6992" t="s">
        <v>5545</v>
      </c>
      <c r="M6992" t="s">
        <v>7117</v>
      </c>
    </row>
    <row r="6993" spans="1:13" ht="15" customHeight="1">
      <c r="A6993" s="10">
        <v>46203</v>
      </c>
      <c r="B6993" t="s">
        <v>201</v>
      </c>
      <c r="C6993" t="s">
        <v>37</v>
      </c>
      <c r="D6993">
        <v>2</v>
      </c>
      <c r="E6993">
        <v>0</v>
      </c>
      <c r="I6993">
        <v>2</v>
      </c>
      <c r="M6993" t="s">
        <v>7118</v>
      </c>
    </row>
    <row r="6994" spans="1:13" ht="15" customHeight="1">
      <c r="A6994" s="10">
        <v>46203</v>
      </c>
      <c r="B6994" t="s">
        <v>201</v>
      </c>
      <c r="C6994" t="s">
        <v>39</v>
      </c>
      <c r="D6994">
        <v>17</v>
      </c>
      <c r="E6994">
        <v>0</v>
      </c>
      <c r="I6994">
        <v>27</v>
      </c>
      <c r="L6994" t="s">
        <v>7119</v>
      </c>
      <c r="M6994" t="s">
        <v>7120</v>
      </c>
    </row>
    <row r="6995" spans="1:13" ht="15" customHeight="1">
      <c r="A6995" s="10">
        <v>46203</v>
      </c>
      <c r="B6995" t="s">
        <v>201</v>
      </c>
      <c r="C6995" t="s">
        <v>41</v>
      </c>
      <c r="D6995">
        <v>13</v>
      </c>
      <c r="E6995">
        <v>0</v>
      </c>
      <c r="I6995">
        <v>13</v>
      </c>
      <c r="M6995" t="s">
        <v>7121</v>
      </c>
    </row>
    <row r="6996" spans="1:13" ht="15" customHeight="1">
      <c r="A6996" s="10">
        <v>46203</v>
      </c>
      <c r="B6996" t="s">
        <v>201</v>
      </c>
      <c r="C6996" s="135" t="s">
        <v>44</v>
      </c>
      <c r="D6996">
        <v>2</v>
      </c>
      <c r="E6996">
        <v>6659</v>
      </c>
      <c r="I6996">
        <v>2</v>
      </c>
      <c r="J6996">
        <v>5854</v>
      </c>
      <c r="M6996" t="s">
        <v>7122</v>
      </c>
    </row>
    <row r="6997" spans="1:13" ht="15" customHeight="1">
      <c r="A6997" s="10">
        <v>46203</v>
      </c>
      <c r="B6997" t="s">
        <v>201</v>
      </c>
      <c r="C6997" t="s">
        <v>230</v>
      </c>
      <c r="D6997">
        <v>1</v>
      </c>
      <c r="E6997">
        <v>464</v>
      </c>
      <c r="I6997">
        <v>1</v>
      </c>
      <c r="J6997">
        <v>464</v>
      </c>
      <c r="M6997" t="s">
        <v>7123</v>
      </c>
    </row>
    <row r="6998" spans="1:13" ht="15" customHeight="1">
      <c r="A6998" s="10">
        <v>46203</v>
      </c>
      <c r="B6998" t="s">
        <v>201</v>
      </c>
      <c r="C6998" t="s">
        <v>232</v>
      </c>
      <c r="D6998">
        <v>5</v>
      </c>
      <c r="E6998">
        <v>0</v>
      </c>
      <c r="I6998">
        <v>5</v>
      </c>
      <c r="M6998" t="s">
        <v>7124</v>
      </c>
    </row>
    <row r="6999" spans="1:13" ht="15" customHeight="1">
      <c r="A6999" s="10">
        <v>46203</v>
      </c>
      <c r="B6999" t="s">
        <v>201</v>
      </c>
      <c r="C6999" t="s">
        <v>234</v>
      </c>
      <c r="D6999">
        <v>53</v>
      </c>
      <c r="E6999">
        <v>0</v>
      </c>
      <c r="H6999">
        <v>1</v>
      </c>
      <c r="I6999">
        <v>52</v>
      </c>
      <c r="M6999" t="s">
        <v>7125</v>
      </c>
    </row>
    <row r="7000" spans="1:13" ht="15" customHeight="1">
      <c r="A7000" s="10">
        <v>46203</v>
      </c>
      <c r="B7000" t="s">
        <v>201</v>
      </c>
      <c r="C7000" t="s">
        <v>54</v>
      </c>
      <c r="D7000">
        <v>0</v>
      </c>
      <c r="E7000">
        <v>0</v>
      </c>
      <c r="H7000">
        <v>0</v>
      </c>
      <c r="I7000">
        <v>0</v>
      </c>
      <c r="M7000" t="s">
        <v>7126</v>
      </c>
    </row>
    <row r="7001" spans="1:13" ht="15" customHeight="1">
      <c r="A7001" s="10">
        <v>46203</v>
      </c>
      <c r="B7001" t="s">
        <v>201</v>
      </c>
      <c r="C7001" t="s">
        <v>237</v>
      </c>
      <c r="D7001">
        <v>13</v>
      </c>
      <c r="E7001">
        <v>0</v>
      </c>
      <c r="H7001">
        <v>1</v>
      </c>
      <c r="I7001">
        <v>12</v>
      </c>
      <c r="M7001" t="s">
        <v>7127</v>
      </c>
    </row>
    <row r="7002" spans="1:13" ht="15" customHeight="1">
      <c r="A7002" s="10">
        <v>46203</v>
      </c>
      <c r="B7002" t="s">
        <v>201</v>
      </c>
      <c r="C7002" s="135" t="s">
        <v>58</v>
      </c>
      <c r="D7002">
        <v>6</v>
      </c>
      <c r="E7002">
        <v>0</v>
      </c>
      <c r="H7002">
        <v>0</v>
      </c>
      <c r="I7002">
        <v>6</v>
      </c>
      <c r="M7002" t="s">
        <v>7128</v>
      </c>
    </row>
    <row r="7003" spans="1:13" ht="15" customHeight="1">
      <c r="A7003" s="10">
        <v>46203</v>
      </c>
      <c r="B7003" t="s">
        <v>201</v>
      </c>
      <c r="C7003" s="135" t="s">
        <v>60</v>
      </c>
      <c r="D7003">
        <v>8</v>
      </c>
      <c r="E7003">
        <v>0</v>
      </c>
      <c r="H7003">
        <v>0</v>
      </c>
      <c r="I7003">
        <v>8</v>
      </c>
      <c r="M7003" t="s">
        <v>7129</v>
      </c>
    </row>
    <row r="7004" spans="1:13" ht="15" customHeight="1">
      <c r="A7004" s="10">
        <v>46203</v>
      </c>
      <c r="B7004" t="s">
        <v>201</v>
      </c>
      <c r="C7004" s="135" t="s">
        <v>61</v>
      </c>
      <c r="D7004">
        <v>1</v>
      </c>
      <c r="E7004">
        <v>0</v>
      </c>
      <c r="H7004">
        <v>4</v>
      </c>
      <c r="I7004">
        <v>6</v>
      </c>
      <c r="M7004" t="s">
        <v>7130</v>
      </c>
    </row>
    <row r="7005" spans="1:13" ht="15" customHeight="1">
      <c r="A7005" s="10">
        <v>46203</v>
      </c>
      <c r="B7005" t="s">
        <v>201</v>
      </c>
      <c r="C7005" s="135" t="s">
        <v>62</v>
      </c>
      <c r="D7005">
        <v>13</v>
      </c>
      <c r="E7005">
        <v>0</v>
      </c>
      <c r="H7005">
        <v>1</v>
      </c>
      <c r="I7005">
        <v>9</v>
      </c>
      <c r="K7005">
        <v>3</v>
      </c>
      <c r="L7005" t="s">
        <v>5545</v>
      </c>
      <c r="M7005" t="s">
        <v>7131</v>
      </c>
    </row>
    <row r="7006" spans="1:13" ht="15" customHeight="1">
      <c r="A7006" s="10">
        <v>46203</v>
      </c>
      <c r="B7006" t="s">
        <v>201</v>
      </c>
      <c r="C7006" s="135" t="s">
        <v>63</v>
      </c>
      <c r="D7006">
        <v>5</v>
      </c>
      <c r="E7006">
        <v>0</v>
      </c>
      <c r="H7006">
        <v>2</v>
      </c>
      <c r="I7006">
        <v>2</v>
      </c>
      <c r="K7006">
        <v>1</v>
      </c>
      <c r="L7006" t="s">
        <v>5545</v>
      </c>
      <c r="M7006" t="s">
        <v>7132</v>
      </c>
    </row>
    <row r="7007" spans="1:13" ht="15" customHeight="1">
      <c r="A7007" s="10">
        <v>46203</v>
      </c>
      <c r="B7007" t="s">
        <v>201</v>
      </c>
      <c r="C7007" s="135" t="s">
        <v>64</v>
      </c>
      <c r="D7007">
        <v>12</v>
      </c>
      <c r="E7007">
        <v>0</v>
      </c>
      <c r="H7007">
        <v>1</v>
      </c>
      <c r="I7007">
        <v>8</v>
      </c>
      <c r="K7007">
        <v>3</v>
      </c>
      <c r="L7007" t="s">
        <v>5545</v>
      </c>
      <c r="M7007" t="s">
        <v>7133</v>
      </c>
    </row>
    <row r="7008" spans="1:13" ht="15" customHeight="1">
      <c r="A7008" s="10">
        <v>46203</v>
      </c>
      <c r="B7008" t="s">
        <v>201</v>
      </c>
      <c r="C7008" t="s">
        <v>66</v>
      </c>
      <c r="D7008">
        <v>5</v>
      </c>
      <c r="E7008">
        <v>0</v>
      </c>
      <c r="I7008">
        <v>3</v>
      </c>
      <c r="K7008">
        <v>2</v>
      </c>
      <c r="L7008" t="s">
        <v>5545</v>
      </c>
      <c r="M7008" t="s">
        <v>7134</v>
      </c>
    </row>
    <row r="7009" spans="1:13" ht="15" customHeight="1">
      <c r="A7009" s="10">
        <v>46203</v>
      </c>
      <c r="B7009" t="s">
        <v>201</v>
      </c>
      <c r="C7009" t="s">
        <v>67</v>
      </c>
      <c r="D7009">
        <v>5</v>
      </c>
      <c r="E7009">
        <v>0</v>
      </c>
      <c r="I7009">
        <v>1</v>
      </c>
      <c r="K7009">
        <v>3</v>
      </c>
      <c r="L7009" t="s">
        <v>5545</v>
      </c>
      <c r="M7009" t="s">
        <v>7135</v>
      </c>
    </row>
    <row r="7010" spans="1:13" ht="15" customHeight="1">
      <c r="A7010" s="10">
        <v>46203</v>
      </c>
      <c r="B7010" t="s">
        <v>201</v>
      </c>
      <c r="C7010" t="s">
        <v>68</v>
      </c>
      <c r="D7010">
        <v>1</v>
      </c>
      <c r="E7010">
        <v>0</v>
      </c>
      <c r="I7010">
        <v>1</v>
      </c>
      <c r="M7010" t="s">
        <v>7136</v>
      </c>
    </row>
    <row r="7011" spans="1:13" ht="15" customHeight="1">
      <c r="A7011" s="10">
        <v>46203</v>
      </c>
      <c r="B7011" t="s">
        <v>201</v>
      </c>
      <c r="C7011" t="s">
        <v>71</v>
      </c>
      <c r="D7011">
        <v>1</v>
      </c>
      <c r="E7011">
        <v>110</v>
      </c>
      <c r="I7011">
        <v>1</v>
      </c>
      <c r="J7011">
        <v>110</v>
      </c>
      <c r="M7011" t="s">
        <v>7137</v>
      </c>
    </row>
    <row r="7012" spans="1:13" ht="15" customHeight="1">
      <c r="A7012" s="10">
        <v>46203</v>
      </c>
      <c r="B7012" t="s">
        <v>201</v>
      </c>
      <c r="C7012" t="s">
        <v>73</v>
      </c>
      <c r="D7012">
        <v>1</v>
      </c>
      <c r="E7012">
        <v>563</v>
      </c>
      <c r="I7012">
        <v>1</v>
      </c>
      <c r="J7012">
        <v>563</v>
      </c>
      <c r="M7012" t="s">
        <v>7138</v>
      </c>
    </row>
    <row r="7013" spans="1:13" ht="15" customHeight="1">
      <c r="A7013" s="10">
        <v>46203</v>
      </c>
      <c r="B7013" t="s">
        <v>201</v>
      </c>
      <c r="C7013" t="s">
        <v>75</v>
      </c>
      <c r="D7013">
        <v>1</v>
      </c>
      <c r="E7013">
        <v>213</v>
      </c>
      <c r="I7013">
        <v>1</v>
      </c>
      <c r="J7013">
        <v>201</v>
      </c>
      <c r="M7013" t="s">
        <v>7139</v>
      </c>
    </row>
    <row r="7014" spans="1:13" ht="15" customHeight="1">
      <c r="A7014" s="10">
        <v>46203</v>
      </c>
      <c r="B7014" t="s">
        <v>201</v>
      </c>
      <c r="C7014" t="s">
        <v>77</v>
      </c>
      <c r="D7014">
        <v>1</v>
      </c>
      <c r="E7014">
        <v>100</v>
      </c>
      <c r="I7014">
        <v>1</v>
      </c>
      <c r="J7014">
        <v>100</v>
      </c>
      <c r="M7014" t="s">
        <v>7140</v>
      </c>
    </row>
    <row r="7015" spans="1:13" ht="15" customHeight="1">
      <c r="A7015" s="10">
        <v>46203</v>
      </c>
      <c r="B7015" t="s">
        <v>201</v>
      </c>
      <c r="C7015" t="s">
        <v>79</v>
      </c>
      <c r="D7015">
        <v>1</v>
      </c>
      <c r="E7015">
        <v>1676</v>
      </c>
      <c r="I7015">
        <v>1</v>
      </c>
      <c r="J7015">
        <v>1606</v>
      </c>
      <c r="M7015" t="s">
        <v>7141</v>
      </c>
    </row>
    <row r="7016" spans="1:13" ht="15" customHeight="1">
      <c r="A7016" s="10">
        <v>46203</v>
      </c>
      <c r="B7016" t="s">
        <v>201</v>
      </c>
      <c r="C7016" t="s">
        <v>81</v>
      </c>
      <c r="D7016">
        <v>1</v>
      </c>
      <c r="E7016">
        <v>207</v>
      </c>
      <c r="I7016">
        <v>0</v>
      </c>
      <c r="J7016">
        <v>610</v>
      </c>
      <c r="M7016" t="s">
        <v>7142</v>
      </c>
    </row>
    <row r="7017" spans="1:13" ht="15" customHeight="1">
      <c r="A7017" s="10">
        <v>46203</v>
      </c>
      <c r="B7017" t="s">
        <v>201</v>
      </c>
      <c r="C7017" t="s">
        <v>83</v>
      </c>
      <c r="D7017">
        <v>1</v>
      </c>
      <c r="E7017">
        <v>381</v>
      </c>
      <c r="I7017">
        <v>1</v>
      </c>
      <c r="J7017">
        <v>363</v>
      </c>
      <c r="M7017" t="s">
        <v>7143</v>
      </c>
    </row>
    <row r="7018" spans="1:13" ht="15" customHeight="1">
      <c r="A7018" s="10">
        <v>46203</v>
      </c>
      <c r="B7018" t="s">
        <v>201</v>
      </c>
      <c r="C7018" t="s">
        <v>84</v>
      </c>
      <c r="D7018">
        <v>1</v>
      </c>
      <c r="E7018">
        <v>272</v>
      </c>
      <c r="I7018">
        <v>2</v>
      </c>
      <c r="J7018">
        <v>272</v>
      </c>
      <c r="M7018" t="s">
        <v>7144</v>
      </c>
    </row>
    <row r="7019" spans="1:13" ht="15" customHeight="1">
      <c r="A7019" s="10">
        <v>46203</v>
      </c>
      <c r="B7019" t="s">
        <v>201</v>
      </c>
      <c r="C7019" t="s">
        <v>85</v>
      </c>
      <c r="D7019">
        <v>0</v>
      </c>
      <c r="E7019">
        <v>171</v>
      </c>
      <c r="I7019">
        <v>0</v>
      </c>
      <c r="J7019">
        <v>171</v>
      </c>
      <c r="M7019" t="s">
        <v>7145</v>
      </c>
    </row>
    <row r="7020" spans="1:13" ht="15" customHeight="1">
      <c r="A7020" s="10">
        <v>46203</v>
      </c>
      <c r="B7020" t="s">
        <v>201</v>
      </c>
      <c r="C7020" t="s">
        <v>87</v>
      </c>
      <c r="D7020">
        <v>1</v>
      </c>
      <c r="E7020">
        <v>433</v>
      </c>
      <c r="I7020">
        <v>1</v>
      </c>
      <c r="J7020">
        <v>431</v>
      </c>
      <c r="M7020" t="s">
        <v>7146</v>
      </c>
    </row>
    <row r="7021" spans="1:13" ht="15" customHeight="1">
      <c r="A7021" s="10">
        <v>46203</v>
      </c>
      <c r="B7021" t="s">
        <v>201</v>
      </c>
      <c r="C7021" t="s">
        <v>88</v>
      </c>
      <c r="D7021">
        <v>1</v>
      </c>
      <c r="E7021">
        <v>240</v>
      </c>
      <c r="I7021">
        <v>1</v>
      </c>
      <c r="J7021">
        <v>239</v>
      </c>
      <c r="M7021" t="s">
        <v>7147</v>
      </c>
    </row>
    <row r="7022" spans="1:13" ht="15" customHeight="1">
      <c r="A7022" s="10">
        <v>46203</v>
      </c>
      <c r="B7022" t="s">
        <v>201</v>
      </c>
      <c r="C7022" t="s">
        <v>89</v>
      </c>
      <c r="D7022">
        <v>1</v>
      </c>
      <c r="E7022">
        <v>224</v>
      </c>
      <c r="I7022">
        <v>1</v>
      </c>
      <c r="J7022">
        <v>223</v>
      </c>
      <c r="M7022" t="s">
        <v>7148</v>
      </c>
    </row>
    <row r="7023" spans="1:13" ht="15" customHeight="1">
      <c r="A7023" s="10">
        <v>46203</v>
      </c>
      <c r="B7023" t="s">
        <v>201</v>
      </c>
      <c r="C7023" t="s">
        <v>90</v>
      </c>
      <c r="D7023">
        <v>1</v>
      </c>
      <c r="E7023">
        <v>469</v>
      </c>
      <c r="I7023">
        <v>1</v>
      </c>
      <c r="J7023">
        <v>358</v>
      </c>
      <c r="M7023" t="s">
        <v>7149</v>
      </c>
    </row>
    <row r="7024" spans="1:13" ht="15" customHeight="1">
      <c r="A7024" s="10">
        <v>46203</v>
      </c>
      <c r="B7024" t="s">
        <v>201</v>
      </c>
      <c r="C7024" t="s">
        <v>92</v>
      </c>
      <c r="D7024">
        <v>1</v>
      </c>
      <c r="E7024">
        <v>957</v>
      </c>
      <c r="I7024">
        <v>1</v>
      </c>
      <c r="J7024">
        <v>928</v>
      </c>
      <c r="M7024" t="s">
        <v>7150</v>
      </c>
    </row>
    <row r="7025" spans="1:13" ht="15" customHeight="1">
      <c r="A7025" s="10">
        <v>46203</v>
      </c>
      <c r="B7025" t="s">
        <v>201</v>
      </c>
      <c r="C7025" t="s">
        <v>94</v>
      </c>
      <c r="D7025">
        <v>3</v>
      </c>
      <c r="E7025">
        <v>430</v>
      </c>
      <c r="I7025">
        <v>2</v>
      </c>
      <c r="J7025">
        <v>405</v>
      </c>
      <c r="K7025">
        <v>207</v>
      </c>
      <c r="M7025" t="s">
        <v>7151</v>
      </c>
    </row>
    <row r="7026" spans="1:13" ht="15" customHeight="1">
      <c r="A7026" s="10">
        <v>46203</v>
      </c>
      <c r="B7026" t="s">
        <v>201</v>
      </c>
      <c r="C7026" t="s">
        <v>96</v>
      </c>
      <c r="D7026">
        <v>0</v>
      </c>
      <c r="E7026">
        <v>0</v>
      </c>
      <c r="I7026">
        <v>0</v>
      </c>
      <c r="J7026">
        <v>0</v>
      </c>
      <c r="M7026" t="s">
        <v>7152</v>
      </c>
    </row>
    <row r="7027" spans="1:13" ht="15" customHeight="1">
      <c r="A7027" s="10">
        <v>46203</v>
      </c>
      <c r="B7027" t="s">
        <v>201</v>
      </c>
      <c r="C7027" t="s">
        <v>98</v>
      </c>
      <c r="D7027">
        <v>0</v>
      </c>
      <c r="E7027">
        <v>300</v>
      </c>
      <c r="I7027">
        <v>0</v>
      </c>
      <c r="J7027">
        <v>245</v>
      </c>
      <c r="M7027" t="s">
        <v>7153</v>
      </c>
    </row>
    <row r="7028" spans="1:13" ht="15" customHeight="1">
      <c r="A7028" s="10">
        <v>46203</v>
      </c>
      <c r="B7028" t="s">
        <v>201</v>
      </c>
      <c r="C7028" t="s">
        <v>203</v>
      </c>
      <c r="D7028">
        <v>4</v>
      </c>
      <c r="E7028">
        <v>0</v>
      </c>
      <c r="I7028">
        <v>4</v>
      </c>
      <c r="J7028">
        <v>0</v>
      </c>
      <c r="M7028" t="s">
        <v>7154</v>
      </c>
    </row>
    <row r="7029" spans="1:13" ht="15" customHeight="1">
      <c r="A7029" s="10">
        <v>46203</v>
      </c>
      <c r="B7029" t="s">
        <v>201</v>
      </c>
      <c r="C7029" t="s">
        <v>100</v>
      </c>
      <c r="D7029">
        <v>0</v>
      </c>
      <c r="E7029">
        <v>0</v>
      </c>
      <c r="I7029">
        <v>0</v>
      </c>
      <c r="J7029">
        <v>0</v>
      </c>
      <c r="M7029" t="s">
        <v>7155</v>
      </c>
    </row>
    <row r="7030" spans="1:13" ht="15" customHeight="1">
      <c r="A7030" s="10">
        <v>46203</v>
      </c>
      <c r="B7030" t="s">
        <v>201</v>
      </c>
      <c r="C7030" t="s">
        <v>101</v>
      </c>
      <c r="D7030">
        <v>1</v>
      </c>
      <c r="E7030">
        <v>258</v>
      </c>
      <c r="I7030">
        <v>1</v>
      </c>
      <c r="J7030">
        <v>200</v>
      </c>
      <c r="M7030" t="s">
        <v>7156</v>
      </c>
    </row>
    <row r="7031" spans="1:13" ht="15" customHeight="1">
      <c r="A7031" s="10">
        <v>46203</v>
      </c>
      <c r="B7031" t="s">
        <v>201</v>
      </c>
      <c r="C7031" t="s">
        <v>103</v>
      </c>
      <c r="D7031">
        <v>0</v>
      </c>
      <c r="E7031">
        <v>5</v>
      </c>
      <c r="I7031">
        <v>0</v>
      </c>
      <c r="J7031">
        <v>3</v>
      </c>
      <c r="M7031" t="s">
        <v>7157</v>
      </c>
    </row>
    <row r="7032" spans="1:13" ht="15" customHeight="1">
      <c r="A7032" s="10">
        <v>46203</v>
      </c>
      <c r="B7032" t="s">
        <v>201</v>
      </c>
      <c r="C7032" t="s">
        <v>106</v>
      </c>
      <c r="D7032">
        <v>1</v>
      </c>
      <c r="E7032">
        <v>302</v>
      </c>
      <c r="I7032">
        <v>1</v>
      </c>
      <c r="J7032">
        <v>283</v>
      </c>
      <c r="M7032" t="s">
        <v>7158</v>
      </c>
    </row>
    <row r="7033" spans="1:13" ht="15" customHeight="1">
      <c r="A7033" s="10">
        <v>46203</v>
      </c>
      <c r="B7033" t="s">
        <v>201</v>
      </c>
      <c r="C7033" t="s">
        <v>108</v>
      </c>
      <c r="D7033">
        <v>1</v>
      </c>
      <c r="E7033">
        <v>617</v>
      </c>
      <c r="I7033">
        <v>1</v>
      </c>
      <c r="J7033">
        <v>579</v>
      </c>
      <c r="M7033" t="s">
        <v>7159</v>
      </c>
    </row>
    <row r="7034" spans="1:13" ht="15" customHeight="1">
      <c r="A7034" s="10">
        <v>46203</v>
      </c>
      <c r="B7034" t="s">
        <v>201</v>
      </c>
      <c r="C7034" t="s">
        <v>109</v>
      </c>
      <c r="D7034">
        <v>0</v>
      </c>
      <c r="E7034">
        <v>1210</v>
      </c>
      <c r="I7034">
        <v>0</v>
      </c>
      <c r="J7034">
        <v>1195</v>
      </c>
      <c r="M7034" t="s">
        <v>7160</v>
      </c>
    </row>
    <row r="7035" spans="1:13" ht="15" customHeight="1">
      <c r="A7035" s="10">
        <v>46203</v>
      </c>
      <c r="B7035" t="s">
        <v>201</v>
      </c>
      <c r="C7035" t="s">
        <v>112</v>
      </c>
      <c r="D7035">
        <v>0</v>
      </c>
      <c r="E7035">
        <v>46</v>
      </c>
      <c r="I7035">
        <v>1</v>
      </c>
      <c r="J7035">
        <v>45</v>
      </c>
      <c r="M7035" t="s">
        <v>7161</v>
      </c>
    </row>
    <row r="7036" spans="1:13" ht="15" customHeight="1">
      <c r="A7036" s="10">
        <v>46203</v>
      </c>
      <c r="B7036" t="s">
        <v>201</v>
      </c>
      <c r="C7036" t="s">
        <v>114</v>
      </c>
      <c r="D7036">
        <v>1</v>
      </c>
      <c r="E7036">
        <v>29</v>
      </c>
      <c r="I7036">
        <v>1</v>
      </c>
      <c r="J7036">
        <v>25</v>
      </c>
      <c r="M7036" t="s">
        <v>7162</v>
      </c>
    </row>
    <row r="7037" spans="1:13" ht="15" customHeight="1">
      <c r="A7037" s="10">
        <v>46203</v>
      </c>
      <c r="B7037" t="s">
        <v>201</v>
      </c>
      <c r="C7037" t="s">
        <v>115</v>
      </c>
      <c r="D7037">
        <v>1</v>
      </c>
      <c r="E7037">
        <v>25</v>
      </c>
      <c r="I7037">
        <v>1</v>
      </c>
      <c r="J7037">
        <v>19</v>
      </c>
      <c r="M7037" t="s">
        <v>7163</v>
      </c>
    </row>
    <row r="7038" spans="1:13" ht="15" customHeight="1">
      <c r="A7038" s="10">
        <v>46203</v>
      </c>
      <c r="B7038" t="s">
        <v>201</v>
      </c>
      <c r="C7038" t="s">
        <v>116</v>
      </c>
      <c r="D7038">
        <v>2</v>
      </c>
      <c r="E7038">
        <v>10</v>
      </c>
      <c r="I7038">
        <v>2</v>
      </c>
      <c r="J7038">
        <v>8</v>
      </c>
      <c r="M7038" t="s">
        <v>7164</v>
      </c>
    </row>
    <row r="7039" spans="1:13" ht="15" customHeight="1">
      <c r="A7039" s="10">
        <v>46203</v>
      </c>
      <c r="B7039" t="s">
        <v>201</v>
      </c>
      <c r="C7039" t="s">
        <v>119</v>
      </c>
      <c r="D7039">
        <v>5</v>
      </c>
      <c r="E7039">
        <v>0</v>
      </c>
      <c r="I7039">
        <v>5</v>
      </c>
      <c r="M7039" t="s">
        <v>7165</v>
      </c>
    </row>
    <row r="7040" spans="1:13" ht="15" customHeight="1">
      <c r="A7040" s="10">
        <v>46203</v>
      </c>
      <c r="B7040" t="s">
        <v>201</v>
      </c>
      <c r="C7040" t="s">
        <v>120</v>
      </c>
      <c r="D7040">
        <v>0</v>
      </c>
      <c r="E7040">
        <v>0</v>
      </c>
      <c r="I7040">
        <v>0</v>
      </c>
      <c r="M7040" t="s">
        <v>7166</v>
      </c>
    </row>
    <row r="7041" spans="1:13" ht="15" customHeight="1">
      <c r="A7041" s="10">
        <v>46203</v>
      </c>
      <c r="B7041" t="s">
        <v>201</v>
      </c>
      <c r="C7041" t="s">
        <v>121</v>
      </c>
      <c r="D7041">
        <v>2</v>
      </c>
      <c r="E7041">
        <v>0</v>
      </c>
      <c r="I7041">
        <v>2</v>
      </c>
      <c r="M7041" t="s">
        <v>7167</v>
      </c>
    </row>
    <row r="7042" spans="1:13" ht="15" customHeight="1">
      <c r="A7042" s="10">
        <v>46203</v>
      </c>
      <c r="B7042" t="s">
        <v>201</v>
      </c>
      <c r="C7042" t="s">
        <v>123</v>
      </c>
      <c r="D7042">
        <v>2</v>
      </c>
      <c r="E7042">
        <v>0</v>
      </c>
      <c r="I7042">
        <v>2</v>
      </c>
      <c r="M7042" t="s">
        <v>7168</v>
      </c>
    </row>
    <row r="7043" spans="1:13" ht="15" customHeight="1">
      <c r="A7043" s="10">
        <v>46203</v>
      </c>
      <c r="B7043" t="s">
        <v>201</v>
      </c>
      <c r="C7043" t="s">
        <v>124</v>
      </c>
      <c r="D7043">
        <v>1</v>
      </c>
      <c r="E7043">
        <v>0</v>
      </c>
      <c r="I7043">
        <v>1</v>
      </c>
      <c r="M7043" t="s">
        <v>7169</v>
      </c>
    </row>
    <row r="7044" spans="1:13" ht="15" customHeight="1">
      <c r="A7044" s="10">
        <v>46203</v>
      </c>
      <c r="B7044" t="s">
        <v>201</v>
      </c>
      <c r="C7044" t="s">
        <v>125</v>
      </c>
      <c r="D7044">
        <v>2</v>
      </c>
      <c r="E7044">
        <v>0</v>
      </c>
      <c r="I7044">
        <v>2</v>
      </c>
      <c r="M7044" t="s">
        <v>7170</v>
      </c>
    </row>
    <row r="7045" spans="1:13" ht="15" customHeight="1">
      <c r="A7045" s="10">
        <v>46203</v>
      </c>
      <c r="B7045" t="s">
        <v>201</v>
      </c>
      <c r="C7045" t="s">
        <v>126</v>
      </c>
      <c r="D7045">
        <v>2</v>
      </c>
      <c r="E7045">
        <v>0</v>
      </c>
      <c r="I7045">
        <v>2</v>
      </c>
      <c r="M7045" t="s">
        <v>7171</v>
      </c>
    </row>
    <row r="7046" spans="1:13" ht="15" customHeight="1">
      <c r="A7046" s="10">
        <v>46203</v>
      </c>
      <c r="B7046" t="s">
        <v>201</v>
      </c>
      <c r="C7046" t="s">
        <v>128</v>
      </c>
      <c r="D7046">
        <v>2</v>
      </c>
      <c r="E7046">
        <v>0</v>
      </c>
      <c r="I7046">
        <v>2</v>
      </c>
      <c r="M7046" t="s">
        <v>7172</v>
      </c>
    </row>
    <row r="7047" spans="1:13" ht="15" customHeight="1">
      <c r="A7047" s="10">
        <v>46203</v>
      </c>
      <c r="B7047" t="s">
        <v>201</v>
      </c>
      <c r="C7047" t="s">
        <v>130</v>
      </c>
      <c r="D7047">
        <v>4</v>
      </c>
      <c r="E7047">
        <v>0</v>
      </c>
      <c r="I7047">
        <v>4</v>
      </c>
      <c r="M7047" t="s">
        <v>7173</v>
      </c>
    </row>
    <row r="7048" spans="1:13" ht="15" customHeight="1">
      <c r="A7048" s="10">
        <v>46203</v>
      </c>
      <c r="B7048" t="s">
        <v>201</v>
      </c>
      <c r="C7048" t="s">
        <v>285</v>
      </c>
      <c r="D7048">
        <v>2</v>
      </c>
      <c r="E7048">
        <v>0</v>
      </c>
      <c r="I7048">
        <v>2</v>
      </c>
      <c r="M7048" t="s">
        <v>7174</v>
      </c>
    </row>
    <row r="7049" spans="1:13" ht="15" customHeight="1">
      <c r="A7049" s="10">
        <v>46203</v>
      </c>
      <c r="B7049" t="s">
        <v>201</v>
      </c>
      <c r="C7049" t="s">
        <v>287</v>
      </c>
      <c r="D7049">
        <v>6</v>
      </c>
      <c r="E7049">
        <v>0</v>
      </c>
      <c r="I7049">
        <v>6</v>
      </c>
      <c r="M7049" t="s">
        <v>7175</v>
      </c>
    </row>
    <row r="7050" spans="1:13" ht="15" customHeight="1">
      <c r="A7050" s="10">
        <v>46203</v>
      </c>
      <c r="B7050" t="s">
        <v>201</v>
      </c>
      <c r="C7050" t="s">
        <v>289</v>
      </c>
      <c r="D7050">
        <v>2</v>
      </c>
      <c r="E7050">
        <v>0</v>
      </c>
      <c r="I7050">
        <v>2</v>
      </c>
      <c r="M7050" t="s">
        <v>7176</v>
      </c>
    </row>
    <row r="7051" spans="1:13" ht="15" customHeight="1">
      <c r="A7051" s="10">
        <v>46203</v>
      </c>
      <c r="B7051" t="s">
        <v>201</v>
      </c>
      <c r="C7051" t="s">
        <v>291</v>
      </c>
      <c r="D7051">
        <v>1</v>
      </c>
      <c r="E7051">
        <v>0</v>
      </c>
      <c r="I7051">
        <v>1</v>
      </c>
      <c r="M7051" t="s">
        <v>7177</v>
      </c>
    </row>
    <row r="7052" spans="1:13" ht="15" customHeight="1">
      <c r="A7052" s="10">
        <v>46203</v>
      </c>
      <c r="B7052" t="s">
        <v>201</v>
      </c>
      <c r="C7052" t="s">
        <v>293</v>
      </c>
      <c r="D7052">
        <v>2</v>
      </c>
      <c r="E7052">
        <v>0</v>
      </c>
      <c r="I7052">
        <v>2</v>
      </c>
      <c r="M7052" t="s">
        <v>7178</v>
      </c>
    </row>
    <row r="7053" spans="1:13" ht="15" customHeight="1">
      <c r="A7053" s="10">
        <v>46203</v>
      </c>
      <c r="B7053" t="s">
        <v>201</v>
      </c>
      <c r="C7053" s="135" t="s">
        <v>138</v>
      </c>
      <c r="D7053">
        <v>0</v>
      </c>
      <c r="E7053">
        <v>52</v>
      </c>
      <c r="I7053">
        <v>0</v>
      </c>
      <c r="J7053">
        <v>51</v>
      </c>
      <c r="M7053" t="s">
        <v>7179</v>
      </c>
    </row>
    <row r="7054" spans="1:13" ht="15" customHeight="1">
      <c r="A7054" s="10">
        <v>46203</v>
      </c>
      <c r="B7054" t="s">
        <v>201</v>
      </c>
      <c r="C7054" s="135" t="s">
        <v>139</v>
      </c>
      <c r="D7054">
        <v>0</v>
      </c>
      <c r="E7054">
        <v>27</v>
      </c>
      <c r="I7054">
        <v>0</v>
      </c>
      <c r="J7054">
        <v>27</v>
      </c>
      <c r="M7054" t="s">
        <v>7180</v>
      </c>
    </row>
    <row r="7055" spans="1:13" ht="15" customHeight="1">
      <c r="A7055" s="10">
        <v>46203</v>
      </c>
      <c r="B7055" t="s">
        <v>201</v>
      </c>
      <c r="C7055" s="135" t="s">
        <v>140</v>
      </c>
      <c r="D7055">
        <v>0</v>
      </c>
      <c r="E7055">
        <v>47</v>
      </c>
      <c r="I7055">
        <v>0</v>
      </c>
      <c r="J7055">
        <v>47</v>
      </c>
      <c r="M7055" t="s">
        <v>7181</v>
      </c>
    </row>
    <row r="7056" spans="1:13" ht="15" customHeight="1">
      <c r="A7056" s="10">
        <v>46203</v>
      </c>
      <c r="B7056" t="s">
        <v>201</v>
      </c>
      <c r="C7056" s="135" t="s">
        <v>141</v>
      </c>
      <c r="D7056">
        <v>0</v>
      </c>
      <c r="E7056">
        <v>483</v>
      </c>
      <c r="I7056">
        <v>0</v>
      </c>
      <c r="J7056">
        <v>1</v>
      </c>
      <c r="M7056" t="s">
        <v>7182</v>
      </c>
    </row>
    <row r="7057" spans="1:13" ht="15" customHeight="1">
      <c r="A7057" s="10">
        <v>46203</v>
      </c>
      <c r="B7057" t="s">
        <v>201</v>
      </c>
      <c r="C7057" s="135" t="s">
        <v>143</v>
      </c>
      <c r="D7057">
        <v>0</v>
      </c>
      <c r="E7057">
        <v>24</v>
      </c>
      <c r="I7057">
        <v>0</v>
      </c>
      <c r="J7057">
        <v>22</v>
      </c>
      <c r="M7057" t="s">
        <v>7183</v>
      </c>
    </row>
    <row r="7058" spans="1:13" ht="15" customHeight="1">
      <c r="A7058" s="10">
        <v>46203</v>
      </c>
      <c r="B7058" t="s">
        <v>201</v>
      </c>
      <c r="C7058" s="135" t="s">
        <v>145</v>
      </c>
      <c r="D7058">
        <v>0</v>
      </c>
      <c r="E7058">
        <v>48</v>
      </c>
      <c r="I7058">
        <v>0</v>
      </c>
      <c r="J7058">
        <v>47</v>
      </c>
      <c r="M7058" t="s">
        <v>7184</v>
      </c>
    </row>
    <row r="7059" spans="1:13" ht="15" customHeight="1">
      <c r="A7059" s="10">
        <v>46203</v>
      </c>
      <c r="B7059" t="s">
        <v>201</v>
      </c>
      <c r="C7059" s="135" t="s">
        <v>147</v>
      </c>
      <c r="D7059">
        <v>0</v>
      </c>
      <c r="E7059">
        <v>46</v>
      </c>
      <c r="I7059">
        <v>0</v>
      </c>
      <c r="J7059">
        <v>46</v>
      </c>
      <c r="M7059" t="s">
        <v>7185</v>
      </c>
    </row>
    <row r="7060" spans="1:13" ht="15" customHeight="1">
      <c r="A7060" s="10">
        <v>46203</v>
      </c>
      <c r="B7060" t="s">
        <v>201</v>
      </c>
      <c r="C7060" t="s">
        <v>302</v>
      </c>
      <c r="D7060">
        <v>1</v>
      </c>
      <c r="E7060">
        <v>0</v>
      </c>
      <c r="I7060">
        <v>1</v>
      </c>
      <c r="M7060" t="s">
        <v>7186</v>
      </c>
    </row>
    <row r="7061" spans="1:13" ht="15" customHeight="1">
      <c r="A7061" s="10">
        <v>46203</v>
      </c>
      <c r="B7061" t="s">
        <v>201</v>
      </c>
      <c r="C7061" t="s">
        <v>150</v>
      </c>
      <c r="D7061">
        <v>3</v>
      </c>
      <c r="E7061">
        <v>0</v>
      </c>
      <c r="I7061">
        <v>3</v>
      </c>
      <c r="M7061" t="s">
        <v>7187</v>
      </c>
    </row>
    <row r="7062" spans="1:13" ht="15" customHeight="1">
      <c r="A7062" s="10">
        <v>46203</v>
      </c>
      <c r="B7062" t="s">
        <v>201</v>
      </c>
      <c r="C7062" t="s">
        <v>151</v>
      </c>
      <c r="D7062">
        <v>2</v>
      </c>
      <c r="E7062">
        <v>0</v>
      </c>
      <c r="I7062">
        <v>2</v>
      </c>
      <c r="M7062" t="s">
        <v>7188</v>
      </c>
    </row>
    <row r="7063" spans="1:13" ht="15" customHeight="1">
      <c r="A7063" s="10">
        <v>46203</v>
      </c>
      <c r="B7063" t="s">
        <v>201</v>
      </c>
      <c r="C7063" t="s">
        <v>152</v>
      </c>
      <c r="D7063">
        <v>2</v>
      </c>
      <c r="E7063">
        <v>0</v>
      </c>
      <c r="I7063">
        <v>2</v>
      </c>
      <c r="M7063" t="s">
        <v>7189</v>
      </c>
    </row>
    <row r="7064" spans="1:13" ht="15" customHeight="1">
      <c r="A7064" s="10">
        <v>46203</v>
      </c>
      <c r="B7064" t="s">
        <v>201</v>
      </c>
      <c r="C7064" t="s">
        <v>153</v>
      </c>
      <c r="D7064">
        <v>2</v>
      </c>
      <c r="E7064">
        <v>0</v>
      </c>
      <c r="I7064">
        <v>2</v>
      </c>
      <c r="M7064" t="s">
        <v>7190</v>
      </c>
    </row>
    <row r="7065" spans="1:13" ht="15" customHeight="1">
      <c r="A7065" s="10">
        <v>46203</v>
      </c>
      <c r="B7065" t="s">
        <v>201</v>
      </c>
      <c r="C7065" t="s">
        <v>308</v>
      </c>
      <c r="D7065">
        <v>0</v>
      </c>
      <c r="E7065">
        <v>3</v>
      </c>
      <c r="I7065">
        <v>0</v>
      </c>
      <c r="J7065">
        <v>3</v>
      </c>
      <c r="M7065" t="s">
        <v>7191</v>
      </c>
    </row>
    <row r="7066" spans="1:13" ht="15" customHeight="1">
      <c r="A7066" s="10">
        <v>46203</v>
      </c>
      <c r="B7066" t="s">
        <v>201</v>
      </c>
      <c r="C7066" t="s">
        <v>310</v>
      </c>
      <c r="D7066">
        <v>0</v>
      </c>
      <c r="E7066">
        <v>2</v>
      </c>
      <c r="I7066">
        <v>0</v>
      </c>
      <c r="J7066">
        <v>2</v>
      </c>
      <c r="M7066" t="s">
        <v>7192</v>
      </c>
    </row>
    <row r="7067" spans="1:13" ht="15" customHeight="1">
      <c r="A7067" s="10">
        <v>46203</v>
      </c>
      <c r="B7067" t="s">
        <v>201</v>
      </c>
      <c r="C7067" t="s">
        <v>312</v>
      </c>
      <c r="D7067">
        <v>0</v>
      </c>
      <c r="E7067">
        <v>4</v>
      </c>
      <c r="I7067">
        <v>0</v>
      </c>
      <c r="J7067">
        <v>3</v>
      </c>
      <c r="M7067" t="s">
        <v>7193</v>
      </c>
    </row>
    <row r="7068" spans="1:13" ht="15" customHeight="1">
      <c r="A7068" s="10">
        <v>46203</v>
      </c>
      <c r="B7068" t="s">
        <v>201</v>
      </c>
      <c r="C7068" t="s">
        <v>314</v>
      </c>
      <c r="D7068">
        <v>1</v>
      </c>
      <c r="E7068">
        <v>0</v>
      </c>
      <c r="I7068">
        <v>1</v>
      </c>
      <c r="M7068" t="s">
        <v>7194</v>
      </c>
    </row>
    <row r="7069" spans="1:13" ht="15" customHeight="1">
      <c r="A7069" s="10">
        <v>46203</v>
      </c>
      <c r="B7069" t="s">
        <v>201</v>
      </c>
      <c r="C7069" t="s">
        <v>316</v>
      </c>
      <c r="D7069">
        <v>1</v>
      </c>
      <c r="E7069">
        <v>0</v>
      </c>
      <c r="I7069">
        <v>1</v>
      </c>
      <c r="M7069" t="s">
        <v>7195</v>
      </c>
    </row>
    <row r="7070" spans="1:13" ht="15" customHeight="1">
      <c r="A7070" s="10">
        <v>46203</v>
      </c>
      <c r="B7070" t="s">
        <v>201</v>
      </c>
      <c r="C7070" t="s">
        <v>318</v>
      </c>
      <c r="D7070">
        <v>2</v>
      </c>
      <c r="E7070">
        <v>0</v>
      </c>
      <c r="I7070">
        <v>2</v>
      </c>
      <c r="M7070" t="s">
        <v>7196</v>
      </c>
    </row>
    <row r="7071" spans="1:13" ht="15" customHeight="1">
      <c r="A7071" s="10">
        <v>46203</v>
      </c>
      <c r="B7071" t="s">
        <v>201</v>
      </c>
      <c r="C7071" t="s">
        <v>320</v>
      </c>
      <c r="D7071">
        <v>2</v>
      </c>
      <c r="E7071">
        <v>0</v>
      </c>
      <c r="I7071">
        <v>2</v>
      </c>
      <c r="M7071" t="s">
        <v>7197</v>
      </c>
    </row>
    <row r="7072" spans="1:13" ht="15" customHeight="1">
      <c r="A7072" s="10">
        <v>46203</v>
      </c>
      <c r="B7072" t="s">
        <v>201</v>
      </c>
      <c r="C7072" t="s">
        <v>322</v>
      </c>
      <c r="D7072">
        <v>2</v>
      </c>
      <c r="E7072">
        <v>0</v>
      </c>
      <c r="I7072">
        <v>2</v>
      </c>
      <c r="M7072" t="s">
        <v>7198</v>
      </c>
    </row>
    <row r="7073" spans="1:13" ht="15" customHeight="1">
      <c r="A7073" s="10">
        <v>46203</v>
      </c>
      <c r="B7073" t="s">
        <v>201</v>
      </c>
      <c r="C7073" s="135" t="s">
        <v>168</v>
      </c>
      <c r="D7073">
        <v>1</v>
      </c>
      <c r="E7073">
        <v>0</v>
      </c>
      <c r="I7073">
        <v>1</v>
      </c>
      <c r="M7073" t="s">
        <v>7199</v>
      </c>
    </row>
    <row r="7074" spans="1:13" ht="15" customHeight="1">
      <c r="A7074" s="10">
        <v>46203</v>
      </c>
      <c r="B7074" t="s">
        <v>201</v>
      </c>
      <c r="C7074" s="135" t="s">
        <v>170</v>
      </c>
      <c r="D7074">
        <v>1</v>
      </c>
      <c r="E7074">
        <v>0</v>
      </c>
      <c r="I7074">
        <v>1</v>
      </c>
      <c r="M7074" t="s">
        <v>7200</v>
      </c>
    </row>
    <row r="7075" spans="1:13" ht="15" customHeight="1">
      <c r="A7075" s="10">
        <v>46203</v>
      </c>
      <c r="B7075" t="s">
        <v>201</v>
      </c>
      <c r="C7075" s="135" t="s">
        <v>171</v>
      </c>
      <c r="D7075">
        <v>3</v>
      </c>
      <c r="E7075">
        <v>0</v>
      </c>
      <c r="I7075">
        <v>3</v>
      </c>
      <c r="M7075" t="s">
        <v>7201</v>
      </c>
    </row>
    <row r="7076" spans="1:13" ht="15" customHeight="1">
      <c r="A7076" s="10">
        <v>46203</v>
      </c>
      <c r="B7076" t="s">
        <v>201</v>
      </c>
      <c r="C7076" s="135" t="s">
        <v>172</v>
      </c>
      <c r="D7076">
        <v>1</v>
      </c>
      <c r="E7076">
        <v>0</v>
      </c>
      <c r="I7076">
        <v>1</v>
      </c>
      <c r="M7076" t="s">
        <v>7202</v>
      </c>
    </row>
    <row r="7077" spans="1:13" ht="15" customHeight="1">
      <c r="A7077" s="10">
        <v>46203</v>
      </c>
      <c r="B7077" t="s">
        <v>201</v>
      </c>
      <c r="C7077" s="135" t="s">
        <v>173</v>
      </c>
      <c r="D7077">
        <v>0</v>
      </c>
      <c r="E7077">
        <v>0</v>
      </c>
      <c r="I7077">
        <v>0</v>
      </c>
      <c r="M7077" t="s">
        <v>7203</v>
      </c>
    </row>
    <row r="7078" spans="1:13" ht="15" customHeight="1">
      <c r="A7078" s="10">
        <v>46203</v>
      </c>
      <c r="B7078" t="s">
        <v>201</v>
      </c>
      <c r="C7078" t="s">
        <v>176</v>
      </c>
      <c r="D7078">
        <v>0</v>
      </c>
      <c r="E7078">
        <v>21</v>
      </c>
      <c r="I7078">
        <v>0</v>
      </c>
      <c r="J7078">
        <v>21</v>
      </c>
      <c r="M7078" t="s">
        <v>7204</v>
      </c>
    </row>
    <row r="7079" spans="1:13" ht="15" customHeight="1">
      <c r="A7079" s="10">
        <v>46203</v>
      </c>
      <c r="B7079" t="s">
        <v>201</v>
      </c>
      <c r="C7079" t="s">
        <v>178</v>
      </c>
      <c r="D7079">
        <v>0</v>
      </c>
      <c r="E7079">
        <v>21</v>
      </c>
      <c r="I7079">
        <v>0</v>
      </c>
      <c r="J7079">
        <v>21</v>
      </c>
      <c r="M7079" t="s">
        <v>7205</v>
      </c>
    </row>
    <row r="7080" spans="1:13" ht="15" customHeight="1">
      <c r="A7080" s="10">
        <v>46203</v>
      </c>
      <c r="B7080" t="s">
        <v>201</v>
      </c>
      <c r="C7080" t="s">
        <v>179</v>
      </c>
      <c r="D7080">
        <v>0</v>
      </c>
      <c r="E7080">
        <v>15</v>
      </c>
      <c r="I7080">
        <v>0</v>
      </c>
      <c r="J7080">
        <v>15</v>
      </c>
      <c r="M7080" t="s">
        <v>7206</v>
      </c>
    </row>
    <row r="7081" spans="1:13" ht="15" customHeight="1">
      <c r="A7081" s="10">
        <v>46203</v>
      </c>
      <c r="B7081" t="s">
        <v>201</v>
      </c>
      <c r="C7081" t="s">
        <v>180</v>
      </c>
      <c r="D7081">
        <v>0</v>
      </c>
      <c r="E7081">
        <v>12</v>
      </c>
      <c r="H7081">
        <v>1</v>
      </c>
      <c r="I7081">
        <v>0</v>
      </c>
      <c r="J7081">
        <v>11</v>
      </c>
      <c r="M7081" t="s">
        <v>7207</v>
      </c>
    </row>
    <row r="7082" spans="1:13" ht="15" customHeight="1">
      <c r="A7082" s="10">
        <v>46203</v>
      </c>
      <c r="B7082" t="s">
        <v>201</v>
      </c>
      <c r="C7082" s="135" t="s">
        <v>182</v>
      </c>
      <c r="D7082">
        <v>1</v>
      </c>
      <c r="E7082">
        <v>150</v>
      </c>
      <c r="I7082">
        <v>1</v>
      </c>
      <c r="J7082">
        <v>150</v>
      </c>
      <c r="M7082" t="s">
        <v>7208</v>
      </c>
    </row>
    <row r="7083" spans="1:13" ht="15" customHeight="1">
      <c r="A7083" s="10">
        <v>46203</v>
      </c>
      <c r="B7083" t="s">
        <v>201</v>
      </c>
      <c r="C7083" s="135" t="s">
        <v>184</v>
      </c>
      <c r="D7083">
        <v>0</v>
      </c>
      <c r="E7083">
        <v>57</v>
      </c>
      <c r="I7083">
        <v>0</v>
      </c>
      <c r="J7083">
        <v>55</v>
      </c>
      <c r="M7083" t="s">
        <v>7209</v>
      </c>
    </row>
    <row r="7084" spans="1:13" ht="15" customHeight="1">
      <c r="A7084" s="10">
        <v>46203</v>
      </c>
      <c r="B7084" t="s">
        <v>201</v>
      </c>
      <c r="C7084" s="135" t="s">
        <v>185</v>
      </c>
      <c r="D7084">
        <v>1</v>
      </c>
      <c r="E7084">
        <v>26</v>
      </c>
      <c r="I7084">
        <v>1</v>
      </c>
      <c r="J7084">
        <v>26</v>
      </c>
      <c r="M7084" t="s">
        <v>7210</v>
      </c>
    </row>
    <row r="7085" spans="1:13" ht="15" customHeight="1">
      <c r="A7085" s="10">
        <v>46203</v>
      </c>
      <c r="B7085" t="s">
        <v>201</v>
      </c>
      <c r="C7085" s="135" t="s">
        <v>186</v>
      </c>
      <c r="D7085">
        <v>1</v>
      </c>
      <c r="E7085">
        <v>500</v>
      </c>
      <c r="I7085">
        <v>1</v>
      </c>
      <c r="J7085">
        <v>500</v>
      </c>
      <c r="M7085" t="s">
        <v>7211</v>
      </c>
    </row>
    <row r="7086" spans="1:13" ht="15" customHeight="1">
      <c r="A7086" s="10">
        <v>46203</v>
      </c>
      <c r="B7086" t="s">
        <v>201</v>
      </c>
      <c r="C7086" t="s">
        <v>337</v>
      </c>
      <c r="D7086">
        <v>2</v>
      </c>
      <c r="E7086">
        <v>273</v>
      </c>
      <c r="I7086">
        <v>2</v>
      </c>
      <c r="J7086">
        <v>273</v>
      </c>
      <c r="M7086" t="s">
        <v>7212</v>
      </c>
    </row>
    <row r="7087" spans="1:13" ht="15" customHeight="1">
      <c r="A7087" s="10">
        <v>46203</v>
      </c>
      <c r="B7087" t="s">
        <v>201</v>
      </c>
      <c r="C7087" t="s">
        <v>339</v>
      </c>
      <c r="D7087">
        <v>0</v>
      </c>
      <c r="E7087">
        <v>0</v>
      </c>
      <c r="I7087">
        <v>0</v>
      </c>
      <c r="J7087">
        <v>0</v>
      </c>
      <c r="M7087" t="s">
        <v>7213</v>
      </c>
    </row>
    <row r="7088" spans="1:13" ht="15" customHeight="1">
      <c r="A7088" s="10">
        <v>46203</v>
      </c>
      <c r="B7088" t="s">
        <v>201</v>
      </c>
      <c r="C7088" s="135" t="s">
        <v>191</v>
      </c>
      <c r="D7088">
        <v>1</v>
      </c>
      <c r="E7088">
        <v>382</v>
      </c>
      <c r="I7088">
        <v>1</v>
      </c>
      <c r="J7088">
        <v>382</v>
      </c>
      <c r="M7088" t="s">
        <v>7214</v>
      </c>
    </row>
    <row r="7089" spans="1:13" ht="15" customHeight="1">
      <c r="A7089" s="10">
        <v>46203</v>
      </c>
      <c r="B7089" t="s">
        <v>201</v>
      </c>
      <c r="C7089" s="135" t="s">
        <v>193</v>
      </c>
      <c r="D7089">
        <v>0</v>
      </c>
      <c r="E7089">
        <v>430</v>
      </c>
      <c r="I7089">
        <v>0</v>
      </c>
      <c r="J7089">
        <v>430</v>
      </c>
      <c r="M7089" t="s">
        <v>7215</v>
      </c>
    </row>
    <row r="7090" spans="1:13" ht="15" customHeight="1">
      <c r="A7090" s="10">
        <v>46203</v>
      </c>
      <c r="B7090" t="s">
        <v>201</v>
      </c>
      <c r="C7090" s="135" t="s">
        <v>194</v>
      </c>
      <c r="D7090">
        <v>0</v>
      </c>
      <c r="E7090">
        <v>50</v>
      </c>
      <c r="I7090">
        <v>0</v>
      </c>
      <c r="J7090">
        <v>50</v>
      </c>
      <c r="M7090" t="s">
        <v>7216</v>
      </c>
    </row>
    <row r="7091" spans="1:13" ht="15" customHeight="1">
      <c r="A7091" s="10">
        <v>46203</v>
      </c>
      <c r="B7091" t="s">
        <v>201</v>
      </c>
      <c r="C7091" s="135" t="s">
        <v>196</v>
      </c>
      <c r="D7091">
        <v>0</v>
      </c>
      <c r="E7091">
        <v>226</v>
      </c>
      <c r="I7091">
        <v>0</v>
      </c>
      <c r="J7091">
        <v>226</v>
      </c>
      <c r="M7091" t="s">
        <v>7217</v>
      </c>
    </row>
    <row r="7092" spans="1:13" ht="15" customHeight="1">
      <c r="A7092" s="10">
        <v>46203</v>
      </c>
      <c r="B7092" t="s">
        <v>201</v>
      </c>
      <c r="C7092" s="135" t="s">
        <v>199</v>
      </c>
      <c r="D7092">
        <v>0</v>
      </c>
      <c r="E7092">
        <v>194</v>
      </c>
      <c r="I7092">
        <v>0</v>
      </c>
      <c r="J7092">
        <v>156</v>
      </c>
      <c r="M7092" t="s">
        <v>7218</v>
      </c>
    </row>
    <row r="7093" spans="1:13" ht="15" customHeight="1">
      <c r="A7093" s="10">
        <v>46203</v>
      </c>
      <c r="B7093" t="s">
        <v>201</v>
      </c>
      <c r="C7093" s="135" t="s">
        <v>200</v>
      </c>
      <c r="D7093">
        <v>0</v>
      </c>
      <c r="E7093">
        <v>596</v>
      </c>
      <c r="I7093">
        <v>0</v>
      </c>
      <c r="J7093">
        <v>563</v>
      </c>
      <c r="M7093" t="s">
        <v>7219</v>
      </c>
    </row>
    <row r="7094" spans="1:13" ht="15" customHeight="1">
      <c r="A7094" s="10">
        <v>46203</v>
      </c>
      <c r="B7094" t="s">
        <v>201</v>
      </c>
      <c r="C7094" s="135" t="s">
        <v>202</v>
      </c>
      <c r="D7094">
        <v>0</v>
      </c>
      <c r="E7094">
        <v>511</v>
      </c>
      <c r="I7094">
        <v>0</v>
      </c>
      <c r="J7094">
        <v>488</v>
      </c>
      <c r="M7094" t="s">
        <v>7220</v>
      </c>
    </row>
    <row r="7095" spans="1:13" ht="15" customHeight="1">
      <c r="A7095" s="10">
        <v>46204</v>
      </c>
      <c r="B7095" t="s">
        <v>201</v>
      </c>
      <c r="C7095" t="s">
        <v>23</v>
      </c>
      <c r="D7095">
        <v>5</v>
      </c>
      <c r="E7095">
        <v>1337</v>
      </c>
      <c r="F7095">
        <v>3</v>
      </c>
      <c r="I7095">
        <v>8</v>
      </c>
      <c r="J7095">
        <v>1066</v>
      </c>
      <c r="M7095" t="s">
        <v>7221</v>
      </c>
    </row>
    <row r="7096" spans="1:13" ht="15" customHeight="1">
      <c r="A7096" s="10">
        <v>46204</v>
      </c>
      <c r="B7096" t="s">
        <v>201</v>
      </c>
      <c r="C7096" t="s">
        <v>26</v>
      </c>
      <c r="D7096">
        <v>1</v>
      </c>
      <c r="E7096">
        <v>933</v>
      </c>
      <c r="F7096">
        <v>2</v>
      </c>
      <c r="I7096">
        <v>3</v>
      </c>
      <c r="J7096">
        <v>524</v>
      </c>
      <c r="M7096" t="s">
        <v>7222</v>
      </c>
    </row>
    <row r="7097" spans="1:13" ht="15" customHeight="1">
      <c r="A7097" s="10">
        <v>46204</v>
      </c>
      <c r="B7097" t="s">
        <v>201</v>
      </c>
      <c r="C7097" t="s">
        <v>27</v>
      </c>
      <c r="D7097">
        <v>0</v>
      </c>
      <c r="E7097">
        <v>982</v>
      </c>
      <c r="F7097">
        <v>2</v>
      </c>
      <c r="I7097">
        <v>2</v>
      </c>
      <c r="J7097">
        <v>878</v>
      </c>
      <c r="M7097" t="s">
        <v>7223</v>
      </c>
    </row>
    <row r="7098" spans="1:13" ht="15" customHeight="1">
      <c r="A7098" s="10">
        <v>46204</v>
      </c>
      <c r="B7098" t="s">
        <v>201</v>
      </c>
      <c r="C7098" t="s">
        <v>28</v>
      </c>
      <c r="D7098">
        <v>0</v>
      </c>
      <c r="E7098">
        <v>0</v>
      </c>
      <c r="I7098">
        <v>0</v>
      </c>
      <c r="J7098">
        <v>0</v>
      </c>
      <c r="M7098" t="s">
        <v>7224</v>
      </c>
    </row>
    <row r="7099" spans="1:13" ht="15" customHeight="1">
      <c r="A7099" s="10">
        <v>46204</v>
      </c>
      <c r="B7099" t="s">
        <v>201</v>
      </c>
      <c r="C7099" t="s">
        <v>29</v>
      </c>
      <c r="D7099">
        <v>1</v>
      </c>
      <c r="E7099">
        <v>575</v>
      </c>
      <c r="I7099">
        <v>1</v>
      </c>
      <c r="J7099">
        <v>547</v>
      </c>
      <c r="M7099" t="s">
        <v>7225</v>
      </c>
    </row>
    <row r="7100" spans="1:13" ht="15" customHeight="1">
      <c r="A7100" s="10">
        <v>46204</v>
      </c>
      <c r="B7100" t="s">
        <v>201</v>
      </c>
      <c r="C7100" t="s">
        <v>30</v>
      </c>
      <c r="D7100">
        <v>0</v>
      </c>
      <c r="E7100">
        <v>998</v>
      </c>
      <c r="I7100">
        <v>0</v>
      </c>
      <c r="J7100">
        <v>825</v>
      </c>
      <c r="M7100" t="s">
        <v>7226</v>
      </c>
    </row>
    <row r="7101" spans="1:13" ht="15" customHeight="1">
      <c r="A7101" s="10">
        <v>46204</v>
      </c>
      <c r="B7101" t="s">
        <v>201</v>
      </c>
      <c r="C7101" t="s">
        <v>31</v>
      </c>
      <c r="D7101">
        <v>1</v>
      </c>
      <c r="E7101">
        <v>992</v>
      </c>
      <c r="F7101">
        <v>1</v>
      </c>
      <c r="I7101">
        <v>1</v>
      </c>
      <c r="J7101">
        <v>670</v>
      </c>
      <c r="M7101" t="s">
        <v>7227</v>
      </c>
    </row>
    <row r="7102" spans="1:13" ht="15" customHeight="1">
      <c r="A7102" s="10">
        <v>46204</v>
      </c>
      <c r="B7102" t="s">
        <v>201</v>
      </c>
      <c r="C7102" t="s">
        <v>32</v>
      </c>
      <c r="D7102">
        <v>1</v>
      </c>
      <c r="E7102">
        <v>100</v>
      </c>
      <c r="I7102">
        <v>1</v>
      </c>
      <c r="J7102">
        <v>100</v>
      </c>
      <c r="M7102" t="s">
        <v>7228</v>
      </c>
    </row>
    <row r="7103" spans="1:13" ht="15" customHeight="1">
      <c r="A7103" s="10">
        <v>46204</v>
      </c>
      <c r="B7103" t="s">
        <v>201</v>
      </c>
      <c r="C7103" t="s">
        <v>223</v>
      </c>
      <c r="D7103">
        <v>4</v>
      </c>
      <c r="E7103">
        <v>1000</v>
      </c>
      <c r="F7103">
        <v>3</v>
      </c>
      <c r="I7103">
        <v>7</v>
      </c>
      <c r="J7103">
        <v>935</v>
      </c>
      <c r="M7103" t="s">
        <v>7229</v>
      </c>
    </row>
    <row r="7104" spans="1:13" ht="15" customHeight="1">
      <c r="A7104" s="10">
        <v>46204</v>
      </c>
      <c r="B7104" t="s">
        <v>201</v>
      </c>
      <c r="C7104" t="s">
        <v>35</v>
      </c>
      <c r="D7104">
        <v>6</v>
      </c>
      <c r="E7104">
        <v>0</v>
      </c>
      <c r="F7104">
        <v>5</v>
      </c>
      <c r="I7104">
        <v>11</v>
      </c>
      <c r="M7104" t="s">
        <v>7230</v>
      </c>
    </row>
    <row r="7105" spans="1:13" ht="15" customHeight="1">
      <c r="A7105" s="10">
        <v>46204</v>
      </c>
      <c r="B7105" t="s">
        <v>201</v>
      </c>
      <c r="C7105" t="s">
        <v>37</v>
      </c>
      <c r="D7105">
        <v>2</v>
      </c>
      <c r="E7105">
        <v>0</v>
      </c>
      <c r="I7105">
        <v>2</v>
      </c>
      <c r="M7105" t="s">
        <v>7231</v>
      </c>
    </row>
    <row r="7106" spans="1:13" ht="15" customHeight="1">
      <c r="A7106" s="10">
        <v>46204</v>
      </c>
      <c r="B7106" t="s">
        <v>201</v>
      </c>
      <c r="C7106" t="s">
        <v>39</v>
      </c>
      <c r="D7106">
        <v>27</v>
      </c>
      <c r="E7106">
        <v>0</v>
      </c>
      <c r="F7106">
        <v>10</v>
      </c>
      <c r="I7106">
        <v>36</v>
      </c>
      <c r="M7106" t="s">
        <v>7232</v>
      </c>
    </row>
    <row r="7107" spans="1:13" ht="15" customHeight="1">
      <c r="A7107" s="10">
        <v>46204</v>
      </c>
      <c r="B7107" t="s">
        <v>201</v>
      </c>
      <c r="C7107" t="s">
        <v>41</v>
      </c>
      <c r="D7107">
        <v>13</v>
      </c>
      <c r="E7107">
        <v>0</v>
      </c>
      <c r="F7107">
        <v>5</v>
      </c>
      <c r="I7107">
        <v>18</v>
      </c>
      <c r="M7107" t="s">
        <v>7233</v>
      </c>
    </row>
    <row r="7108" spans="1:13" ht="15" customHeight="1">
      <c r="A7108" s="10">
        <v>46204</v>
      </c>
      <c r="B7108" t="s">
        <v>201</v>
      </c>
      <c r="C7108" s="135" t="s">
        <v>44</v>
      </c>
      <c r="D7108">
        <v>2</v>
      </c>
      <c r="E7108">
        <v>5854</v>
      </c>
      <c r="F7108">
        <v>3</v>
      </c>
      <c r="G7108">
        <v>2200</v>
      </c>
      <c r="I7108">
        <v>5</v>
      </c>
      <c r="J7108">
        <v>7573</v>
      </c>
      <c r="M7108" t="s">
        <v>7234</v>
      </c>
    </row>
    <row r="7109" spans="1:13" ht="15" customHeight="1">
      <c r="A7109" s="10">
        <v>46204</v>
      </c>
      <c r="B7109" t="s">
        <v>201</v>
      </c>
      <c r="C7109" t="s">
        <v>230</v>
      </c>
      <c r="D7109">
        <v>1</v>
      </c>
      <c r="E7109">
        <v>464</v>
      </c>
      <c r="I7109">
        <v>1</v>
      </c>
      <c r="J7109">
        <v>464</v>
      </c>
      <c r="M7109" t="s">
        <v>7235</v>
      </c>
    </row>
    <row r="7110" spans="1:13" ht="15" customHeight="1">
      <c r="A7110" s="10">
        <v>46204</v>
      </c>
      <c r="B7110" t="s">
        <v>201</v>
      </c>
      <c r="C7110" t="s">
        <v>232</v>
      </c>
      <c r="D7110">
        <v>5</v>
      </c>
      <c r="E7110">
        <v>0</v>
      </c>
      <c r="I7110">
        <v>5</v>
      </c>
      <c r="M7110" t="s">
        <v>7236</v>
      </c>
    </row>
    <row r="7111" spans="1:13" ht="15" customHeight="1">
      <c r="A7111" s="10">
        <v>46204</v>
      </c>
      <c r="B7111" t="s">
        <v>201</v>
      </c>
      <c r="C7111" t="s">
        <v>234</v>
      </c>
      <c r="D7111">
        <v>52</v>
      </c>
      <c r="E7111">
        <v>0</v>
      </c>
      <c r="F7111">
        <v>50</v>
      </c>
      <c r="H7111">
        <v>3</v>
      </c>
      <c r="I7111">
        <v>99</v>
      </c>
      <c r="M7111" t="s">
        <v>7237</v>
      </c>
    </row>
    <row r="7112" spans="1:13" ht="15" customHeight="1">
      <c r="A7112" s="10">
        <v>46204</v>
      </c>
      <c r="B7112" t="s">
        <v>201</v>
      </c>
      <c r="C7112" t="s">
        <v>54</v>
      </c>
      <c r="D7112">
        <v>0</v>
      </c>
      <c r="E7112">
        <v>0</v>
      </c>
      <c r="I7112">
        <v>0</v>
      </c>
      <c r="M7112" t="s">
        <v>7238</v>
      </c>
    </row>
    <row r="7113" spans="1:13" ht="15" customHeight="1">
      <c r="A7113" s="10">
        <v>46204</v>
      </c>
      <c r="B7113" t="s">
        <v>201</v>
      </c>
      <c r="C7113" t="s">
        <v>237</v>
      </c>
      <c r="D7113">
        <v>12</v>
      </c>
      <c r="E7113">
        <v>0</v>
      </c>
      <c r="I7113">
        <v>12</v>
      </c>
      <c r="M7113" t="s">
        <v>7239</v>
      </c>
    </row>
    <row r="7114" spans="1:13" ht="15" customHeight="1">
      <c r="A7114" s="10">
        <v>46204</v>
      </c>
      <c r="B7114" t="s">
        <v>201</v>
      </c>
      <c r="C7114" s="135" t="s">
        <v>58</v>
      </c>
      <c r="D7114">
        <v>6</v>
      </c>
      <c r="E7114">
        <v>0</v>
      </c>
      <c r="F7114">
        <v>10</v>
      </c>
      <c r="H7114">
        <v>1</v>
      </c>
      <c r="I7114">
        <v>15</v>
      </c>
      <c r="M7114" t="s">
        <v>7240</v>
      </c>
    </row>
    <row r="7115" spans="1:13" ht="15" customHeight="1">
      <c r="A7115" s="10">
        <v>46204</v>
      </c>
      <c r="B7115" t="s">
        <v>201</v>
      </c>
      <c r="C7115" s="135" t="s">
        <v>60</v>
      </c>
      <c r="D7115">
        <v>8</v>
      </c>
      <c r="E7115">
        <v>0</v>
      </c>
      <c r="F7115">
        <v>10</v>
      </c>
      <c r="I7115">
        <v>18</v>
      </c>
      <c r="M7115" t="s">
        <v>7241</v>
      </c>
    </row>
    <row r="7116" spans="1:13" ht="15" customHeight="1">
      <c r="A7116" s="10">
        <v>46204</v>
      </c>
      <c r="B7116" t="s">
        <v>201</v>
      </c>
      <c r="C7116" s="135" t="s">
        <v>61</v>
      </c>
      <c r="D7116">
        <v>6</v>
      </c>
      <c r="E7116">
        <v>0</v>
      </c>
      <c r="F7116">
        <v>5</v>
      </c>
      <c r="I7116">
        <v>11</v>
      </c>
      <c r="M7116" t="s">
        <v>7242</v>
      </c>
    </row>
    <row r="7117" spans="1:13" ht="15" customHeight="1">
      <c r="A7117" s="10">
        <v>46204</v>
      </c>
      <c r="B7117" t="s">
        <v>201</v>
      </c>
      <c r="C7117" s="135" t="s">
        <v>62</v>
      </c>
      <c r="D7117">
        <v>9</v>
      </c>
      <c r="E7117">
        <v>0</v>
      </c>
      <c r="H7117">
        <v>1</v>
      </c>
      <c r="I7117">
        <v>8</v>
      </c>
      <c r="M7117" t="s">
        <v>7243</v>
      </c>
    </row>
    <row r="7118" spans="1:13" ht="15" customHeight="1">
      <c r="A7118" s="10">
        <v>46204</v>
      </c>
      <c r="B7118" t="s">
        <v>201</v>
      </c>
      <c r="C7118" s="135" t="s">
        <v>63</v>
      </c>
      <c r="D7118">
        <v>2</v>
      </c>
      <c r="E7118">
        <v>0</v>
      </c>
      <c r="F7118">
        <v>10</v>
      </c>
      <c r="H7118">
        <v>1</v>
      </c>
      <c r="I7118">
        <v>11</v>
      </c>
      <c r="M7118" t="s">
        <v>7244</v>
      </c>
    </row>
    <row r="7119" spans="1:13" ht="15" customHeight="1">
      <c r="A7119" s="10">
        <v>46204</v>
      </c>
      <c r="B7119" t="s">
        <v>201</v>
      </c>
      <c r="C7119" s="135" t="s">
        <v>64</v>
      </c>
      <c r="D7119">
        <v>8</v>
      </c>
      <c r="E7119">
        <v>0</v>
      </c>
      <c r="H7119">
        <v>2</v>
      </c>
      <c r="I7119">
        <v>6</v>
      </c>
      <c r="M7119" t="s">
        <v>7245</v>
      </c>
    </row>
    <row r="7120" spans="1:13" ht="15" customHeight="1">
      <c r="A7120" s="10">
        <v>46204</v>
      </c>
      <c r="B7120" t="s">
        <v>201</v>
      </c>
      <c r="C7120" t="s">
        <v>66</v>
      </c>
      <c r="D7120">
        <v>3</v>
      </c>
      <c r="E7120">
        <v>0</v>
      </c>
      <c r="I7120">
        <v>3</v>
      </c>
      <c r="M7120" t="s">
        <v>7246</v>
      </c>
    </row>
    <row r="7121" spans="1:13" ht="15" customHeight="1">
      <c r="A7121" s="10">
        <v>46204</v>
      </c>
      <c r="B7121" t="s">
        <v>201</v>
      </c>
      <c r="C7121" t="s">
        <v>67</v>
      </c>
      <c r="D7121">
        <v>1</v>
      </c>
      <c r="E7121">
        <v>0</v>
      </c>
      <c r="F7121">
        <v>4</v>
      </c>
      <c r="I7121">
        <v>5</v>
      </c>
      <c r="M7121" t="s">
        <v>7247</v>
      </c>
    </row>
    <row r="7122" spans="1:13" ht="15" customHeight="1">
      <c r="A7122" s="10">
        <v>46204</v>
      </c>
      <c r="B7122" t="s">
        <v>201</v>
      </c>
      <c r="C7122" t="s">
        <v>68</v>
      </c>
      <c r="D7122">
        <v>1</v>
      </c>
      <c r="E7122">
        <v>0</v>
      </c>
      <c r="I7122">
        <v>1</v>
      </c>
      <c r="M7122" t="s">
        <v>7248</v>
      </c>
    </row>
    <row r="7123" spans="1:13" ht="15" customHeight="1">
      <c r="A7123" s="10">
        <v>46204</v>
      </c>
      <c r="B7123" t="s">
        <v>201</v>
      </c>
      <c r="C7123" t="s">
        <v>71</v>
      </c>
      <c r="D7123">
        <v>1</v>
      </c>
      <c r="E7123">
        <v>110</v>
      </c>
      <c r="F7123">
        <v>1</v>
      </c>
      <c r="I7123">
        <v>2</v>
      </c>
      <c r="J7123">
        <v>77</v>
      </c>
      <c r="M7123" t="s">
        <v>7249</v>
      </c>
    </row>
    <row r="7124" spans="1:13" ht="15" customHeight="1">
      <c r="A7124" s="10">
        <v>46204</v>
      </c>
      <c r="B7124" t="s">
        <v>201</v>
      </c>
      <c r="C7124" t="s">
        <v>73</v>
      </c>
      <c r="D7124">
        <v>1</v>
      </c>
      <c r="E7124">
        <v>563</v>
      </c>
      <c r="F7124">
        <v>1</v>
      </c>
      <c r="I7124">
        <v>2</v>
      </c>
      <c r="J7124">
        <v>517</v>
      </c>
      <c r="M7124" t="s">
        <v>7250</v>
      </c>
    </row>
    <row r="7125" spans="1:13" ht="15" customHeight="1">
      <c r="A7125" s="10">
        <v>46204</v>
      </c>
      <c r="B7125" t="s">
        <v>201</v>
      </c>
      <c r="C7125" t="s">
        <v>75</v>
      </c>
      <c r="D7125">
        <v>1</v>
      </c>
      <c r="E7125">
        <v>201</v>
      </c>
      <c r="I7125">
        <v>1</v>
      </c>
      <c r="J7125">
        <v>185</v>
      </c>
      <c r="M7125" t="s">
        <v>7251</v>
      </c>
    </row>
    <row r="7126" spans="1:13" ht="15" customHeight="1">
      <c r="A7126" s="10">
        <v>46204</v>
      </c>
      <c r="B7126" t="s">
        <v>201</v>
      </c>
      <c r="C7126" t="s">
        <v>77</v>
      </c>
      <c r="D7126">
        <v>1</v>
      </c>
      <c r="E7126">
        <v>100</v>
      </c>
      <c r="I7126">
        <v>1</v>
      </c>
      <c r="J7126">
        <v>100</v>
      </c>
      <c r="M7126" t="s">
        <v>7252</v>
      </c>
    </row>
    <row r="7127" spans="1:13" ht="15" customHeight="1">
      <c r="A7127" s="10">
        <v>46204</v>
      </c>
      <c r="B7127" t="s">
        <v>201</v>
      </c>
      <c r="C7127" t="s">
        <v>79</v>
      </c>
      <c r="D7127">
        <v>1</v>
      </c>
      <c r="E7127">
        <v>1606</v>
      </c>
      <c r="I7127">
        <v>1</v>
      </c>
      <c r="J7127">
        <v>5140</v>
      </c>
      <c r="M7127" t="s">
        <v>7253</v>
      </c>
    </row>
    <row r="7128" spans="1:13" ht="15" customHeight="1">
      <c r="A7128" s="10">
        <v>46204</v>
      </c>
      <c r="B7128" t="s">
        <v>201</v>
      </c>
      <c r="C7128" t="s">
        <v>81</v>
      </c>
      <c r="D7128">
        <v>0</v>
      </c>
      <c r="E7128">
        <v>610</v>
      </c>
      <c r="I7128">
        <v>0</v>
      </c>
      <c r="J7128">
        <v>610</v>
      </c>
      <c r="M7128" t="s">
        <v>7254</v>
      </c>
    </row>
    <row r="7129" spans="1:13" ht="15" customHeight="1">
      <c r="A7129" s="10">
        <v>46204</v>
      </c>
      <c r="B7129" t="s">
        <v>201</v>
      </c>
      <c r="C7129" t="s">
        <v>83</v>
      </c>
      <c r="D7129">
        <v>1</v>
      </c>
      <c r="E7129">
        <v>363</v>
      </c>
      <c r="I7129">
        <v>1</v>
      </c>
      <c r="J7129">
        <v>363</v>
      </c>
      <c r="M7129" t="s">
        <v>7255</v>
      </c>
    </row>
    <row r="7130" spans="1:13" ht="15" customHeight="1">
      <c r="A7130" s="10">
        <v>46204</v>
      </c>
      <c r="B7130" t="s">
        <v>201</v>
      </c>
      <c r="C7130" t="s">
        <v>84</v>
      </c>
      <c r="D7130">
        <v>2</v>
      </c>
      <c r="E7130">
        <v>272</v>
      </c>
      <c r="I7130">
        <v>2</v>
      </c>
      <c r="J7130">
        <v>272</v>
      </c>
      <c r="M7130" t="s">
        <v>7256</v>
      </c>
    </row>
    <row r="7131" spans="1:13" ht="15" customHeight="1">
      <c r="A7131" s="10">
        <v>46204</v>
      </c>
      <c r="B7131" t="s">
        <v>201</v>
      </c>
      <c r="C7131" t="s">
        <v>85</v>
      </c>
      <c r="D7131">
        <v>0</v>
      </c>
      <c r="E7131">
        <v>171</v>
      </c>
      <c r="I7131">
        <v>0</v>
      </c>
      <c r="J7131">
        <v>54</v>
      </c>
      <c r="M7131" t="s">
        <v>7257</v>
      </c>
    </row>
    <row r="7132" spans="1:13" ht="15" customHeight="1">
      <c r="A7132" s="10">
        <v>46204</v>
      </c>
      <c r="B7132" t="s">
        <v>201</v>
      </c>
      <c r="C7132" t="s">
        <v>87</v>
      </c>
      <c r="D7132">
        <v>1</v>
      </c>
      <c r="E7132">
        <v>431</v>
      </c>
      <c r="I7132">
        <v>1</v>
      </c>
      <c r="J7132">
        <v>426</v>
      </c>
      <c r="M7132" t="s">
        <v>7258</v>
      </c>
    </row>
    <row r="7133" spans="1:13" ht="15" customHeight="1">
      <c r="A7133" s="10">
        <v>46204</v>
      </c>
      <c r="B7133" t="s">
        <v>201</v>
      </c>
      <c r="C7133" t="s">
        <v>88</v>
      </c>
      <c r="D7133">
        <v>1</v>
      </c>
      <c r="E7133">
        <v>239</v>
      </c>
      <c r="I7133">
        <v>1</v>
      </c>
      <c r="J7133">
        <v>238</v>
      </c>
      <c r="M7133" t="s">
        <v>7259</v>
      </c>
    </row>
    <row r="7134" spans="1:13" ht="15" customHeight="1">
      <c r="A7134" s="10">
        <v>46204</v>
      </c>
      <c r="B7134" t="s">
        <v>201</v>
      </c>
      <c r="C7134" t="s">
        <v>89</v>
      </c>
      <c r="D7134">
        <v>1</v>
      </c>
      <c r="E7134">
        <v>223</v>
      </c>
      <c r="I7134">
        <v>1</v>
      </c>
      <c r="J7134">
        <v>219</v>
      </c>
      <c r="M7134" t="s">
        <v>7260</v>
      </c>
    </row>
    <row r="7135" spans="1:13" ht="15" customHeight="1">
      <c r="A7135" s="10">
        <v>46204</v>
      </c>
      <c r="B7135" t="s">
        <v>201</v>
      </c>
      <c r="C7135" t="s">
        <v>90</v>
      </c>
      <c r="D7135">
        <v>1</v>
      </c>
      <c r="E7135">
        <v>358</v>
      </c>
      <c r="I7135">
        <v>1</v>
      </c>
      <c r="J7135">
        <v>305</v>
      </c>
      <c r="M7135" t="s">
        <v>7261</v>
      </c>
    </row>
    <row r="7136" spans="1:13" ht="15" customHeight="1">
      <c r="A7136" s="10">
        <v>46204</v>
      </c>
      <c r="B7136" t="s">
        <v>201</v>
      </c>
      <c r="C7136" t="s">
        <v>92</v>
      </c>
      <c r="D7136">
        <v>1</v>
      </c>
      <c r="E7136">
        <v>928</v>
      </c>
      <c r="I7136">
        <v>1</v>
      </c>
      <c r="J7136">
        <v>911</v>
      </c>
      <c r="M7136" t="s">
        <v>7262</v>
      </c>
    </row>
    <row r="7137" spans="1:13" ht="15" customHeight="1">
      <c r="A7137" s="10">
        <v>46204</v>
      </c>
      <c r="B7137" t="s">
        <v>201</v>
      </c>
      <c r="C7137" t="s">
        <v>94</v>
      </c>
      <c r="D7137">
        <v>2</v>
      </c>
      <c r="E7137">
        <v>405</v>
      </c>
      <c r="F7137">
        <v>3</v>
      </c>
      <c r="I7137">
        <v>5</v>
      </c>
      <c r="J7137">
        <v>373</v>
      </c>
      <c r="M7137" t="s">
        <v>7263</v>
      </c>
    </row>
    <row r="7138" spans="1:13" ht="15" customHeight="1">
      <c r="A7138" s="10">
        <v>46204</v>
      </c>
      <c r="B7138" t="s">
        <v>201</v>
      </c>
      <c r="C7138" t="s">
        <v>96</v>
      </c>
      <c r="D7138">
        <v>0</v>
      </c>
      <c r="E7138">
        <v>0</v>
      </c>
      <c r="I7138">
        <v>0</v>
      </c>
      <c r="J7138">
        <v>0</v>
      </c>
      <c r="M7138" t="s">
        <v>7264</v>
      </c>
    </row>
    <row r="7139" spans="1:13" ht="15" customHeight="1">
      <c r="A7139" s="10">
        <v>46204</v>
      </c>
      <c r="B7139" t="s">
        <v>201</v>
      </c>
      <c r="C7139" t="s">
        <v>98</v>
      </c>
      <c r="D7139">
        <v>0</v>
      </c>
      <c r="E7139">
        <v>245</v>
      </c>
      <c r="F7139">
        <v>2</v>
      </c>
      <c r="I7139">
        <v>2</v>
      </c>
      <c r="J7139">
        <v>187</v>
      </c>
      <c r="M7139" t="s">
        <v>7265</v>
      </c>
    </row>
    <row r="7140" spans="1:13" ht="15" customHeight="1">
      <c r="A7140" s="10">
        <v>46204</v>
      </c>
      <c r="B7140" t="s">
        <v>201</v>
      </c>
      <c r="C7140" t="s">
        <v>203</v>
      </c>
      <c r="D7140">
        <v>4</v>
      </c>
      <c r="E7140">
        <v>0</v>
      </c>
      <c r="I7140">
        <v>4</v>
      </c>
      <c r="J7140">
        <v>0</v>
      </c>
      <c r="M7140" t="s">
        <v>7266</v>
      </c>
    </row>
    <row r="7141" spans="1:13" ht="15" customHeight="1">
      <c r="A7141" s="10">
        <v>46204</v>
      </c>
      <c r="B7141" t="s">
        <v>201</v>
      </c>
      <c r="C7141" t="s">
        <v>100</v>
      </c>
      <c r="D7141">
        <v>0</v>
      </c>
      <c r="E7141">
        <v>0</v>
      </c>
      <c r="I7141">
        <v>0</v>
      </c>
      <c r="J7141">
        <v>0</v>
      </c>
      <c r="M7141" t="s">
        <v>7267</v>
      </c>
    </row>
    <row r="7142" spans="1:13" ht="15" customHeight="1">
      <c r="A7142" s="10">
        <v>46204</v>
      </c>
      <c r="B7142" t="s">
        <v>201</v>
      </c>
      <c r="C7142" t="s">
        <v>101</v>
      </c>
      <c r="D7142">
        <v>1</v>
      </c>
      <c r="E7142">
        <v>200</v>
      </c>
      <c r="I7142">
        <v>1</v>
      </c>
      <c r="J7142">
        <v>193</v>
      </c>
      <c r="M7142" t="s">
        <v>7268</v>
      </c>
    </row>
    <row r="7143" spans="1:13" ht="15" customHeight="1">
      <c r="A7143" s="10">
        <v>46204</v>
      </c>
      <c r="B7143" t="s">
        <v>201</v>
      </c>
      <c r="C7143" t="s">
        <v>106</v>
      </c>
      <c r="D7143">
        <v>1</v>
      </c>
      <c r="E7143">
        <v>283</v>
      </c>
      <c r="I7143">
        <v>1</v>
      </c>
      <c r="J7143">
        <v>281</v>
      </c>
      <c r="M7143" t="s">
        <v>7269</v>
      </c>
    </row>
    <row r="7144" spans="1:13" ht="15" customHeight="1">
      <c r="A7144" s="10">
        <v>46204</v>
      </c>
      <c r="B7144" t="s">
        <v>201</v>
      </c>
      <c r="C7144" t="s">
        <v>108</v>
      </c>
      <c r="D7144">
        <v>1</v>
      </c>
      <c r="E7144">
        <v>579</v>
      </c>
      <c r="I7144">
        <v>1</v>
      </c>
      <c r="J7144">
        <v>580</v>
      </c>
      <c r="M7144" t="s">
        <v>7270</v>
      </c>
    </row>
    <row r="7145" spans="1:13" ht="15" customHeight="1">
      <c r="A7145" s="10">
        <v>46204</v>
      </c>
      <c r="B7145" t="s">
        <v>201</v>
      </c>
      <c r="C7145" t="s">
        <v>109</v>
      </c>
      <c r="D7145">
        <v>0</v>
      </c>
      <c r="E7145">
        <v>1195</v>
      </c>
      <c r="F7145">
        <v>1</v>
      </c>
      <c r="I7145">
        <v>1</v>
      </c>
      <c r="J7145">
        <v>1138</v>
      </c>
      <c r="M7145" t="s">
        <v>7271</v>
      </c>
    </row>
    <row r="7146" spans="1:13" ht="15" customHeight="1">
      <c r="A7146" s="10">
        <v>46204</v>
      </c>
      <c r="B7146" t="s">
        <v>201</v>
      </c>
      <c r="C7146" t="s">
        <v>112</v>
      </c>
      <c r="D7146">
        <v>1</v>
      </c>
      <c r="E7146">
        <v>45</v>
      </c>
      <c r="I7146">
        <v>1</v>
      </c>
      <c r="J7146">
        <v>44</v>
      </c>
      <c r="M7146" t="s">
        <v>7272</v>
      </c>
    </row>
    <row r="7147" spans="1:13" ht="15" customHeight="1">
      <c r="A7147" s="10">
        <v>46204</v>
      </c>
      <c r="B7147" t="s">
        <v>201</v>
      </c>
      <c r="C7147" t="s">
        <v>114</v>
      </c>
      <c r="D7147">
        <v>1</v>
      </c>
      <c r="E7147">
        <v>25</v>
      </c>
      <c r="F7147">
        <v>1</v>
      </c>
      <c r="I7147">
        <v>2</v>
      </c>
      <c r="J7147">
        <v>16</v>
      </c>
      <c r="M7147" t="s">
        <v>7273</v>
      </c>
    </row>
    <row r="7148" spans="1:13" ht="15" customHeight="1">
      <c r="A7148" s="10">
        <v>46204</v>
      </c>
      <c r="B7148" t="s">
        <v>201</v>
      </c>
      <c r="C7148" t="s">
        <v>115</v>
      </c>
      <c r="D7148">
        <v>1</v>
      </c>
      <c r="E7148">
        <v>19</v>
      </c>
      <c r="I7148">
        <v>1</v>
      </c>
      <c r="J7148">
        <v>18</v>
      </c>
      <c r="M7148" t="s">
        <v>7274</v>
      </c>
    </row>
    <row r="7149" spans="1:13" ht="15" customHeight="1">
      <c r="A7149" s="10">
        <v>46204</v>
      </c>
      <c r="B7149" t="s">
        <v>201</v>
      </c>
      <c r="C7149" t="s">
        <v>116</v>
      </c>
      <c r="D7149">
        <v>2</v>
      </c>
      <c r="E7149">
        <v>8</v>
      </c>
      <c r="I7149">
        <v>2</v>
      </c>
      <c r="J7149">
        <v>5</v>
      </c>
      <c r="M7149" t="s">
        <v>7275</v>
      </c>
    </row>
    <row r="7150" spans="1:13" ht="15" customHeight="1">
      <c r="A7150" s="10">
        <v>46204</v>
      </c>
      <c r="B7150" t="s">
        <v>201</v>
      </c>
      <c r="C7150" t="s">
        <v>119</v>
      </c>
      <c r="D7150">
        <v>5</v>
      </c>
      <c r="E7150">
        <v>0</v>
      </c>
      <c r="I7150">
        <v>4</v>
      </c>
      <c r="M7150" t="s">
        <v>7276</v>
      </c>
    </row>
    <row r="7151" spans="1:13" ht="15" customHeight="1">
      <c r="A7151" s="10">
        <v>46204</v>
      </c>
      <c r="B7151" t="s">
        <v>201</v>
      </c>
      <c r="C7151" t="s">
        <v>120</v>
      </c>
      <c r="D7151">
        <v>0</v>
      </c>
      <c r="E7151">
        <v>0</v>
      </c>
      <c r="F7151">
        <v>2</v>
      </c>
      <c r="I7151">
        <v>1</v>
      </c>
      <c r="M7151" t="s">
        <v>7277</v>
      </c>
    </row>
    <row r="7152" spans="1:13" ht="15" customHeight="1">
      <c r="A7152" s="10">
        <v>46204</v>
      </c>
      <c r="B7152" t="s">
        <v>201</v>
      </c>
      <c r="C7152" t="s">
        <v>121</v>
      </c>
      <c r="D7152">
        <v>2</v>
      </c>
      <c r="E7152">
        <v>0</v>
      </c>
      <c r="I7152">
        <v>1</v>
      </c>
      <c r="M7152" t="s">
        <v>7278</v>
      </c>
    </row>
    <row r="7153" spans="1:13" ht="15" customHeight="1">
      <c r="A7153" s="10">
        <v>46204</v>
      </c>
      <c r="B7153" t="s">
        <v>201</v>
      </c>
      <c r="C7153" t="s">
        <v>123</v>
      </c>
      <c r="D7153">
        <v>2</v>
      </c>
      <c r="E7153">
        <v>0</v>
      </c>
      <c r="I7153">
        <v>2</v>
      </c>
      <c r="M7153" t="s">
        <v>7279</v>
      </c>
    </row>
    <row r="7154" spans="1:13" ht="15" customHeight="1">
      <c r="A7154" s="10">
        <v>46204</v>
      </c>
      <c r="B7154" t="s">
        <v>201</v>
      </c>
      <c r="C7154" t="s">
        <v>124</v>
      </c>
      <c r="D7154">
        <v>1</v>
      </c>
      <c r="E7154">
        <v>0</v>
      </c>
      <c r="F7154">
        <v>1</v>
      </c>
      <c r="I7154">
        <v>2</v>
      </c>
      <c r="M7154" t="s">
        <v>7280</v>
      </c>
    </row>
    <row r="7155" spans="1:13" ht="15" customHeight="1">
      <c r="A7155" s="10">
        <v>46204</v>
      </c>
      <c r="B7155" t="s">
        <v>201</v>
      </c>
      <c r="C7155" t="s">
        <v>125</v>
      </c>
      <c r="D7155">
        <v>2</v>
      </c>
      <c r="E7155">
        <v>0</v>
      </c>
      <c r="I7155">
        <v>2</v>
      </c>
      <c r="M7155" t="s">
        <v>7281</v>
      </c>
    </row>
    <row r="7156" spans="1:13" ht="15" customHeight="1">
      <c r="A7156" s="10">
        <v>46204</v>
      </c>
      <c r="B7156" t="s">
        <v>201</v>
      </c>
      <c r="C7156" t="s">
        <v>126</v>
      </c>
      <c r="D7156">
        <v>2</v>
      </c>
      <c r="E7156">
        <v>0</v>
      </c>
      <c r="I7156">
        <v>2</v>
      </c>
      <c r="M7156" t="s">
        <v>7282</v>
      </c>
    </row>
    <row r="7157" spans="1:13" ht="15" customHeight="1">
      <c r="A7157" s="10">
        <v>46204</v>
      </c>
      <c r="B7157" t="s">
        <v>201</v>
      </c>
      <c r="C7157" t="s">
        <v>128</v>
      </c>
      <c r="D7157">
        <v>2</v>
      </c>
      <c r="E7157">
        <v>0</v>
      </c>
      <c r="I7157">
        <v>1</v>
      </c>
      <c r="M7157" t="s">
        <v>7283</v>
      </c>
    </row>
    <row r="7158" spans="1:13" ht="15" customHeight="1">
      <c r="A7158" s="10">
        <v>46204</v>
      </c>
      <c r="B7158" t="s">
        <v>201</v>
      </c>
      <c r="C7158" t="s">
        <v>130</v>
      </c>
      <c r="D7158">
        <v>4</v>
      </c>
      <c r="E7158">
        <v>0</v>
      </c>
      <c r="I7158">
        <v>3</v>
      </c>
      <c r="M7158" t="s">
        <v>7284</v>
      </c>
    </row>
    <row r="7159" spans="1:13" ht="15" customHeight="1">
      <c r="A7159" s="10">
        <v>46204</v>
      </c>
      <c r="B7159" t="s">
        <v>201</v>
      </c>
      <c r="C7159" t="s">
        <v>285</v>
      </c>
      <c r="D7159">
        <v>2</v>
      </c>
      <c r="E7159">
        <v>0</v>
      </c>
      <c r="I7159">
        <v>2</v>
      </c>
      <c r="M7159" t="s">
        <v>7285</v>
      </c>
    </row>
    <row r="7160" spans="1:13" ht="15" customHeight="1">
      <c r="A7160" s="10">
        <v>46204</v>
      </c>
      <c r="B7160" t="s">
        <v>201</v>
      </c>
      <c r="C7160" t="s">
        <v>287</v>
      </c>
      <c r="D7160">
        <v>6</v>
      </c>
      <c r="E7160">
        <v>0</v>
      </c>
      <c r="I7160">
        <v>6</v>
      </c>
      <c r="M7160" t="s">
        <v>7286</v>
      </c>
    </row>
    <row r="7161" spans="1:13" ht="15" customHeight="1">
      <c r="A7161" s="10">
        <v>46204</v>
      </c>
      <c r="B7161" t="s">
        <v>201</v>
      </c>
      <c r="C7161" t="s">
        <v>289</v>
      </c>
      <c r="D7161">
        <v>2</v>
      </c>
      <c r="E7161">
        <v>0</v>
      </c>
      <c r="I7161">
        <v>2</v>
      </c>
      <c r="M7161" t="s">
        <v>7287</v>
      </c>
    </row>
    <row r="7162" spans="1:13" ht="15" customHeight="1">
      <c r="A7162" s="10">
        <v>46204</v>
      </c>
      <c r="B7162" t="s">
        <v>201</v>
      </c>
      <c r="C7162" t="s">
        <v>291</v>
      </c>
      <c r="D7162">
        <v>1</v>
      </c>
      <c r="E7162">
        <v>0</v>
      </c>
      <c r="I7162">
        <v>1</v>
      </c>
      <c r="M7162" t="s">
        <v>7288</v>
      </c>
    </row>
    <row r="7163" spans="1:13" ht="15" customHeight="1">
      <c r="A7163" s="10">
        <v>46204</v>
      </c>
      <c r="B7163" t="s">
        <v>201</v>
      </c>
      <c r="C7163" t="s">
        <v>293</v>
      </c>
      <c r="D7163">
        <v>2</v>
      </c>
      <c r="E7163">
        <v>0</v>
      </c>
      <c r="I7163">
        <v>2</v>
      </c>
      <c r="M7163" t="s">
        <v>7289</v>
      </c>
    </row>
    <row r="7164" spans="1:13" ht="15" customHeight="1">
      <c r="A7164" s="10">
        <v>46204</v>
      </c>
      <c r="B7164" t="s">
        <v>201</v>
      </c>
      <c r="C7164" s="135" t="s">
        <v>138</v>
      </c>
      <c r="D7164">
        <v>0</v>
      </c>
      <c r="E7164">
        <v>51</v>
      </c>
      <c r="I7164">
        <v>0</v>
      </c>
      <c r="J7164">
        <v>50</v>
      </c>
      <c r="M7164" t="s">
        <v>7290</v>
      </c>
    </row>
    <row r="7165" spans="1:13" ht="15" customHeight="1">
      <c r="A7165" s="10">
        <v>46204</v>
      </c>
      <c r="B7165" t="s">
        <v>201</v>
      </c>
      <c r="C7165" s="135" t="s">
        <v>139</v>
      </c>
      <c r="D7165">
        <v>0</v>
      </c>
      <c r="E7165">
        <v>27</v>
      </c>
      <c r="I7165">
        <v>0</v>
      </c>
      <c r="J7165">
        <v>56</v>
      </c>
      <c r="M7165" t="s">
        <v>7291</v>
      </c>
    </row>
    <row r="7166" spans="1:13" ht="15" customHeight="1">
      <c r="A7166" s="10">
        <v>46204</v>
      </c>
      <c r="B7166" t="s">
        <v>201</v>
      </c>
      <c r="C7166" s="135" t="s">
        <v>140</v>
      </c>
      <c r="D7166">
        <v>0</v>
      </c>
      <c r="E7166">
        <v>47</v>
      </c>
      <c r="I7166">
        <v>0</v>
      </c>
      <c r="J7166">
        <v>47</v>
      </c>
      <c r="M7166" t="s">
        <v>7292</v>
      </c>
    </row>
    <row r="7167" spans="1:13" ht="15" customHeight="1">
      <c r="A7167" s="10">
        <v>46204</v>
      </c>
      <c r="B7167" t="s">
        <v>201</v>
      </c>
      <c r="C7167" s="135" t="s">
        <v>141</v>
      </c>
      <c r="D7167">
        <v>0</v>
      </c>
      <c r="E7167">
        <v>1</v>
      </c>
      <c r="I7167">
        <v>0</v>
      </c>
      <c r="J7167">
        <v>1</v>
      </c>
      <c r="M7167" t="s">
        <v>7293</v>
      </c>
    </row>
    <row r="7168" spans="1:13" ht="15" customHeight="1">
      <c r="A7168" s="10">
        <v>46204</v>
      </c>
      <c r="B7168" t="s">
        <v>201</v>
      </c>
      <c r="C7168" s="135" t="s">
        <v>143</v>
      </c>
      <c r="D7168">
        <v>0</v>
      </c>
      <c r="E7168">
        <v>22</v>
      </c>
      <c r="I7168">
        <v>0</v>
      </c>
      <c r="J7168">
        <v>20</v>
      </c>
      <c r="M7168" t="s">
        <v>7294</v>
      </c>
    </row>
    <row r="7169" spans="1:13" ht="15" customHeight="1">
      <c r="A7169" s="10">
        <v>46204</v>
      </c>
      <c r="B7169" t="s">
        <v>201</v>
      </c>
      <c r="C7169" s="135" t="s">
        <v>145</v>
      </c>
      <c r="D7169">
        <v>0</v>
      </c>
      <c r="E7169">
        <v>47</v>
      </c>
      <c r="I7169">
        <v>0</v>
      </c>
      <c r="J7169">
        <v>47</v>
      </c>
      <c r="M7169" t="s">
        <v>7295</v>
      </c>
    </row>
    <row r="7170" spans="1:13" ht="15" customHeight="1">
      <c r="A7170" s="10">
        <v>46204</v>
      </c>
      <c r="B7170" t="s">
        <v>201</v>
      </c>
      <c r="C7170" s="135" t="s">
        <v>147</v>
      </c>
      <c r="D7170">
        <v>0</v>
      </c>
      <c r="E7170">
        <v>46</v>
      </c>
      <c r="I7170">
        <v>0</v>
      </c>
      <c r="J7170">
        <v>46</v>
      </c>
      <c r="M7170" t="s">
        <v>7296</v>
      </c>
    </row>
    <row r="7171" spans="1:13" ht="15" customHeight="1">
      <c r="A7171" s="10">
        <v>46204</v>
      </c>
      <c r="B7171" t="s">
        <v>201</v>
      </c>
      <c r="C7171" t="s">
        <v>302</v>
      </c>
      <c r="D7171">
        <v>1</v>
      </c>
      <c r="E7171">
        <v>0</v>
      </c>
      <c r="I7171">
        <v>3</v>
      </c>
      <c r="M7171" t="s">
        <v>7297</v>
      </c>
    </row>
    <row r="7172" spans="1:13" ht="15" customHeight="1">
      <c r="A7172" s="10">
        <v>46204</v>
      </c>
      <c r="B7172" t="s">
        <v>201</v>
      </c>
      <c r="C7172" t="s">
        <v>150</v>
      </c>
      <c r="D7172">
        <v>3</v>
      </c>
      <c r="E7172">
        <v>0</v>
      </c>
      <c r="I7172">
        <v>2</v>
      </c>
      <c r="M7172" t="s">
        <v>7298</v>
      </c>
    </row>
    <row r="7173" spans="1:13" ht="15" customHeight="1">
      <c r="A7173" s="10">
        <v>46204</v>
      </c>
      <c r="B7173" t="s">
        <v>201</v>
      </c>
      <c r="C7173" t="s">
        <v>151</v>
      </c>
      <c r="D7173">
        <v>2</v>
      </c>
      <c r="E7173">
        <v>0</v>
      </c>
      <c r="I7173">
        <v>2</v>
      </c>
      <c r="M7173" t="s">
        <v>7299</v>
      </c>
    </row>
    <row r="7174" spans="1:13" ht="15" customHeight="1">
      <c r="A7174" s="10">
        <v>46204</v>
      </c>
      <c r="B7174" t="s">
        <v>201</v>
      </c>
      <c r="C7174" t="s">
        <v>152</v>
      </c>
      <c r="D7174">
        <v>2</v>
      </c>
      <c r="E7174">
        <v>0</v>
      </c>
      <c r="I7174">
        <v>2</v>
      </c>
      <c r="M7174" t="s">
        <v>7300</v>
      </c>
    </row>
    <row r="7175" spans="1:13" ht="15" customHeight="1">
      <c r="A7175" s="10">
        <v>46204</v>
      </c>
      <c r="B7175" t="s">
        <v>201</v>
      </c>
      <c r="C7175" t="s">
        <v>153</v>
      </c>
      <c r="D7175">
        <v>2</v>
      </c>
      <c r="E7175">
        <v>0</v>
      </c>
      <c r="I7175">
        <v>2</v>
      </c>
      <c r="M7175" t="s">
        <v>7301</v>
      </c>
    </row>
    <row r="7176" spans="1:13" ht="15" customHeight="1">
      <c r="A7176" s="10">
        <v>46204</v>
      </c>
      <c r="B7176" t="s">
        <v>201</v>
      </c>
      <c r="C7176" t="s">
        <v>308</v>
      </c>
      <c r="D7176">
        <v>0</v>
      </c>
      <c r="E7176">
        <v>3</v>
      </c>
      <c r="I7176">
        <v>0</v>
      </c>
      <c r="J7176">
        <v>3</v>
      </c>
      <c r="M7176" t="s">
        <v>7302</v>
      </c>
    </row>
    <row r="7177" spans="1:13" ht="15" customHeight="1">
      <c r="A7177" s="10">
        <v>46204</v>
      </c>
      <c r="B7177" t="s">
        <v>201</v>
      </c>
      <c r="C7177" t="s">
        <v>310</v>
      </c>
      <c r="D7177">
        <v>0</v>
      </c>
      <c r="E7177">
        <v>2</v>
      </c>
      <c r="I7177">
        <v>0</v>
      </c>
      <c r="J7177">
        <v>2</v>
      </c>
      <c r="M7177" t="s">
        <v>7303</v>
      </c>
    </row>
    <row r="7178" spans="1:13" ht="15" customHeight="1">
      <c r="A7178" s="10">
        <v>46204</v>
      </c>
      <c r="B7178" t="s">
        <v>201</v>
      </c>
      <c r="C7178" t="s">
        <v>312</v>
      </c>
      <c r="D7178">
        <v>0</v>
      </c>
      <c r="E7178">
        <v>3</v>
      </c>
      <c r="I7178">
        <v>0</v>
      </c>
      <c r="J7178">
        <v>3</v>
      </c>
      <c r="M7178" t="s">
        <v>7304</v>
      </c>
    </row>
    <row r="7179" spans="1:13" ht="15" customHeight="1">
      <c r="A7179" s="10">
        <v>46204</v>
      </c>
      <c r="B7179" t="s">
        <v>201</v>
      </c>
      <c r="C7179" t="s">
        <v>314</v>
      </c>
      <c r="D7179">
        <v>1</v>
      </c>
      <c r="E7179">
        <v>0</v>
      </c>
      <c r="I7179">
        <v>1</v>
      </c>
      <c r="M7179" t="s">
        <v>7305</v>
      </c>
    </row>
    <row r="7180" spans="1:13" ht="15" customHeight="1">
      <c r="A7180" s="10">
        <v>46204</v>
      </c>
      <c r="B7180" t="s">
        <v>201</v>
      </c>
      <c r="C7180" t="s">
        <v>316</v>
      </c>
      <c r="D7180">
        <v>1</v>
      </c>
      <c r="E7180">
        <v>0</v>
      </c>
      <c r="I7180">
        <v>1</v>
      </c>
      <c r="M7180" t="s">
        <v>7306</v>
      </c>
    </row>
    <row r="7181" spans="1:13" ht="15" customHeight="1">
      <c r="A7181" s="10">
        <v>46204</v>
      </c>
      <c r="B7181" t="s">
        <v>201</v>
      </c>
      <c r="C7181" t="s">
        <v>318</v>
      </c>
      <c r="D7181">
        <v>2</v>
      </c>
      <c r="E7181">
        <v>0</v>
      </c>
      <c r="F7181">
        <v>2</v>
      </c>
      <c r="I7181">
        <v>4</v>
      </c>
      <c r="M7181" t="s">
        <v>7307</v>
      </c>
    </row>
    <row r="7182" spans="1:13" ht="15" customHeight="1">
      <c r="A7182" s="10">
        <v>46204</v>
      </c>
      <c r="B7182" t="s">
        <v>201</v>
      </c>
      <c r="C7182" t="s">
        <v>320</v>
      </c>
      <c r="D7182">
        <v>2</v>
      </c>
      <c r="E7182">
        <v>0</v>
      </c>
      <c r="I7182">
        <v>2</v>
      </c>
      <c r="M7182" t="s">
        <v>7308</v>
      </c>
    </row>
    <row r="7183" spans="1:13" ht="15" customHeight="1">
      <c r="A7183" s="10">
        <v>46204</v>
      </c>
      <c r="B7183" t="s">
        <v>201</v>
      </c>
      <c r="C7183" t="s">
        <v>322</v>
      </c>
      <c r="D7183">
        <v>2</v>
      </c>
      <c r="E7183">
        <v>0</v>
      </c>
      <c r="I7183">
        <v>2</v>
      </c>
      <c r="M7183" t="s">
        <v>7309</v>
      </c>
    </row>
    <row r="7184" spans="1:13" ht="15" customHeight="1">
      <c r="A7184" s="10">
        <v>46204</v>
      </c>
      <c r="B7184" t="s">
        <v>201</v>
      </c>
      <c r="C7184" s="135" t="s">
        <v>168</v>
      </c>
      <c r="D7184">
        <v>1</v>
      </c>
      <c r="E7184">
        <v>0</v>
      </c>
      <c r="I7184">
        <v>1</v>
      </c>
      <c r="M7184" t="s">
        <v>7310</v>
      </c>
    </row>
    <row r="7185" spans="1:13" ht="15" customHeight="1">
      <c r="A7185" s="10">
        <v>46204</v>
      </c>
      <c r="B7185" t="s">
        <v>201</v>
      </c>
      <c r="C7185" s="135" t="s">
        <v>170</v>
      </c>
      <c r="D7185">
        <v>1</v>
      </c>
      <c r="E7185">
        <v>0</v>
      </c>
      <c r="I7185">
        <v>1</v>
      </c>
      <c r="M7185" t="s">
        <v>7311</v>
      </c>
    </row>
    <row r="7186" spans="1:13" ht="15" customHeight="1">
      <c r="A7186" s="10">
        <v>46204</v>
      </c>
      <c r="B7186" t="s">
        <v>201</v>
      </c>
      <c r="C7186" s="135" t="s">
        <v>171</v>
      </c>
      <c r="D7186">
        <v>3</v>
      </c>
      <c r="E7186">
        <v>0</v>
      </c>
      <c r="I7186">
        <v>2</v>
      </c>
      <c r="M7186" t="s">
        <v>7312</v>
      </c>
    </row>
    <row r="7187" spans="1:13" ht="15" customHeight="1">
      <c r="A7187" s="10">
        <v>46204</v>
      </c>
      <c r="B7187" t="s">
        <v>201</v>
      </c>
      <c r="C7187" s="135" t="s">
        <v>172</v>
      </c>
      <c r="D7187">
        <v>1</v>
      </c>
      <c r="E7187">
        <v>0</v>
      </c>
      <c r="I7187">
        <v>1</v>
      </c>
      <c r="M7187" t="s">
        <v>7313</v>
      </c>
    </row>
    <row r="7188" spans="1:13" ht="15" customHeight="1">
      <c r="A7188" s="10">
        <v>46204</v>
      </c>
      <c r="B7188" t="s">
        <v>201</v>
      </c>
      <c r="C7188" s="135" t="s">
        <v>173</v>
      </c>
      <c r="D7188">
        <v>0</v>
      </c>
      <c r="E7188">
        <v>0</v>
      </c>
      <c r="I7188">
        <v>0</v>
      </c>
      <c r="M7188" t="s">
        <v>7314</v>
      </c>
    </row>
    <row r="7189" spans="1:13" ht="15" customHeight="1">
      <c r="A7189" s="10">
        <v>46204</v>
      </c>
      <c r="B7189" t="s">
        <v>201</v>
      </c>
      <c r="C7189" t="s">
        <v>176</v>
      </c>
      <c r="D7189">
        <v>0</v>
      </c>
      <c r="E7189">
        <v>21</v>
      </c>
      <c r="G7189">
        <v>21</v>
      </c>
      <c r="I7189">
        <v>0</v>
      </c>
      <c r="J7189">
        <v>21</v>
      </c>
      <c r="M7189" t="s">
        <v>7315</v>
      </c>
    </row>
    <row r="7190" spans="1:13" ht="15" customHeight="1">
      <c r="A7190" s="10">
        <v>46204</v>
      </c>
      <c r="B7190" t="s">
        <v>201</v>
      </c>
      <c r="C7190" t="s">
        <v>178</v>
      </c>
      <c r="D7190">
        <v>0</v>
      </c>
      <c r="E7190">
        <v>21</v>
      </c>
      <c r="G7190">
        <v>21</v>
      </c>
      <c r="I7190">
        <v>0</v>
      </c>
      <c r="J7190">
        <v>21</v>
      </c>
      <c r="M7190" t="s">
        <v>7316</v>
      </c>
    </row>
    <row r="7191" spans="1:13" ht="15" customHeight="1">
      <c r="A7191" s="10">
        <v>46204</v>
      </c>
      <c r="B7191" t="s">
        <v>201</v>
      </c>
      <c r="C7191" t="s">
        <v>179</v>
      </c>
      <c r="D7191">
        <v>0</v>
      </c>
      <c r="E7191">
        <v>15</v>
      </c>
      <c r="G7191">
        <v>15</v>
      </c>
      <c r="I7191">
        <v>0</v>
      </c>
      <c r="J7191">
        <v>15</v>
      </c>
      <c r="M7191" t="s">
        <v>7317</v>
      </c>
    </row>
    <row r="7192" spans="1:13" ht="15" customHeight="1">
      <c r="A7192" s="10">
        <v>46204</v>
      </c>
      <c r="B7192" t="s">
        <v>201</v>
      </c>
      <c r="C7192" t="s">
        <v>180</v>
      </c>
      <c r="D7192">
        <v>0</v>
      </c>
      <c r="E7192">
        <v>11</v>
      </c>
      <c r="G7192">
        <v>10</v>
      </c>
      <c r="I7192">
        <v>0</v>
      </c>
      <c r="J7192">
        <v>21</v>
      </c>
      <c r="M7192" t="s">
        <v>7318</v>
      </c>
    </row>
    <row r="7193" spans="1:13" ht="15" customHeight="1">
      <c r="A7193" s="10">
        <v>46204</v>
      </c>
      <c r="B7193" t="s">
        <v>201</v>
      </c>
      <c r="C7193" s="135" t="s">
        <v>182</v>
      </c>
      <c r="D7193">
        <v>1</v>
      </c>
      <c r="E7193">
        <v>150</v>
      </c>
      <c r="I7193">
        <v>1</v>
      </c>
      <c r="J7193">
        <v>150</v>
      </c>
      <c r="M7193" t="s">
        <v>7319</v>
      </c>
    </row>
    <row r="7194" spans="1:13" ht="15" customHeight="1">
      <c r="A7194" s="10">
        <v>46204</v>
      </c>
      <c r="B7194" t="s">
        <v>201</v>
      </c>
      <c r="C7194" s="135" t="s">
        <v>184</v>
      </c>
      <c r="D7194">
        <v>0</v>
      </c>
      <c r="E7194">
        <v>55</v>
      </c>
      <c r="F7194">
        <v>2</v>
      </c>
      <c r="I7194">
        <v>2</v>
      </c>
      <c r="J7194">
        <v>55</v>
      </c>
      <c r="M7194" t="s">
        <v>7320</v>
      </c>
    </row>
    <row r="7195" spans="1:13" ht="15" customHeight="1">
      <c r="A7195" s="10">
        <v>46204</v>
      </c>
      <c r="B7195" t="s">
        <v>201</v>
      </c>
      <c r="C7195" s="135" t="s">
        <v>185</v>
      </c>
      <c r="D7195">
        <v>1</v>
      </c>
      <c r="E7195">
        <v>26</v>
      </c>
      <c r="I7195">
        <v>1</v>
      </c>
      <c r="J7195">
        <v>26</v>
      </c>
      <c r="M7195" t="s">
        <v>7321</v>
      </c>
    </row>
    <row r="7196" spans="1:13" ht="15" customHeight="1">
      <c r="A7196" s="10">
        <v>46204</v>
      </c>
      <c r="B7196" t="s">
        <v>201</v>
      </c>
      <c r="C7196" s="135" t="s">
        <v>186</v>
      </c>
      <c r="D7196">
        <v>1</v>
      </c>
      <c r="E7196">
        <v>500</v>
      </c>
      <c r="I7196">
        <v>1</v>
      </c>
      <c r="J7196">
        <v>500</v>
      </c>
      <c r="M7196" t="s">
        <v>7322</v>
      </c>
    </row>
    <row r="7197" spans="1:13" ht="15" customHeight="1">
      <c r="A7197" s="10">
        <v>46204</v>
      </c>
      <c r="B7197" t="s">
        <v>201</v>
      </c>
      <c r="C7197" t="s">
        <v>337</v>
      </c>
      <c r="D7197">
        <v>2</v>
      </c>
      <c r="E7197">
        <v>273</v>
      </c>
      <c r="I7197">
        <v>2</v>
      </c>
      <c r="J7197">
        <v>251</v>
      </c>
      <c r="M7197" t="s">
        <v>7323</v>
      </c>
    </row>
    <row r="7198" spans="1:13" ht="15" customHeight="1">
      <c r="A7198" s="10">
        <v>46204</v>
      </c>
      <c r="B7198" t="s">
        <v>201</v>
      </c>
      <c r="C7198" t="s">
        <v>339</v>
      </c>
      <c r="D7198">
        <v>0</v>
      </c>
      <c r="E7198">
        <v>0</v>
      </c>
      <c r="I7198">
        <v>0</v>
      </c>
      <c r="J7198">
        <v>0</v>
      </c>
      <c r="M7198" t="s">
        <v>7324</v>
      </c>
    </row>
    <row r="7199" spans="1:13" ht="15" customHeight="1">
      <c r="A7199" s="10">
        <v>46204</v>
      </c>
      <c r="B7199" t="s">
        <v>201</v>
      </c>
      <c r="C7199" s="135" t="s">
        <v>191</v>
      </c>
      <c r="D7199">
        <v>1</v>
      </c>
      <c r="E7199">
        <v>382</v>
      </c>
      <c r="I7199">
        <v>1</v>
      </c>
      <c r="J7199">
        <v>382</v>
      </c>
      <c r="M7199" t="s">
        <v>7325</v>
      </c>
    </row>
    <row r="7200" spans="1:13" ht="15" customHeight="1">
      <c r="A7200" s="10">
        <v>46204</v>
      </c>
      <c r="B7200" t="s">
        <v>201</v>
      </c>
      <c r="C7200" s="135" t="s">
        <v>193</v>
      </c>
      <c r="D7200">
        <v>0</v>
      </c>
      <c r="E7200">
        <v>430</v>
      </c>
      <c r="I7200">
        <v>0</v>
      </c>
      <c r="J7200">
        <v>415</v>
      </c>
      <c r="M7200" t="s">
        <v>7326</v>
      </c>
    </row>
    <row r="7201" spans="1:13" ht="15" customHeight="1">
      <c r="A7201" s="10">
        <v>46204</v>
      </c>
      <c r="B7201" t="s">
        <v>201</v>
      </c>
      <c r="C7201" s="135" t="s">
        <v>194</v>
      </c>
      <c r="D7201">
        <v>0</v>
      </c>
      <c r="E7201">
        <v>50</v>
      </c>
      <c r="F7201">
        <v>1</v>
      </c>
      <c r="I7201">
        <v>1</v>
      </c>
      <c r="J7201">
        <v>50</v>
      </c>
      <c r="M7201" t="s">
        <v>7327</v>
      </c>
    </row>
    <row r="7202" spans="1:13" ht="15" customHeight="1">
      <c r="A7202" s="10">
        <v>46204</v>
      </c>
      <c r="B7202" t="s">
        <v>201</v>
      </c>
      <c r="C7202" s="135" t="s">
        <v>196</v>
      </c>
      <c r="D7202">
        <v>0</v>
      </c>
      <c r="E7202">
        <v>226</v>
      </c>
      <c r="F7202">
        <v>1</v>
      </c>
      <c r="I7202">
        <v>0</v>
      </c>
      <c r="J7202">
        <v>824</v>
      </c>
      <c r="M7202" t="s">
        <v>7328</v>
      </c>
    </row>
    <row r="7203" spans="1:13" ht="15" customHeight="1">
      <c r="A7203" s="10">
        <v>46204</v>
      </c>
      <c r="B7203" t="s">
        <v>201</v>
      </c>
      <c r="C7203" s="135" t="s">
        <v>199</v>
      </c>
      <c r="D7203">
        <v>0</v>
      </c>
      <c r="E7203">
        <v>156</v>
      </c>
      <c r="F7203">
        <v>400</v>
      </c>
      <c r="I7203">
        <v>0</v>
      </c>
      <c r="J7203">
        <v>539</v>
      </c>
      <c r="M7203" t="s">
        <v>7329</v>
      </c>
    </row>
    <row r="7204" spans="1:13" ht="15" customHeight="1">
      <c r="A7204" s="10">
        <v>46204</v>
      </c>
      <c r="B7204" t="s">
        <v>201</v>
      </c>
      <c r="C7204" s="135" t="s">
        <v>200</v>
      </c>
      <c r="D7204">
        <v>0</v>
      </c>
      <c r="E7204">
        <v>563</v>
      </c>
      <c r="I7204">
        <v>0</v>
      </c>
      <c r="J7204">
        <v>546</v>
      </c>
      <c r="M7204" t="s">
        <v>7330</v>
      </c>
    </row>
    <row r="7205" spans="1:13" ht="15" customHeight="1">
      <c r="A7205" s="10">
        <v>46204</v>
      </c>
      <c r="B7205" t="s">
        <v>201</v>
      </c>
      <c r="C7205" s="135" t="s">
        <v>202</v>
      </c>
      <c r="D7205">
        <v>0</v>
      </c>
      <c r="E7205">
        <v>488</v>
      </c>
      <c r="I7205">
        <v>0</v>
      </c>
      <c r="J7205">
        <v>480</v>
      </c>
      <c r="M7205" t="s">
        <v>7331</v>
      </c>
    </row>
    <row r="7206" spans="1:13">
      <c r="A7206" s="10">
        <v>46205</v>
      </c>
      <c r="B7206" t="s">
        <v>201</v>
      </c>
      <c r="C7206" t="s">
        <v>23</v>
      </c>
      <c r="D7206">
        <v>7</v>
      </c>
      <c r="E7206">
        <v>1623</v>
      </c>
      <c r="I7206">
        <v>7</v>
      </c>
      <c r="J7206">
        <v>1623</v>
      </c>
      <c r="M7206" t="s">
        <v>7332</v>
      </c>
    </row>
    <row r="7207" spans="1:13">
      <c r="A7207" s="10">
        <v>46205</v>
      </c>
      <c r="B7207" t="s">
        <v>201</v>
      </c>
      <c r="C7207" t="s">
        <v>26</v>
      </c>
      <c r="D7207">
        <v>3</v>
      </c>
      <c r="E7207">
        <v>423</v>
      </c>
      <c r="I7207">
        <v>3</v>
      </c>
      <c r="J7207">
        <v>423</v>
      </c>
      <c r="M7207" t="s">
        <v>7333</v>
      </c>
    </row>
    <row r="7208" spans="1:13">
      <c r="A7208" s="10">
        <v>46205</v>
      </c>
      <c r="B7208" t="s">
        <v>201</v>
      </c>
      <c r="C7208" t="s">
        <v>27</v>
      </c>
      <c r="D7208">
        <v>2</v>
      </c>
      <c r="E7208">
        <v>858</v>
      </c>
      <c r="I7208">
        <v>2</v>
      </c>
      <c r="J7208">
        <v>858</v>
      </c>
      <c r="M7208" t="s">
        <v>7334</v>
      </c>
    </row>
    <row r="7209" spans="1:13">
      <c r="A7209" s="10">
        <v>46205</v>
      </c>
      <c r="B7209" t="s">
        <v>201</v>
      </c>
      <c r="C7209" t="s">
        <v>28</v>
      </c>
      <c r="D7209">
        <v>0</v>
      </c>
      <c r="E7209">
        <v>0</v>
      </c>
      <c r="I7209">
        <v>0</v>
      </c>
      <c r="J7209">
        <v>0</v>
      </c>
      <c r="M7209" t="s">
        <v>7335</v>
      </c>
    </row>
    <row r="7210" spans="1:13">
      <c r="A7210" s="10">
        <v>46205</v>
      </c>
      <c r="B7210" t="s">
        <v>201</v>
      </c>
      <c r="C7210" t="s">
        <v>29</v>
      </c>
      <c r="D7210">
        <v>1</v>
      </c>
      <c r="E7210">
        <v>450</v>
      </c>
      <c r="I7210">
        <v>1</v>
      </c>
      <c r="J7210">
        <v>450</v>
      </c>
      <c r="M7210" t="s">
        <v>7336</v>
      </c>
    </row>
    <row r="7211" spans="1:13">
      <c r="A7211" s="10">
        <v>46205</v>
      </c>
      <c r="B7211" t="s">
        <v>201</v>
      </c>
      <c r="C7211" t="s">
        <v>30</v>
      </c>
      <c r="D7211">
        <v>0</v>
      </c>
      <c r="E7211">
        <v>809</v>
      </c>
      <c r="I7211">
        <v>0</v>
      </c>
      <c r="J7211">
        <v>809</v>
      </c>
      <c r="M7211" t="s">
        <v>7337</v>
      </c>
    </row>
    <row r="7212" spans="1:13">
      <c r="A7212" s="10">
        <v>46205</v>
      </c>
      <c r="B7212" t="s">
        <v>201</v>
      </c>
      <c r="C7212" t="s">
        <v>31</v>
      </c>
      <c r="D7212">
        <v>1</v>
      </c>
      <c r="E7212">
        <v>401</v>
      </c>
      <c r="I7212">
        <v>1</v>
      </c>
      <c r="J7212">
        <v>401</v>
      </c>
      <c r="M7212" t="s">
        <v>7338</v>
      </c>
    </row>
    <row r="7213" spans="1:13">
      <c r="A7213" s="10">
        <v>46205</v>
      </c>
      <c r="B7213" t="s">
        <v>201</v>
      </c>
      <c r="C7213" t="s">
        <v>32</v>
      </c>
      <c r="D7213">
        <v>0</v>
      </c>
      <c r="E7213">
        <v>979</v>
      </c>
      <c r="I7213">
        <v>0</v>
      </c>
      <c r="J7213">
        <v>979</v>
      </c>
      <c r="M7213" t="s">
        <v>7339</v>
      </c>
    </row>
    <row r="7214" spans="1:13">
      <c r="A7214" s="10">
        <v>46205</v>
      </c>
      <c r="B7214" t="s">
        <v>201</v>
      </c>
      <c r="C7214" t="s">
        <v>223</v>
      </c>
      <c r="D7214">
        <v>7</v>
      </c>
      <c r="E7214">
        <v>435</v>
      </c>
      <c r="I7214">
        <v>7</v>
      </c>
      <c r="J7214">
        <v>435</v>
      </c>
      <c r="M7214" t="s">
        <v>7340</v>
      </c>
    </row>
    <row r="7215" spans="1:13">
      <c r="A7215" s="10">
        <v>46205</v>
      </c>
      <c r="B7215" t="s">
        <v>201</v>
      </c>
      <c r="C7215" t="s">
        <v>35</v>
      </c>
      <c r="D7215">
        <v>7</v>
      </c>
      <c r="E7215">
        <v>0</v>
      </c>
      <c r="H7215">
        <v>4</v>
      </c>
      <c r="I7215">
        <v>7</v>
      </c>
      <c r="M7215" t="s">
        <v>7341</v>
      </c>
    </row>
    <row r="7216" spans="1:13">
      <c r="A7216" s="10">
        <v>46205</v>
      </c>
      <c r="B7216" t="s">
        <v>201</v>
      </c>
      <c r="C7216" t="s">
        <v>37</v>
      </c>
      <c r="D7216">
        <v>2</v>
      </c>
      <c r="E7216">
        <v>0</v>
      </c>
      <c r="I7216">
        <v>2</v>
      </c>
      <c r="M7216" t="s">
        <v>7342</v>
      </c>
    </row>
    <row r="7217" spans="1:13">
      <c r="A7217" s="10">
        <v>46205</v>
      </c>
      <c r="B7217" t="s">
        <v>201</v>
      </c>
      <c r="C7217" t="s">
        <v>39</v>
      </c>
      <c r="D7217">
        <v>26</v>
      </c>
      <c r="E7217">
        <v>0</v>
      </c>
      <c r="I7217">
        <v>36</v>
      </c>
      <c r="M7217" t="s">
        <v>7343</v>
      </c>
    </row>
    <row r="7218" spans="1:13">
      <c r="A7218" s="10">
        <v>46205</v>
      </c>
      <c r="B7218" t="s">
        <v>201</v>
      </c>
      <c r="C7218" t="s">
        <v>41</v>
      </c>
      <c r="D7218">
        <v>18</v>
      </c>
      <c r="E7218">
        <v>0</v>
      </c>
      <c r="I7218">
        <v>18</v>
      </c>
      <c r="M7218" t="s">
        <v>7344</v>
      </c>
    </row>
    <row r="7219" spans="1:13">
      <c r="A7219" s="10">
        <v>46205</v>
      </c>
      <c r="B7219" t="s">
        <v>201</v>
      </c>
      <c r="C7219" s="135" t="s">
        <v>44</v>
      </c>
      <c r="D7219">
        <v>4</v>
      </c>
      <c r="E7219">
        <v>8457</v>
      </c>
      <c r="I7219">
        <v>4</v>
      </c>
      <c r="J7219">
        <v>8457</v>
      </c>
      <c r="M7219" t="s">
        <v>7345</v>
      </c>
    </row>
    <row r="7220" spans="1:13">
      <c r="A7220" s="10">
        <v>46205</v>
      </c>
      <c r="B7220" t="s">
        <v>201</v>
      </c>
      <c r="C7220" t="s">
        <v>230</v>
      </c>
      <c r="D7220">
        <v>1</v>
      </c>
      <c r="E7220">
        <v>449</v>
      </c>
      <c r="I7220">
        <v>1</v>
      </c>
      <c r="J7220">
        <v>449</v>
      </c>
      <c r="M7220" t="s">
        <v>7346</v>
      </c>
    </row>
    <row r="7221" spans="1:13">
      <c r="A7221" s="10">
        <v>46205</v>
      </c>
      <c r="B7221" t="s">
        <v>201</v>
      </c>
      <c r="C7221" t="s">
        <v>232</v>
      </c>
      <c r="D7221">
        <v>5</v>
      </c>
      <c r="E7221">
        <v>0</v>
      </c>
      <c r="I7221">
        <v>5</v>
      </c>
      <c r="M7221" t="s">
        <v>7347</v>
      </c>
    </row>
    <row r="7222" spans="1:13">
      <c r="A7222" s="10">
        <v>46205</v>
      </c>
      <c r="B7222" t="s">
        <v>201</v>
      </c>
      <c r="C7222" t="s">
        <v>234</v>
      </c>
      <c r="D7222">
        <v>89</v>
      </c>
      <c r="E7222">
        <v>0</v>
      </c>
      <c r="H7222">
        <v>10</v>
      </c>
      <c r="I7222">
        <v>89</v>
      </c>
      <c r="M7222" t="s">
        <v>7348</v>
      </c>
    </row>
    <row r="7223" spans="1:13">
      <c r="A7223" s="10">
        <v>46205</v>
      </c>
      <c r="B7223" t="s">
        <v>201</v>
      </c>
      <c r="C7223" t="s">
        <v>54</v>
      </c>
      <c r="D7223">
        <v>0</v>
      </c>
      <c r="E7223">
        <v>0</v>
      </c>
      <c r="I7223">
        <v>0</v>
      </c>
      <c r="M7223" t="s">
        <v>7349</v>
      </c>
    </row>
    <row r="7224" spans="1:13">
      <c r="A7224" s="10">
        <v>46205</v>
      </c>
      <c r="B7224" t="s">
        <v>201</v>
      </c>
      <c r="C7224" t="s">
        <v>237</v>
      </c>
      <c r="D7224">
        <v>12</v>
      </c>
      <c r="E7224">
        <v>0</v>
      </c>
      <c r="I7224">
        <v>12</v>
      </c>
      <c r="M7224" t="s">
        <v>7350</v>
      </c>
    </row>
    <row r="7225" spans="1:13">
      <c r="A7225" s="10">
        <v>46205</v>
      </c>
      <c r="B7225" t="s">
        <v>201</v>
      </c>
      <c r="C7225" s="135" t="s">
        <v>58</v>
      </c>
      <c r="D7225">
        <v>15</v>
      </c>
      <c r="E7225">
        <v>0</v>
      </c>
      <c r="H7225">
        <v>10</v>
      </c>
      <c r="I7225">
        <v>5</v>
      </c>
      <c r="M7225" t="s">
        <v>7351</v>
      </c>
    </row>
    <row r="7226" spans="1:13">
      <c r="A7226" s="10">
        <v>46205</v>
      </c>
      <c r="B7226" t="s">
        <v>201</v>
      </c>
      <c r="C7226" s="135" t="s">
        <v>60</v>
      </c>
      <c r="D7226">
        <v>18</v>
      </c>
      <c r="E7226">
        <v>0</v>
      </c>
      <c r="H7226">
        <v>8</v>
      </c>
      <c r="I7226">
        <v>10</v>
      </c>
      <c r="M7226" t="s">
        <v>7352</v>
      </c>
    </row>
    <row r="7227" spans="1:13">
      <c r="A7227" s="10">
        <v>46205</v>
      </c>
      <c r="B7227" t="s">
        <v>201</v>
      </c>
      <c r="C7227" s="135" t="s">
        <v>61</v>
      </c>
      <c r="D7227">
        <v>11</v>
      </c>
      <c r="E7227">
        <v>0</v>
      </c>
      <c r="H7227">
        <v>1</v>
      </c>
      <c r="I7227">
        <v>10</v>
      </c>
      <c r="M7227" t="s">
        <v>7353</v>
      </c>
    </row>
    <row r="7228" spans="1:13">
      <c r="A7228" s="10">
        <v>46205</v>
      </c>
      <c r="B7228" t="s">
        <v>201</v>
      </c>
      <c r="C7228" s="135" t="s">
        <v>62</v>
      </c>
      <c r="D7228">
        <v>8</v>
      </c>
      <c r="E7228">
        <v>0</v>
      </c>
      <c r="H7228">
        <v>2</v>
      </c>
      <c r="I7228">
        <v>6</v>
      </c>
      <c r="M7228" t="s">
        <v>7354</v>
      </c>
    </row>
    <row r="7229" spans="1:13">
      <c r="A7229" s="10">
        <v>46205</v>
      </c>
      <c r="B7229" t="s">
        <v>201</v>
      </c>
      <c r="C7229" s="135" t="s">
        <v>63</v>
      </c>
      <c r="D7229">
        <v>11</v>
      </c>
      <c r="E7229">
        <v>0</v>
      </c>
      <c r="H7229">
        <v>2</v>
      </c>
      <c r="I7229">
        <v>9</v>
      </c>
      <c r="M7229" t="s">
        <v>7355</v>
      </c>
    </row>
    <row r="7230" spans="1:13">
      <c r="A7230" s="10">
        <v>46205</v>
      </c>
      <c r="B7230" t="s">
        <v>201</v>
      </c>
      <c r="C7230" s="135" t="s">
        <v>64</v>
      </c>
      <c r="D7230">
        <v>6</v>
      </c>
      <c r="E7230">
        <v>0</v>
      </c>
      <c r="H7230">
        <v>3</v>
      </c>
      <c r="I7230">
        <v>3</v>
      </c>
      <c r="M7230" t="s">
        <v>7356</v>
      </c>
    </row>
    <row r="7231" spans="1:13">
      <c r="A7231" s="10">
        <v>46205</v>
      </c>
      <c r="B7231" t="s">
        <v>201</v>
      </c>
      <c r="C7231" t="s">
        <v>66</v>
      </c>
      <c r="D7231">
        <v>3</v>
      </c>
      <c r="E7231">
        <v>0</v>
      </c>
      <c r="I7231">
        <v>3</v>
      </c>
      <c r="M7231" t="s">
        <v>7357</v>
      </c>
    </row>
    <row r="7232" spans="1:13">
      <c r="A7232" s="10">
        <v>46205</v>
      </c>
      <c r="B7232" t="s">
        <v>201</v>
      </c>
      <c r="C7232" t="s">
        <v>67</v>
      </c>
      <c r="D7232">
        <v>5</v>
      </c>
      <c r="E7232">
        <v>0</v>
      </c>
      <c r="I7232">
        <v>5</v>
      </c>
      <c r="M7232" t="s">
        <v>7358</v>
      </c>
    </row>
    <row r="7233" spans="1:13">
      <c r="A7233" s="10">
        <v>46205</v>
      </c>
      <c r="B7233" t="s">
        <v>201</v>
      </c>
      <c r="C7233" t="s">
        <v>68</v>
      </c>
      <c r="D7233">
        <v>1</v>
      </c>
      <c r="E7233">
        <v>0</v>
      </c>
      <c r="I7233">
        <v>1</v>
      </c>
      <c r="M7233" t="s">
        <v>7359</v>
      </c>
    </row>
    <row r="7234" spans="1:13">
      <c r="A7234" s="10">
        <v>46205</v>
      </c>
      <c r="B7234" t="s">
        <v>201</v>
      </c>
      <c r="C7234" t="s">
        <v>71</v>
      </c>
      <c r="D7234">
        <v>2</v>
      </c>
      <c r="E7234">
        <v>77</v>
      </c>
      <c r="I7234">
        <v>2</v>
      </c>
      <c r="J7234">
        <v>43</v>
      </c>
      <c r="M7234" t="s">
        <v>7360</v>
      </c>
    </row>
    <row r="7235" spans="1:13">
      <c r="A7235" s="10">
        <v>46205</v>
      </c>
      <c r="B7235" t="s">
        <v>201</v>
      </c>
      <c r="C7235" t="s">
        <v>73</v>
      </c>
      <c r="D7235">
        <v>2</v>
      </c>
      <c r="E7235">
        <v>517</v>
      </c>
      <c r="I7235">
        <v>2</v>
      </c>
      <c r="J7235">
        <v>488</v>
      </c>
      <c r="M7235" t="s">
        <v>7361</v>
      </c>
    </row>
    <row r="7236" spans="1:13">
      <c r="A7236" s="10">
        <v>46205</v>
      </c>
      <c r="B7236" t="s">
        <v>201</v>
      </c>
      <c r="C7236" t="s">
        <v>75</v>
      </c>
      <c r="D7236">
        <v>1</v>
      </c>
      <c r="E7236">
        <v>185</v>
      </c>
      <c r="I7236">
        <v>1</v>
      </c>
      <c r="J7236">
        <v>185</v>
      </c>
      <c r="M7236" t="s">
        <v>7362</v>
      </c>
    </row>
    <row r="7237" spans="1:13">
      <c r="A7237" s="10">
        <v>46205</v>
      </c>
      <c r="B7237" t="s">
        <v>201</v>
      </c>
      <c r="C7237" t="s">
        <v>77</v>
      </c>
      <c r="D7237">
        <v>1</v>
      </c>
      <c r="E7237">
        <v>100</v>
      </c>
      <c r="I7237">
        <v>1</v>
      </c>
      <c r="J7237">
        <v>789</v>
      </c>
      <c r="M7237" t="s">
        <v>7363</v>
      </c>
    </row>
    <row r="7238" spans="1:13">
      <c r="A7238" s="10">
        <v>46205</v>
      </c>
      <c r="B7238" t="s">
        <v>201</v>
      </c>
      <c r="C7238" t="s">
        <v>79</v>
      </c>
      <c r="D7238">
        <v>1</v>
      </c>
      <c r="E7238">
        <v>5140</v>
      </c>
      <c r="I7238">
        <v>1</v>
      </c>
      <c r="J7238">
        <v>1508</v>
      </c>
      <c r="M7238" t="s">
        <v>7364</v>
      </c>
    </row>
    <row r="7239" spans="1:13">
      <c r="A7239" s="10">
        <v>46205</v>
      </c>
      <c r="B7239" t="s">
        <v>201</v>
      </c>
      <c r="C7239" t="s">
        <v>81</v>
      </c>
      <c r="D7239">
        <v>0</v>
      </c>
      <c r="E7239">
        <v>610</v>
      </c>
      <c r="I7239">
        <v>0</v>
      </c>
      <c r="J7239">
        <v>610</v>
      </c>
      <c r="M7239" t="s">
        <v>7365</v>
      </c>
    </row>
    <row r="7240" spans="1:13">
      <c r="A7240" s="10">
        <v>46205</v>
      </c>
      <c r="B7240" t="s">
        <v>201</v>
      </c>
      <c r="C7240" t="s">
        <v>83</v>
      </c>
      <c r="D7240">
        <v>1</v>
      </c>
      <c r="E7240">
        <v>363</v>
      </c>
      <c r="I7240">
        <v>1</v>
      </c>
      <c r="J7240">
        <v>363</v>
      </c>
      <c r="M7240" t="s">
        <v>7366</v>
      </c>
    </row>
    <row r="7241" spans="1:13">
      <c r="A7241" s="10">
        <v>46205</v>
      </c>
      <c r="B7241" t="s">
        <v>201</v>
      </c>
      <c r="C7241" t="s">
        <v>84</v>
      </c>
      <c r="D7241">
        <v>2</v>
      </c>
      <c r="E7241">
        <v>272</v>
      </c>
      <c r="I7241">
        <v>2</v>
      </c>
      <c r="J7241">
        <v>272</v>
      </c>
      <c r="M7241" t="s">
        <v>7367</v>
      </c>
    </row>
    <row r="7242" spans="1:13">
      <c r="A7242" s="10">
        <v>46205</v>
      </c>
      <c r="B7242" t="s">
        <v>201</v>
      </c>
      <c r="C7242" t="s">
        <v>85</v>
      </c>
      <c r="D7242">
        <v>0</v>
      </c>
      <c r="E7242">
        <v>54</v>
      </c>
      <c r="I7242">
        <v>0</v>
      </c>
      <c r="J7242">
        <v>151</v>
      </c>
      <c r="M7242" t="s">
        <v>7368</v>
      </c>
    </row>
    <row r="7243" spans="1:13">
      <c r="A7243" s="10">
        <v>46205</v>
      </c>
      <c r="B7243" t="s">
        <v>201</v>
      </c>
      <c r="C7243" t="s">
        <v>87</v>
      </c>
      <c r="D7243">
        <v>1</v>
      </c>
      <c r="E7243">
        <v>426</v>
      </c>
      <c r="I7243">
        <v>1</v>
      </c>
      <c r="J7243">
        <v>424</v>
      </c>
      <c r="M7243" t="s">
        <v>7369</v>
      </c>
    </row>
    <row r="7244" spans="1:13">
      <c r="A7244" s="10">
        <v>46205</v>
      </c>
      <c r="B7244" t="s">
        <v>201</v>
      </c>
      <c r="C7244" t="s">
        <v>88</v>
      </c>
      <c r="D7244">
        <v>1</v>
      </c>
      <c r="E7244">
        <v>238</v>
      </c>
      <c r="I7244">
        <v>1</v>
      </c>
      <c r="J7244">
        <v>232</v>
      </c>
      <c r="M7244" t="s">
        <v>7370</v>
      </c>
    </row>
    <row r="7245" spans="1:13">
      <c r="A7245" s="10">
        <v>46205</v>
      </c>
      <c r="B7245" t="s">
        <v>201</v>
      </c>
      <c r="C7245" t="s">
        <v>89</v>
      </c>
      <c r="D7245">
        <v>1</v>
      </c>
      <c r="E7245">
        <v>219</v>
      </c>
      <c r="I7245">
        <v>1</v>
      </c>
      <c r="J7245">
        <v>211</v>
      </c>
      <c r="M7245" t="s">
        <v>7371</v>
      </c>
    </row>
    <row r="7246" spans="1:13">
      <c r="A7246" s="10">
        <v>46205</v>
      </c>
      <c r="B7246" t="s">
        <v>201</v>
      </c>
      <c r="C7246" t="s">
        <v>90</v>
      </c>
      <c r="D7246">
        <v>1</v>
      </c>
      <c r="E7246">
        <v>305</v>
      </c>
      <c r="I7246">
        <v>1</v>
      </c>
      <c r="J7246">
        <v>291</v>
      </c>
      <c r="M7246" t="s">
        <v>7372</v>
      </c>
    </row>
    <row r="7247" spans="1:13">
      <c r="A7247" s="10">
        <v>46205</v>
      </c>
      <c r="B7247" t="s">
        <v>201</v>
      </c>
      <c r="C7247" t="s">
        <v>92</v>
      </c>
      <c r="D7247">
        <v>1</v>
      </c>
      <c r="E7247">
        <v>911</v>
      </c>
      <c r="I7247">
        <v>1</v>
      </c>
      <c r="J7247">
        <v>892</v>
      </c>
      <c r="M7247" t="s">
        <v>7373</v>
      </c>
    </row>
    <row r="7248" spans="1:13">
      <c r="A7248" s="10">
        <v>46205</v>
      </c>
      <c r="B7248" t="s">
        <v>201</v>
      </c>
      <c r="C7248" t="s">
        <v>94</v>
      </c>
      <c r="D7248">
        <v>5</v>
      </c>
      <c r="E7248">
        <v>373</v>
      </c>
      <c r="I7248">
        <v>4</v>
      </c>
      <c r="J7248">
        <v>476</v>
      </c>
      <c r="M7248" t="s">
        <v>7374</v>
      </c>
    </row>
    <row r="7249" spans="1:13">
      <c r="A7249" s="10">
        <v>46205</v>
      </c>
      <c r="B7249" t="s">
        <v>201</v>
      </c>
      <c r="C7249" t="s">
        <v>96</v>
      </c>
      <c r="D7249">
        <v>0</v>
      </c>
      <c r="E7249">
        <v>0</v>
      </c>
      <c r="I7249">
        <v>0</v>
      </c>
      <c r="J7249">
        <v>0</v>
      </c>
      <c r="M7249" t="s">
        <v>7375</v>
      </c>
    </row>
    <row r="7250" spans="1:13">
      <c r="A7250" s="10">
        <v>46205</v>
      </c>
      <c r="B7250" t="s">
        <v>201</v>
      </c>
      <c r="C7250" t="s">
        <v>98</v>
      </c>
      <c r="D7250">
        <v>2</v>
      </c>
      <c r="E7250">
        <v>187</v>
      </c>
      <c r="I7250">
        <v>2</v>
      </c>
      <c r="J7250">
        <v>374</v>
      </c>
      <c r="M7250" t="s">
        <v>7376</v>
      </c>
    </row>
    <row r="7251" spans="1:13">
      <c r="A7251" s="10">
        <v>46205</v>
      </c>
      <c r="B7251" t="s">
        <v>201</v>
      </c>
      <c r="C7251" t="s">
        <v>203</v>
      </c>
      <c r="D7251">
        <v>4</v>
      </c>
      <c r="E7251">
        <v>0</v>
      </c>
      <c r="I7251">
        <v>3</v>
      </c>
      <c r="J7251">
        <v>0</v>
      </c>
      <c r="M7251" t="s">
        <v>7377</v>
      </c>
    </row>
    <row r="7252" spans="1:13">
      <c r="A7252" s="10">
        <v>46205</v>
      </c>
      <c r="B7252" t="s">
        <v>201</v>
      </c>
      <c r="C7252" t="s">
        <v>100</v>
      </c>
      <c r="D7252">
        <v>0</v>
      </c>
      <c r="E7252">
        <v>0</v>
      </c>
      <c r="I7252">
        <v>0</v>
      </c>
      <c r="J7252">
        <v>0</v>
      </c>
      <c r="M7252" t="s">
        <v>7378</v>
      </c>
    </row>
    <row r="7253" spans="1:13">
      <c r="A7253" s="10">
        <v>46205</v>
      </c>
      <c r="B7253" t="s">
        <v>201</v>
      </c>
      <c r="C7253" t="s">
        <v>101</v>
      </c>
      <c r="D7253">
        <v>1</v>
      </c>
      <c r="E7253">
        <v>193</v>
      </c>
      <c r="I7253">
        <v>1</v>
      </c>
      <c r="J7253">
        <v>182</v>
      </c>
      <c r="M7253" t="s">
        <v>7379</v>
      </c>
    </row>
    <row r="7254" spans="1:13">
      <c r="A7254" s="10">
        <v>46205</v>
      </c>
      <c r="B7254" t="s">
        <v>201</v>
      </c>
      <c r="C7254" t="s">
        <v>106</v>
      </c>
      <c r="D7254">
        <v>1</v>
      </c>
      <c r="E7254">
        <v>281</v>
      </c>
      <c r="I7254">
        <v>1</v>
      </c>
      <c r="J7254">
        <v>211</v>
      </c>
      <c r="M7254" t="s">
        <v>7380</v>
      </c>
    </row>
    <row r="7255" spans="1:13">
      <c r="A7255" s="10">
        <v>46205</v>
      </c>
      <c r="B7255" t="s">
        <v>201</v>
      </c>
      <c r="C7255" t="s">
        <v>108</v>
      </c>
      <c r="D7255">
        <v>1</v>
      </c>
      <c r="E7255">
        <v>280</v>
      </c>
      <c r="I7255">
        <v>1</v>
      </c>
      <c r="J7255">
        <v>548</v>
      </c>
      <c r="M7255" t="s">
        <v>7381</v>
      </c>
    </row>
    <row r="7256" spans="1:13">
      <c r="A7256" s="10">
        <v>46205</v>
      </c>
      <c r="B7256" t="s">
        <v>201</v>
      </c>
      <c r="C7256" t="s">
        <v>109</v>
      </c>
      <c r="D7256">
        <v>1</v>
      </c>
      <c r="E7256">
        <v>1138</v>
      </c>
      <c r="I7256">
        <v>1</v>
      </c>
      <c r="J7256">
        <v>1039</v>
      </c>
      <c r="M7256" t="s">
        <v>7382</v>
      </c>
    </row>
    <row r="7257" spans="1:13">
      <c r="A7257" s="10">
        <v>46205</v>
      </c>
      <c r="B7257" t="s">
        <v>201</v>
      </c>
      <c r="C7257" t="s">
        <v>112</v>
      </c>
      <c r="D7257">
        <v>1</v>
      </c>
      <c r="E7257">
        <v>44</v>
      </c>
      <c r="I7257">
        <v>1</v>
      </c>
      <c r="J7257">
        <v>41</v>
      </c>
      <c r="M7257" t="s">
        <v>7383</v>
      </c>
    </row>
    <row r="7258" spans="1:13">
      <c r="A7258" s="10">
        <v>46205</v>
      </c>
      <c r="B7258" t="s">
        <v>201</v>
      </c>
      <c r="C7258" t="s">
        <v>114</v>
      </c>
      <c r="D7258">
        <v>2</v>
      </c>
      <c r="E7258">
        <v>16</v>
      </c>
      <c r="I7258">
        <v>2</v>
      </c>
      <c r="J7258">
        <v>8</v>
      </c>
      <c r="M7258" t="s">
        <v>7384</v>
      </c>
    </row>
    <row r="7259" spans="1:13">
      <c r="A7259" s="10">
        <v>46205</v>
      </c>
      <c r="B7259" t="s">
        <v>201</v>
      </c>
      <c r="C7259" t="s">
        <v>115</v>
      </c>
      <c r="D7259">
        <v>1</v>
      </c>
      <c r="E7259">
        <v>18</v>
      </c>
      <c r="I7259">
        <v>1</v>
      </c>
      <c r="J7259">
        <v>15</v>
      </c>
      <c r="M7259" t="s">
        <v>7385</v>
      </c>
    </row>
    <row r="7260" spans="1:13">
      <c r="A7260" s="10">
        <v>46205</v>
      </c>
      <c r="B7260" t="s">
        <v>201</v>
      </c>
      <c r="C7260" t="s">
        <v>116</v>
      </c>
      <c r="D7260">
        <v>2</v>
      </c>
      <c r="E7260">
        <v>5</v>
      </c>
      <c r="I7260">
        <v>2</v>
      </c>
      <c r="J7260">
        <v>45</v>
      </c>
      <c r="M7260" t="s">
        <v>7386</v>
      </c>
    </row>
    <row r="7261" spans="1:13">
      <c r="A7261" s="10">
        <v>46205</v>
      </c>
      <c r="B7261" t="s">
        <v>201</v>
      </c>
      <c r="C7261" t="s">
        <v>119</v>
      </c>
      <c r="D7261">
        <v>4</v>
      </c>
      <c r="E7261">
        <v>0</v>
      </c>
      <c r="I7261">
        <v>4</v>
      </c>
      <c r="M7261" t="s">
        <v>7387</v>
      </c>
    </row>
    <row r="7262" spans="1:13">
      <c r="A7262" s="10">
        <v>46205</v>
      </c>
      <c r="B7262" t="s">
        <v>201</v>
      </c>
      <c r="C7262" t="s">
        <v>120</v>
      </c>
      <c r="D7262">
        <v>1</v>
      </c>
      <c r="E7262">
        <v>0</v>
      </c>
      <c r="I7262">
        <v>1</v>
      </c>
      <c r="M7262" t="s">
        <v>7388</v>
      </c>
    </row>
    <row r="7263" spans="1:13">
      <c r="A7263" s="10">
        <v>46205</v>
      </c>
      <c r="B7263" t="s">
        <v>201</v>
      </c>
      <c r="C7263" t="s">
        <v>121</v>
      </c>
      <c r="D7263">
        <v>1</v>
      </c>
      <c r="E7263">
        <v>0</v>
      </c>
      <c r="I7263">
        <v>1</v>
      </c>
      <c r="M7263" t="s">
        <v>7389</v>
      </c>
    </row>
    <row r="7264" spans="1:13">
      <c r="A7264" s="10">
        <v>46205</v>
      </c>
      <c r="B7264" t="s">
        <v>201</v>
      </c>
      <c r="C7264" t="s">
        <v>123</v>
      </c>
      <c r="D7264">
        <v>2</v>
      </c>
      <c r="E7264">
        <v>0</v>
      </c>
      <c r="I7264">
        <v>2</v>
      </c>
      <c r="M7264" t="s">
        <v>7390</v>
      </c>
    </row>
    <row r="7265" spans="1:13">
      <c r="A7265" s="10">
        <v>46205</v>
      </c>
      <c r="B7265" t="s">
        <v>201</v>
      </c>
      <c r="C7265" t="s">
        <v>124</v>
      </c>
      <c r="D7265">
        <v>2</v>
      </c>
      <c r="E7265">
        <v>0</v>
      </c>
      <c r="I7265">
        <v>2</v>
      </c>
      <c r="M7265" t="s">
        <v>7391</v>
      </c>
    </row>
    <row r="7266" spans="1:13">
      <c r="A7266" s="10">
        <v>46205</v>
      </c>
      <c r="B7266" t="s">
        <v>201</v>
      </c>
      <c r="C7266" t="s">
        <v>125</v>
      </c>
      <c r="D7266">
        <v>2</v>
      </c>
      <c r="E7266">
        <v>0</v>
      </c>
      <c r="I7266">
        <v>2</v>
      </c>
      <c r="M7266" t="s">
        <v>7392</v>
      </c>
    </row>
    <row r="7267" spans="1:13">
      <c r="A7267" s="10">
        <v>46205</v>
      </c>
      <c r="B7267" t="s">
        <v>201</v>
      </c>
      <c r="C7267" t="s">
        <v>126</v>
      </c>
      <c r="D7267">
        <v>2</v>
      </c>
      <c r="E7267">
        <v>0</v>
      </c>
      <c r="I7267">
        <v>2</v>
      </c>
      <c r="M7267" t="s">
        <v>7393</v>
      </c>
    </row>
    <row r="7268" spans="1:13">
      <c r="A7268" s="10">
        <v>46205</v>
      </c>
      <c r="B7268" t="s">
        <v>201</v>
      </c>
      <c r="C7268" t="s">
        <v>128</v>
      </c>
      <c r="D7268">
        <v>1</v>
      </c>
      <c r="E7268">
        <v>0</v>
      </c>
      <c r="I7268">
        <v>1</v>
      </c>
      <c r="M7268" t="s">
        <v>7394</v>
      </c>
    </row>
    <row r="7269" spans="1:13">
      <c r="A7269" s="10">
        <v>46205</v>
      </c>
      <c r="B7269" t="s">
        <v>201</v>
      </c>
      <c r="C7269" t="s">
        <v>130</v>
      </c>
      <c r="D7269">
        <v>3</v>
      </c>
      <c r="E7269">
        <v>0</v>
      </c>
      <c r="I7269">
        <v>1</v>
      </c>
      <c r="M7269" t="s">
        <v>7395</v>
      </c>
    </row>
    <row r="7270" spans="1:13">
      <c r="A7270" s="10">
        <v>46205</v>
      </c>
      <c r="B7270" t="s">
        <v>201</v>
      </c>
      <c r="C7270" t="s">
        <v>285</v>
      </c>
      <c r="D7270">
        <v>2</v>
      </c>
      <c r="E7270">
        <v>0</v>
      </c>
      <c r="I7270">
        <v>2</v>
      </c>
      <c r="M7270" t="s">
        <v>7396</v>
      </c>
    </row>
    <row r="7271" spans="1:13">
      <c r="A7271" s="10">
        <v>46205</v>
      </c>
      <c r="B7271" t="s">
        <v>201</v>
      </c>
      <c r="C7271" t="s">
        <v>287</v>
      </c>
      <c r="D7271">
        <v>6</v>
      </c>
      <c r="E7271">
        <v>0</v>
      </c>
      <c r="I7271">
        <v>6</v>
      </c>
      <c r="M7271" t="s">
        <v>7397</v>
      </c>
    </row>
    <row r="7272" spans="1:13">
      <c r="A7272" s="10">
        <v>46205</v>
      </c>
      <c r="B7272" t="s">
        <v>201</v>
      </c>
      <c r="C7272" t="s">
        <v>289</v>
      </c>
      <c r="D7272">
        <v>2</v>
      </c>
      <c r="E7272">
        <v>0</v>
      </c>
      <c r="I7272">
        <v>2</v>
      </c>
      <c r="M7272" t="s">
        <v>7398</v>
      </c>
    </row>
    <row r="7273" spans="1:13">
      <c r="A7273" s="10">
        <v>46205</v>
      </c>
      <c r="B7273" t="s">
        <v>201</v>
      </c>
      <c r="C7273" t="s">
        <v>291</v>
      </c>
      <c r="D7273">
        <v>1</v>
      </c>
      <c r="E7273">
        <v>0</v>
      </c>
      <c r="I7273">
        <v>1</v>
      </c>
      <c r="M7273" t="s">
        <v>7399</v>
      </c>
    </row>
    <row r="7274" spans="1:13">
      <c r="A7274" s="10">
        <v>46205</v>
      </c>
      <c r="B7274" t="s">
        <v>201</v>
      </c>
      <c r="C7274" t="s">
        <v>293</v>
      </c>
      <c r="D7274">
        <v>2</v>
      </c>
      <c r="E7274">
        <v>0</v>
      </c>
      <c r="I7274">
        <v>2</v>
      </c>
      <c r="M7274" t="s">
        <v>7400</v>
      </c>
    </row>
    <row r="7275" spans="1:13">
      <c r="A7275" s="10">
        <v>46205</v>
      </c>
      <c r="B7275" t="s">
        <v>201</v>
      </c>
      <c r="C7275" s="135" t="s">
        <v>138</v>
      </c>
      <c r="D7275">
        <v>0</v>
      </c>
      <c r="E7275">
        <v>50</v>
      </c>
      <c r="I7275">
        <v>0</v>
      </c>
      <c r="J7275">
        <v>44</v>
      </c>
      <c r="M7275" t="s">
        <v>7401</v>
      </c>
    </row>
    <row r="7276" spans="1:13">
      <c r="A7276" s="10">
        <v>46205</v>
      </c>
      <c r="B7276" t="s">
        <v>201</v>
      </c>
      <c r="C7276" s="135" t="s">
        <v>139</v>
      </c>
      <c r="D7276">
        <v>0</v>
      </c>
      <c r="E7276">
        <v>56</v>
      </c>
      <c r="I7276">
        <v>0</v>
      </c>
      <c r="J7276">
        <v>54</v>
      </c>
      <c r="M7276" t="s">
        <v>7402</v>
      </c>
    </row>
    <row r="7277" spans="1:13">
      <c r="A7277" s="10">
        <v>46205</v>
      </c>
      <c r="B7277" t="s">
        <v>201</v>
      </c>
      <c r="C7277" s="135" t="s">
        <v>140</v>
      </c>
      <c r="D7277">
        <v>0</v>
      </c>
      <c r="E7277">
        <v>47</v>
      </c>
      <c r="I7277">
        <v>0</v>
      </c>
      <c r="J7277">
        <v>47</v>
      </c>
      <c r="M7277" t="s">
        <v>7403</v>
      </c>
    </row>
    <row r="7278" spans="1:13">
      <c r="A7278" s="10">
        <v>46205</v>
      </c>
      <c r="B7278" t="s">
        <v>201</v>
      </c>
      <c r="C7278" s="135" t="s">
        <v>141</v>
      </c>
      <c r="D7278">
        <v>0</v>
      </c>
      <c r="E7278">
        <v>1</v>
      </c>
      <c r="I7278">
        <v>0</v>
      </c>
      <c r="J7278">
        <v>1</v>
      </c>
      <c r="M7278" t="s">
        <v>7404</v>
      </c>
    </row>
    <row r="7279" spans="1:13">
      <c r="A7279" s="10">
        <v>46205</v>
      </c>
      <c r="B7279" t="s">
        <v>201</v>
      </c>
      <c r="C7279" s="135" t="s">
        <v>143</v>
      </c>
      <c r="D7279">
        <v>0</v>
      </c>
      <c r="E7279">
        <v>20</v>
      </c>
      <c r="I7279">
        <v>0</v>
      </c>
      <c r="J7279">
        <v>11</v>
      </c>
      <c r="M7279" t="s">
        <v>7405</v>
      </c>
    </row>
    <row r="7280" spans="1:13">
      <c r="A7280" s="10">
        <v>46205</v>
      </c>
      <c r="B7280" t="s">
        <v>201</v>
      </c>
      <c r="C7280" s="135" t="s">
        <v>145</v>
      </c>
      <c r="D7280">
        <v>0</v>
      </c>
      <c r="E7280">
        <v>47</v>
      </c>
      <c r="I7280">
        <v>0</v>
      </c>
      <c r="J7280">
        <v>40</v>
      </c>
      <c r="M7280" t="s">
        <v>7406</v>
      </c>
    </row>
    <row r="7281" spans="1:13">
      <c r="A7281" s="10">
        <v>46205</v>
      </c>
      <c r="B7281" t="s">
        <v>201</v>
      </c>
      <c r="C7281" s="135" t="s">
        <v>147</v>
      </c>
      <c r="D7281">
        <v>0</v>
      </c>
      <c r="E7281">
        <v>46</v>
      </c>
      <c r="I7281">
        <v>0</v>
      </c>
      <c r="J7281">
        <v>44</v>
      </c>
      <c r="M7281" t="s">
        <v>7407</v>
      </c>
    </row>
    <row r="7282" spans="1:13">
      <c r="A7282" s="10">
        <v>46205</v>
      </c>
      <c r="B7282" t="s">
        <v>201</v>
      </c>
      <c r="C7282" t="s">
        <v>302</v>
      </c>
      <c r="D7282">
        <v>3</v>
      </c>
      <c r="E7282">
        <v>0</v>
      </c>
      <c r="I7282">
        <v>1</v>
      </c>
      <c r="M7282" t="s">
        <v>7408</v>
      </c>
    </row>
    <row r="7283" spans="1:13">
      <c r="A7283" s="10">
        <v>46205</v>
      </c>
      <c r="B7283" t="s">
        <v>201</v>
      </c>
      <c r="C7283" t="s">
        <v>150</v>
      </c>
      <c r="D7283">
        <v>2</v>
      </c>
      <c r="E7283">
        <v>0</v>
      </c>
      <c r="I7283">
        <v>3</v>
      </c>
      <c r="M7283" t="s">
        <v>7409</v>
      </c>
    </row>
    <row r="7284" spans="1:13">
      <c r="A7284" s="10">
        <v>46205</v>
      </c>
      <c r="B7284" t="s">
        <v>201</v>
      </c>
      <c r="C7284" t="s">
        <v>151</v>
      </c>
      <c r="D7284">
        <v>2</v>
      </c>
      <c r="E7284">
        <v>0</v>
      </c>
      <c r="I7284">
        <v>2</v>
      </c>
      <c r="M7284" t="s">
        <v>7410</v>
      </c>
    </row>
    <row r="7285" spans="1:13">
      <c r="A7285" s="10">
        <v>46205</v>
      </c>
      <c r="B7285" t="s">
        <v>201</v>
      </c>
      <c r="C7285" t="s">
        <v>152</v>
      </c>
      <c r="D7285">
        <v>2</v>
      </c>
      <c r="E7285">
        <v>0</v>
      </c>
      <c r="I7285">
        <v>2</v>
      </c>
      <c r="M7285" t="s">
        <v>7411</v>
      </c>
    </row>
    <row r="7286" spans="1:13">
      <c r="A7286" s="10">
        <v>46205</v>
      </c>
      <c r="B7286" t="s">
        <v>201</v>
      </c>
      <c r="C7286" t="s">
        <v>153</v>
      </c>
      <c r="D7286">
        <v>2</v>
      </c>
      <c r="E7286">
        <v>0</v>
      </c>
      <c r="I7286">
        <v>2</v>
      </c>
      <c r="M7286" t="s">
        <v>7412</v>
      </c>
    </row>
    <row r="7287" spans="1:13">
      <c r="A7287" s="10">
        <v>46205</v>
      </c>
      <c r="B7287" t="s">
        <v>201</v>
      </c>
      <c r="C7287" t="s">
        <v>308</v>
      </c>
      <c r="D7287">
        <v>0</v>
      </c>
      <c r="E7287">
        <v>3</v>
      </c>
      <c r="I7287">
        <v>0</v>
      </c>
      <c r="J7287">
        <v>2</v>
      </c>
      <c r="M7287" t="s">
        <v>7413</v>
      </c>
    </row>
    <row r="7288" spans="1:13">
      <c r="A7288" s="10">
        <v>46205</v>
      </c>
      <c r="B7288" t="s">
        <v>201</v>
      </c>
      <c r="C7288" t="s">
        <v>310</v>
      </c>
      <c r="D7288">
        <v>0</v>
      </c>
      <c r="E7288">
        <v>2</v>
      </c>
      <c r="I7288">
        <v>0</v>
      </c>
      <c r="J7288">
        <v>2</v>
      </c>
      <c r="M7288" t="s">
        <v>7414</v>
      </c>
    </row>
    <row r="7289" spans="1:13">
      <c r="A7289" s="10">
        <v>46205</v>
      </c>
      <c r="B7289" t="s">
        <v>201</v>
      </c>
      <c r="C7289" t="s">
        <v>312</v>
      </c>
      <c r="D7289">
        <v>0</v>
      </c>
      <c r="E7289">
        <v>3</v>
      </c>
      <c r="I7289">
        <v>0</v>
      </c>
      <c r="J7289">
        <v>3</v>
      </c>
      <c r="M7289" t="s">
        <v>7415</v>
      </c>
    </row>
    <row r="7290" spans="1:13">
      <c r="A7290" s="10">
        <v>46205</v>
      </c>
      <c r="B7290" t="s">
        <v>201</v>
      </c>
      <c r="C7290" t="s">
        <v>314</v>
      </c>
      <c r="D7290">
        <v>1</v>
      </c>
      <c r="E7290">
        <v>0</v>
      </c>
      <c r="I7290">
        <v>1</v>
      </c>
      <c r="M7290" t="s">
        <v>7416</v>
      </c>
    </row>
    <row r="7291" spans="1:13">
      <c r="A7291" s="10">
        <v>46205</v>
      </c>
      <c r="B7291" t="s">
        <v>201</v>
      </c>
      <c r="C7291" t="s">
        <v>316</v>
      </c>
      <c r="D7291">
        <v>1</v>
      </c>
      <c r="E7291">
        <v>0</v>
      </c>
      <c r="I7291">
        <v>1</v>
      </c>
      <c r="M7291" t="s">
        <v>7417</v>
      </c>
    </row>
    <row r="7292" spans="1:13">
      <c r="A7292" s="10">
        <v>46205</v>
      </c>
      <c r="B7292" t="s">
        <v>201</v>
      </c>
      <c r="C7292" t="s">
        <v>318</v>
      </c>
      <c r="D7292">
        <v>4</v>
      </c>
      <c r="E7292">
        <v>0</v>
      </c>
      <c r="I7292">
        <v>3</v>
      </c>
      <c r="M7292" t="s">
        <v>7418</v>
      </c>
    </row>
    <row r="7293" spans="1:13">
      <c r="A7293" s="10">
        <v>46205</v>
      </c>
      <c r="B7293" t="s">
        <v>201</v>
      </c>
      <c r="C7293" t="s">
        <v>320</v>
      </c>
      <c r="D7293">
        <v>2</v>
      </c>
      <c r="E7293">
        <v>0</v>
      </c>
      <c r="I7293">
        <v>2</v>
      </c>
      <c r="M7293" t="s">
        <v>7419</v>
      </c>
    </row>
    <row r="7294" spans="1:13">
      <c r="A7294" s="10">
        <v>46205</v>
      </c>
      <c r="B7294" t="s">
        <v>201</v>
      </c>
      <c r="C7294" t="s">
        <v>322</v>
      </c>
      <c r="D7294">
        <v>2</v>
      </c>
      <c r="E7294">
        <v>0</v>
      </c>
      <c r="I7294">
        <v>2</v>
      </c>
      <c r="M7294" t="s">
        <v>7420</v>
      </c>
    </row>
    <row r="7295" spans="1:13">
      <c r="A7295" s="10">
        <v>46205</v>
      </c>
      <c r="B7295" t="s">
        <v>201</v>
      </c>
      <c r="C7295" s="135" t="s">
        <v>168</v>
      </c>
      <c r="D7295">
        <v>1</v>
      </c>
      <c r="E7295">
        <v>0</v>
      </c>
      <c r="I7295">
        <v>1</v>
      </c>
      <c r="M7295" t="s">
        <v>7421</v>
      </c>
    </row>
    <row r="7296" spans="1:13">
      <c r="A7296" s="10">
        <v>46205</v>
      </c>
      <c r="B7296" t="s">
        <v>201</v>
      </c>
      <c r="C7296" s="135" t="s">
        <v>170</v>
      </c>
      <c r="D7296">
        <v>1</v>
      </c>
      <c r="E7296">
        <v>0</v>
      </c>
      <c r="I7296">
        <v>1</v>
      </c>
      <c r="M7296" t="s">
        <v>7422</v>
      </c>
    </row>
    <row r="7297" spans="1:13">
      <c r="A7297" s="10">
        <v>46205</v>
      </c>
      <c r="B7297" t="s">
        <v>201</v>
      </c>
      <c r="C7297" s="135" t="s">
        <v>171</v>
      </c>
      <c r="D7297">
        <v>2</v>
      </c>
      <c r="E7297">
        <v>0</v>
      </c>
      <c r="I7297">
        <v>2</v>
      </c>
      <c r="M7297" t="s">
        <v>7423</v>
      </c>
    </row>
    <row r="7298" spans="1:13">
      <c r="A7298" s="10">
        <v>46205</v>
      </c>
      <c r="B7298" t="s">
        <v>201</v>
      </c>
      <c r="C7298" s="135" t="s">
        <v>172</v>
      </c>
      <c r="D7298">
        <v>1</v>
      </c>
      <c r="E7298">
        <v>0</v>
      </c>
      <c r="I7298">
        <v>1</v>
      </c>
      <c r="M7298" t="s">
        <v>7424</v>
      </c>
    </row>
    <row r="7299" spans="1:13">
      <c r="A7299" s="10">
        <v>46205</v>
      </c>
      <c r="B7299" t="s">
        <v>201</v>
      </c>
      <c r="C7299" s="135" t="s">
        <v>173</v>
      </c>
      <c r="D7299">
        <v>0</v>
      </c>
      <c r="E7299">
        <v>0</v>
      </c>
      <c r="I7299">
        <v>0</v>
      </c>
      <c r="M7299" t="s">
        <v>7425</v>
      </c>
    </row>
    <row r="7300" spans="1:13">
      <c r="A7300" s="10">
        <v>46205</v>
      </c>
      <c r="B7300" t="s">
        <v>201</v>
      </c>
      <c r="C7300" t="s">
        <v>176</v>
      </c>
      <c r="D7300">
        <v>0</v>
      </c>
      <c r="E7300">
        <v>21</v>
      </c>
      <c r="I7300">
        <v>0</v>
      </c>
      <c r="J7300">
        <v>21</v>
      </c>
      <c r="M7300" t="s">
        <v>7426</v>
      </c>
    </row>
    <row r="7301" spans="1:13">
      <c r="A7301" s="10">
        <v>46205</v>
      </c>
      <c r="B7301" t="s">
        <v>201</v>
      </c>
      <c r="C7301" t="s">
        <v>178</v>
      </c>
      <c r="D7301">
        <v>0</v>
      </c>
      <c r="E7301">
        <v>21</v>
      </c>
      <c r="I7301">
        <v>0</v>
      </c>
      <c r="J7301">
        <v>21</v>
      </c>
      <c r="M7301" t="s">
        <v>7427</v>
      </c>
    </row>
    <row r="7302" spans="1:13">
      <c r="A7302" s="10">
        <v>46205</v>
      </c>
      <c r="B7302" t="s">
        <v>201</v>
      </c>
      <c r="C7302" t="s">
        <v>179</v>
      </c>
      <c r="D7302">
        <v>0</v>
      </c>
      <c r="E7302">
        <v>15</v>
      </c>
      <c r="I7302">
        <v>0</v>
      </c>
      <c r="J7302">
        <v>15</v>
      </c>
      <c r="M7302" t="s">
        <v>7428</v>
      </c>
    </row>
    <row r="7303" spans="1:13">
      <c r="A7303" s="10">
        <v>46205</v>
      </c>
      <c r="B7303" t="s">
        <v>201</v>
      </c>
      <c r="C7303" t="s">
        <v>180</v>
      </c>
      <c r="D7303">
        <v>0</v>
      </c>
      <c r="E7303">
        <v>21</v>
      </c>
      <c r="H7303">
        <v>10</v>
      </c>
      <c r="I7303">
        <v>0</v>
      </c>
      <c r="J7303">
        <v>21</v>
      </c>
      <c r="M7303" t="s">
        <v>7429</v>
      </c>
    </row>
    <row r="7304" spans="1:13">
      <c r="A7304" s="10">
        <v>46205</v>
      </c>
      <c r="B7304" t="s">
        <v>201</v>
      </c>
      <c r="C7304" s="135" t="s">
        <v>182</v>
      </c>
      <c r="D7304">
        <v>1</v>
      </c>
      <c r="E7304">
        <v>150</v>
      </c>
      <c r="I7304">
        <v>1</v>
      </c>
      <c r="J7304">
        <v>150</v>
      </c>
      <c r="M7304" t="s">
        <v>7430</v>
      </c>
    </row>
    <row r="7305" spans="1:13">
      <c r="A7305" s="10">
        <v>46205</v>
      </c>
      <c r="B7305" t="s">
        <v>201</v>
      </c>
      <c r="C7305" s="135" t="s">
        <v>184</v>
      </c>
      <c r="D7305">
        <v>2</v>
      </c>
      <c r="E7305">
        <v>55</v>
      </c>
      <c r="I7305">
        <v>2</v>
      </c>
      <c r="J7305">
        <v>55</v>
      </c>
      <c r="M7305" t="s">
        <v>7431</v>
      </c>
    </row>
    <row r="7306" spans="1:13">
      <c r="A7306" s="10">
        <v>46205</v>
      </c>
      <c r="B7306" t="s">
        <v>201</v>
      </c>
      <c r="C7306" s="135" t="s">
        <v>185</v>
      </c>
      <c r="D7306">
        <v>1</v>
      </c>
      <c r="E7306">
        <v>26</v>
      </c>
      <c r="I7306">
        <v>1</v>
      </c>
      <c r="J7306">
        <v>26</v>
      </c>
      <c r="M7306" t="s">
        <v>7432</v>
      </c>
    </row>
    <row r="7307" spans="1:13">
      <c r="A7307" s="10">
        <v>46205</v>
      </c>
      <c r="B7307" t="s">
        <v>201</v>
      </c>
      <c r="C7307" s="135" t="s">
        <v>186</v>
      </c>
      <c r="D7307">
        <v>1</v>
      </c>
      <c r="E7307">
        <v>500</v>
      </c>
      <c r="I7307">
        <v>1</v>
      </c>
      <c r="J7307">
        <v>500</v>
      </c>
      <c r="M7307" t="s">
        <v>7433</v>
      </c>
    </row>
    <row r="7308" spans="1:13">
      <c r="A7308" s="10">
        <v>46205</v>
      </c>
      <c r="B7308" t="s">
        <v>201</v>
      </c>
      <c r="C7308" t="s">
        <v>337</v>
      </c>
      <c r="D7308">
        <v>2</v>
      </c>
      <c r="E7308">
        <v>251</v>
      </c>
      <c r="I7308">
        <v>2</v>
      </c>
      <c r="J7308">
        <v>228</v>
      </c>
      <c r="M7308" t="s">
        <v>7434</v>
      </c>
    </row>
    <row r="7309" spans="1:13">
      <c r="A7309" s="10">
        <v>46205</v>
      </c>
      <c r="B7309" t="s">
        <v>201</v>
      </c>
      <c r="C7309" t="s">
        <v>339</v>
      </c>
      <c r="D7309">
        <v>0</v>
      </c>
      <c r="E7309">
        <v>0</v>
      </c>
      <c r="I7309">
        <v>0</v>
      </c>
      <c r="J7309">
        <v>0</v>
      </c>
      <c r="M7309" t="s">
        <v>7435</v>
      </c>
    </row>
    <row r="7310" spans="1:13">
      <c r="A7310" s="10">
        <v>46205</v>
      </c>
      <c r="B7310" t="s">
        <v>201</v>
      </c>
      <c r="C7310" s="135" t="s">
        <v>191</v>
      </c>
      <c r="D7310">
        <v>1</v>
      </c>
      <c r="E7310">
        <v>382</v>
      </c>
      <c r="I7310">
        <v>1</v>
      </c>
      <c r="J7310">
        <v>361</v>
      </c>
      <c r="M7310" t="s">
        <v>7436</v>
      </c>
    </row>
    <row r="7311" spans="1:13">
      <c r="A7311" s="10">
        <v>46205</v>
      </c>
      <c r="B7311" t="s">
        <v>201</v>
      </c>
      <c r="C7311" s="135" t="s">
        <v>193</v>
      </c>
      <c r="D7311">
        <v>0</v>
      </c>
      <c r="E7311">
        <v>415</v>
      </c>
      <c r="I7311">
        <v>0</v>
      </c>
      <c r="J7311">
        <v>371</v>
      </c>
      <c r="M7311" t="s">
        <v>7437</v>
      </c>
    </row>
    <row r="7312" spans="1:13">
      <c r="A7312" s="10">
        <v>46205</v>
      </c>
      <c r="B7312" t="s">
        <v>201</v>
      </c>
      <c r="C7312" s="135" t="s">
        <v>194</v>
      </c>
      <c r="D7312">
        <v>1</v>
      </c>
      <c r="E7312">
        <v>50</v>
      </c>
      <c r="I7312">
        <v>1</v>
      </c>
      <c r="J7312">
        <v>44</v>
      </c>
      <c r="M7312" t="s">
        <v>7438</v>
      </c>
    </row>
    <row r="7313" spans="1:13">
      <c r="A7313" s="10">
        <v>46205</v>
      </c>
      <c r="B7313" t="s">
        <v>201</v>
      </c>
      <c r="C7313" s="135" t="s">
        <v>196</v>
      </c>
      <c r="D7313">
        <v>0</v>
      </c>
      <c r="E7313">
        <v>824</v>
      </c>
      <c r="I7313">
        <v>0</v>
      </c>
      <c r="J7313">
        <v>785</v>
      </c>
      <c r="M7313" t="s">
        <v>7439</v>
      </c>
    </row>
    <row r="7314" spans="1:13">
      <c r="A7314" s="10">
        <v>46205</v>
      </c>
      <c r="B7314" t="s">
        <v>201</v>
      </c>
      <c r="C7314" s="135" t="s">
        <v>199</v>
      </c>
      <c r="D7314">
        <v>0</v>
      </c>
      <c r="E7314">
        <v>539</v>
      </c>
      <c r="I7314">
        <v>0</v>
      </c>
      <c r="J7314">
        <v>519</v>
      </c>
      <c r="M7314" t="s">
        <v>7440</v>
      </c>
    </row>
    <row r="7315" spans="1:13">
      <c r="A7315" s="10">
        <v>46205</v>
      </c>
      <c r="B7315" t="s">
        <v>201</v>
      </c>
      <c r="C7315" s="135" t="s">
        <v>200</v>
      </c>
      <c r="D7315">
        <v>0</v>
      </c>
      <c r="E7315">
        <v>546</v>
      </c>
      <c r="I7315">
        <v>0</v>
      </c>
      <c r="J7315">
        <v>527</v>
      </c>
      <c r="M7315" t="s">
        <v>7441</v>
      </c>
    </row>
    <row r="7316" spans="1:13">
      <c r="A7316" s="10">
        <v>46205</v>
      </c>
      <c r="B7316" t="s">
        <v>201</v>
      </c>
      <c r="C7316" s="135" t="s">
        <v>202</v>
      </c>
      <c r="D7316">
        <v>0</v>
      </c>
      <c r="E7316">
        <v>824</v>
      </c>
      <c r="I7316">
        <v>0</v>
      </c>
      <c r="J7316">
        <v>470</v>
      </c>
      <c r="M7316" t="s">
        <v>7442</v>
      </c>
    </row>
    <row r="7317" spans="1:13">
      <c r="A7317" s="10">
        <v>46205</v>
      </c>
      <c r="B7317" t="s">
        <v>201</v>
      </c>
      <c r="C7317" t="s">
        <v>103</v>
      </c>
      <c r="D7317">
        <v>0</v>
      </c>
      <c r="E7317">
        <v>3</v>
      </c>
      <c r="G7317">
        <v>10</v>
      </c>
      <c r="I7317">
        <v>0</v>
      </c>
      <c r="J7317">
        <v>8</v>
      </c>
      <c r="M7317" t="s">
        <v>7443</v>
      </c>
    </row>
    <row r="7318" spans="1:13">
      <c r="A7318" s="10">
        <v>46206</v>
      </c>
      <c r="B7318" t="s">
        <v>201</v>
      </c>
      <c r="C7318" t="s">
        <v>23</v>
      </c>
      <c r="D7318">
        <v>7</v>
      </c>
      <c r="E7318">
        <v>1623</v>
      </c>
      <c r="I7318">
        <v>6</v>
      </c>
      <c r="J7318">
        <v>292</v>
      </c>
      <c r="M7318" t="s">
        <v>7444</v>
      </c>
    </row>
    <row r="7319" spans="1:13">
      <c r="A7319" s="10">
        <v>46206</v>
      </c>
      <c r="B7319" t="s">
        <v>201</v>
      </c>
      <c r="C7319" t="s">
        <v>26</v>
      </c>
      <c r="D7319">
        <v>3</v>
      </c>
      <c r="E7319">
        <v>423</v>
      </c>
      <c r="I7319">
        <v>2</v>
      </c>
      <c r="J7319">
        <v>1142</v>
      </c>
      <c r="M7319" t="s">
        <v>7445</v>
      </c>
    </row>
    <row r="7320" spans="1:13">
      <c r="A7320" s="10">
        <v>46206</v>
      </c>
      <c r="B7320" t="s">
        <v>201</v>
      </c>
      <c r="C7320" t="s">
        <v>27</v>
      </c>
      <c r="D7320">
        <v>2</v>
      </c>
      <c r="E7320">
        <v>858</v>
      </c>
      <c r="I7320">
        <v>2</v>
      </c>
      <c r="J7320">
        <v>613</v>
      </c>
      <c r="M7320" t="s">
        <v>7446</v>
      </c>
    </row>
    <row r="7321" spans="1:13">
      <c r="A7321" s="10">
        <v>46206</v>
      </c>
      <c r="B7321" t="s">
        <v>201</v>
      </c>
      <c r="C7321" t="s">
        <v>28</v>
      </c>
      <c r="D7321">
        <v>0</v>
      </c>
      <c r="E7321">
        <v>0</v>
      </c>
      <c r="I7321">
        <v>0</v>
      </c>
      <c r="J7321">
        <v>0</v>
      </c>
      <c r="M7321" t="s">
        <v>7447</v>
      </c>
    </row>
    <row r="7322" spans="1:13">
      <c r="A7322" s="10">
        <v>46206</v>
      </c>
      <c r="B7322" t="s">
        <v>201</v>
      </c>
      <c r="C7322" t="s">
        <v>29</v>
      </c>
      <c r="D7322">
        <v>1</v>
      </c>
      <c r="E7322">
        <v>450</v>
      </c>
      <c r="I7322">
        <v>0</v>
      </c>
      <c r="J7322">
        <v>1168</v>
      </c>
      <c r="M7322" t="s">
        <v>7448</v>
      </c>
    </row>
    <row r="7323" spans="1:13">
      <c r="A7323" s="10">
        <v>46206</v>
      </c>
      <c r="B7323" t="s">
        <v>201</v>
      </c>
      <c r="C7323" t="s">
        <v>30</v>
      </c>
      <c r="D7323">
        <v>0</v>
      </c>
      <c r="E7323">
        <v>809</v>
      </c>
      <c r="I7323">
        <v>0</v>
      </c>
      <c r="J7323">
        <v>793</v>
      </c>
      <c r="M7323" t="s">
        <v>7449</v>
      </c>
    </row>
    <row r="7324" spans="1:13">
      <c r="A7324" s="10">
        <v>46206</v>
      </c>
      <c r="B7324" t="s">
        <v>201</v>
      </c>
      <c r="C7324" t="s">
        <v>31</v>
      </c>
      <c r="D7324">
        <v>1</v>
      </c>
      <c r="E7324">
        <v>401</v>
      </c>
      <c r="I7324">
        <v>0</v>
      </c>
      <c r="J7324">
        <v>892</v>
      </c>
      <c r="M7324" t="s">
        <v>7450</v>
      </c>
    </row>
    <row r="7325" spans="1:13">
      <c r="A7325" s="10">
        <v>46206</v>
      </c>
      <c r="B7325" t="s">
        <v>201</v>
      </c>
      <c r="C7325" t="s">
        <v>32</v>
      </c>
      <c r="D7325">
        <v>0</v>
      </c>
      <c r="E7325">
        <v>979</v>
      </c>
      <c r="I7325">
        <v>0</v>
      </c>
      <c r="J7325">
        <v>781</v>
      </c>
      <c r="M7325" t="s">
        <v>7451</v>
      </c>
    </row>
    <row r="7326" spans="1:13">
      <c r="A7326" s="10">
        <v>46206</v>
      </c>
      <c r="B7326" t="s">
        <v>201</v>
      </c>
      <c r="C7326" t="s">
        <v>223</v>
      </c>
      <c r="D7326">
        <v>7</v>
      </c>
      <c r="E7326">
        <v>435</v>
      </c>
      <c r="I7326">
        <v>5</v>
      </c>
      <c r="J7326">
        <v>810</v>
      </c>
      <c r="M7326" t="s">
        <v>7452</v>
      </c>
    </row>
    <row r="7327" spans="1:13">
      <c r="A7327" s="10">
        <v>46206</v>
      </c>
      <c r="B7327" t="s">
        <v>201</v>
      </c>
      <c r="C7327" t="s">
        <v>35</v>
      </c>
      <c r="D7327">
        <v>7</v>
      </c>
      <c r="E7327">
        <v>0</v>
      </c>
      <c r="H7327">
        <v>2</v>
      </c>
      <c r="I7327">
        <v>5</v>
      </c>
      <c r="M7327" t="s">
        <v>7453</v>
      </c>
    </row>
    <row r="7328" spans="1:13">
      <c r="A7328" s="10">
        <v>46206</v>
      </c>
      <c r="B7328" t="s">
        <v>201</v>
      </c>
      <c r="C7328" t="s">
        <v>37</v>
      </c>
      <c r="D7328">
        <v>2</v>
      </c>
      <c r="E7328">
        <v>0</v>
      </c>
      <c r="I7328">
        <v>2</v>
      </c>
      <c r="M7328" t="s">
        <v>7454</v>
      </c>
    </row>
    <row r="7329" spans="1:13">
      <c r="A7329" s="10">
        <v>46206</v>
      </c>
      <c r="B7329" t="s">
        <v>201</v>
      </c>
      <c r="C7329" t="s">
        <v>39</v>
      </c>
      <c r="D7329">
        <v>36</v>
      </c>
      <c r="E7329">
        <v>0</v>
      </c>
      <c r="H7329">
        <v>3</v>
      </c>
      <c r="I7329">
        <v>33</v>
      </c>
      <c r="M7329" t="s">
        <v>7455</v>
      </c>
    </row>
    <row r="7330" spans="1:13">
      <c r="A7330" s="10">
        <v>46206</v>
      </c>
      <c r="B7330" t="s">
        <v>201</v>
      </c>
      <c r="C7330" t="s">
        <v>41</v>
      </c>
      <c r="D7330">
        <v>18</v>
      </c>
      <c r="E7330">
        <v>0</v>
      </c>
      <c r="H7330">
        <v>2</v>
      </c>
      <c r="I7330">
        <v>16</v>
      </c>
      <c r="M7330" t="s">
        <v>7456</v>
      </c>
    </row>
    <row r="7331" spans="1:13">
      <c r="A7331" s="10">
        <v>46206</v>
      </c>
      <c r="B7331" t="s">
        <v>201</v>
      </c>
      <c r="C7331" s="135" t="s">
        <v>44</v>
      </c>
      <c r="D7331">
        <v>4</v>
      </c>
      <c r="E7331">
        <v>8457</v>
      </c>
      <c r="I7331">
        <v>4</v>
      </c>
      <c r="J7331">
        <v>6794</v>
      </c>
      <c r="M7331" t="s">
        <v>7457</v>
      </c>
    </row>
    <row r="7332" spans="1:13">
      <c r="A7332" s="10">
        <v>46206</v>
      </c>
      <c r="B7332" t="s">
        <v>201</v>
      </c>
      <c r="C7332" t="s">
        <v>230</v>
      </c>
      <c r="D7332">
        <v>1</v>
      </c>
      <c r="E7332">
        <v>449</v>
      </c>
      <c r="I7332">
        <v>1</v>
      </c>
      <c r="J7332">
        <v>418</v>
      </c>
      <c r="M7332" t="s">
        <v>7458</v>
      </c>
    </row>
    <row r="7333" spans="1:13">
      <c r="A7333" s="10">
        <v>46206</v>
      </c>
      <c r="B7333" t="s">
        <v>201</v>
      </c>
      <c r="C7333" t="s">
        <v>232</v>
      </c>
      <c r="D7333">
        <v>5</v>
      </c>
      <c r="E7333">
        <v>0</v>
      </c>
      <c r="I7333">
        <v>5</v>
      </c>
      <c r="M7333" t="s">
        <v>7459</v>
      </c>
    </row>
    <row r="7334" spans="1:13">
      <c r="A7334" s="10">
        <v>46206</v>
      </c>
      <c r="B7334" t="s">
        <v>201</v>
      </c>
      <c r="C7334" t="s">
        <v>234</v>
      </c>
      <c r="D7334">
        <v>89</v>
      </c>
      <c r="E7334">
        <v>0</v>
      </c>
      <c r="H7334">
        <v>11</v>
      </c>
      <c r="I7334">
        <v>78</v>
      </c>
      <c r="M7334" t="s">
        <v>7460</v>
      </c>
    </row>
    <row r="7335" spans="1:13">
      <c r="A7335" s="10">
        <v>46206</v>
      </c>
      <c r="B7335" t="s">
        <v>201</v>
      </c>
      <c r="C7335" t="s">
        <v>54</v>
      </c>
      <c r="D7335">
        <v>0</v>
      </c>
      <c r="E7335">
        <v>0</v>
      </c>
      <c r="H7335">
        <v>0</v>
      </c>
      <c r="I7335">
        <v>0</v>
      </c>
      <c r="M7335" t="s">
        <v>7461</v>
      </c>
    </row>
    <row r="7336" spans="1:13">
      <c r="A7336" s="10">
        <v>46206</v>
      </c>
      <c r="B7336" t="s">
        <v>201</v>
      </c>
      <c r="C7336" t="s">
        <v>237</v>
      </c>
      <c r="D7336">
        <v>12</v>
      </c>
      <c r="E7336">
        <v>0</v>
      </c>
      <c r="H7336">
        <v>0</v>
      </c>
      <c r="I7336">
        <v>12</v>
      </c>
      <c r="M7336" t="s">
        <v>7462</v>
      </c>
    </row>
    <row r="7337" spans="1:13">
      <c r="A7337" s="10">
        <v>46206</v>
      </c>
      <c r="B7337" t="s">
        <v>201</v>
      </c>
      <c r="C7337" s="135" t="s">
        <v>58</v>
      </c>
      <c r="D7337">
        <v>5</v>
      </c>
      <c r="E7337">
        <v>0</v>
      </c>
      <c r="H7337">
        <v>2</v>
      </c>
      <c r="I7337">
        <v>3</v>
      </c>
      <c r="M7337" t="s">
        <v>7463</v>
      </c>
    </row>
    <row r="7338" spans="1:13">
      <c r="A7338" s="10">
        <v>46206</v>
      </c>
      <c r="B7338" t="s">
        <v>201</v>
      </c>
      <c r="C7338" s="135" t="s">
        <v>60</v>
      </c>
      <c r="D7338">
        <v>10</v>
      </c>
      <c r="E7338">
        <v>0</v>
      </c>
      <c r="H7338">
        <v>3</v>
      </c>
      <c r="I7338">
        <v>7</v>
      </c>
      <c r="M7338" t="s">
        <v>7464</v>
      </c>
    </row>
    <row r="7339" spans="1:13">
      <c r="A7339" s="10">
        <v>46206</v>
      </c>
      <c r="B7339" t="s">
        <v>201</v>
      </c>
      <c r="C7339" s="135" t="s">
        <v>61</v>
      </c>
      <c r="D7339">
        <v>10</v>
      </c>
      <c r="E7339">
        <v>0</v>
      </c>
      <c r="H7339">
        <v>2</v>
      </c>
      <c r="I7339">
        <v>8</v>
      </c>
      <c r="M7339" t="s">
        <v>7465</v>
      </c>
    </row>
    <row r="7340" spans="1:13">
      <c r="A7340" s="10">
        <v>46206</v>
      </c>
      <c r="B7340" t="s">
        <v>201</v>
      </c>
      <c r="C7340" s="135" t="s">
        <v>62</v>
      </c>
      <c r="D7340">
        <v>6</v>
      </c>
      <c r="E7340">
        <v>0</v>
      </c>
      <c r="H7340">
        <v>1</v>
      </c>
      <c r="I7340">
        <v>5</v>
      </c>
      <c r="M7340" t="s">
        <v>7466</v>
      </c>
    </row>
    <row r="7341" spans="1:13">
      <c r="A7341" s="10">
        <v>46206</v>
      </c>
      <c r="B7341" t="s">
        <v>201</v>
      </c>
      <c r="C7341" s="135" t="s">
        <v>63</v>
      </c>
      <c r="D7341">
        <v>9</v>
      </c>
      <c r="E7341">
        <v>0</v>
      </c>
      <c r="H7341">
        <v>3</v>
      </c>
      <c r="I7341">
        <v>6</v>
      </c>
      <c r="M7341" t="s">
        <v>7467</v>
      </c>
    </row>
    <row r="7342" spans="1:13">
      <c r="A7342" s="10">
        <v>46206</v>
      </c>
      <c r="B7342" t="s">
        <v>201</v>
      </c>
      <c r="C7342" s="135" t="s">
        <v>64</v>
      </c>
      <c r="D7342">
        <v>3</v>
      </c>
      <c r="E7342">
        <v>0</v>
      </c>
      <c r="H7342">
        <v>0</v>
      </c>
      <c r="I7342">
        <v>3</v>
      </c>
      <c r="M7342" t="s">
        <v>7468</v>
      </c>
    </row>
    <row r="7343" spans="1:13">
      <c r="A7343" s="10">
        <v>46206</v>
      </c>
      <c r="B7343" t="s">
        <v>201</v>
      </c>
      <c r="C7343" t="s">
        <v>66</v>
      </c>
      <c r="D7343">
        <v>3</v>
      </c>
      <c r="E7343">
        <v>0</v>
      </c>
      <c r="H7343">
        <v>1</v>
      </c>
      <c r="I7343">
        <v>2</v>
      </c>
      <c r="M7343" t="s">
        <v>7469</v>
      </c>
    </row>
    <row r="7344" spans="1:13">
      <c r="A7344" s="10">
        <v>46206</v>
      </c>
      <c r="B7344" t="s">
        <v>201</v>
      </c>
      <c r="C7344" t="s">
        <v>67</v>
      </c>
      <c r="D7344">
        <v>5</v>
      </c>
      <c r="E7344">
        <v>0</v>
      </c>
      <c r="H7344">
        <v>0</v>
      </c>
      <c r="I7344">
        <v>5</v>
      </c>
      <c r="M7344" t="s">
        <v>7470</v>
      </c>
    </row>
    <row r="7345" spans="1:13">
      <c r="A7345" s="10">
        <v>46206</v>
      </c>
      <c r="B7345" t="s">
        <v>201</v>
      </c>
      <c r="C7345" t="s">
        <v>68</v>
      </c>
      <c r="D7345">
        <v>1</v>
      </c>
      <c r="E7345">
        <v>0</v>
      </c>
      <c r="H7345">
        <v>1</v>
      </c>
      <c r="I7345">
        <v>0</v>
      </c>
      <c r="M7345" t="s">
        <v>7471</v>
      </c>
    </row>
    <row r="7346" spans="1:13">
      <c r="A7346" s="10">
        <v>46206</v>
      </c>
      <c r="B7346" t="s">
        <v>201</v>
      </c>
      <c r="C7346" t="s">
        <v>71</v>
      </c>
      <c r="D7346">
        <v>2</v>
      </c>
      <c r="E7346">
        <v>43</v>
      </c>
      <c r="I7346">
        <v>1</v>
      </c>
      <c r="J7346">
        <v>658</v>
      </c>
      <c r="M7346" t="s">
        <v>7472</v>
      </c>
    </row>
    <row r="7347" spans="1:13">
      <c r="A7347" s="10">
        <v>46206</v>
      </c>
      <c r="B7347" t="s">
        <v>201</v>
      </c>
      <c r="C7347" t="s">
        <v>73</v>
      </c>
      <c r="D7347">
        <v>2</v>
      </c>
      <c r="E7347">
        <v>488</v>
      </c>
      <c r="I7347">
        <v>2</v>
      </c>
      <c r="J7347">
        <v>408</v>
      </c>
      <c r="M7347" t="s">
        <v>7473</v>
      </c>
    </row>
    <row r="7348" spans="1:13">
      <c r="A7348" s="10">
        <v>46206</v>
      </c>
      <c r="B7348" t="s">
        <v>201</v>
      </c>
      <c r="C7348" t="s">
        <v>75</v>
      </c>
      <c r="D7348">
        <v>1</v>
      </c>
      <c r="E7348">
        <v>185</v>
      </c>
      <c r="H7348">
        <v>0</v>
      </c>
      <c r="I7348">
        <v>0</v>
      </c>
      <c r="J7348">
        <v>426</v>
      </c>
      <c r="M7348" t="s">
        <v>7474</v>
      </c>
    </row>
    <row r="7349" spans="1:13">
      <c r="A7349" s="10">
        <v>46206</v>
      </c>
      <c r="B7349" t="s">
        <v>201</v>
      </c>
      <c r="C7349" t="s">
        <v>77</v>
      </c>
      <c r="D7349">
        <v>1</v>
      </c>
      <c r="E7349">
        <v>789</v>
      </c>
      <c r="H7349">
        <v>0</v>
      </c>
      <c r="I7349">
        <v>0</v>
      </c>
      <c r="J7349">
        <v>1161</v>
      </c>
      <c r="M7349" t="s">
        <v>7475</v>
      </c>
    </row>
    <row r="7350" spans="1:13">
      <c r="A7350" s="10">
        <v>46206</v>
      </c>
      <c r="B7350" t="s">
        <v>201</v>
      </c>
      <c r="C7350" t="s">
        <v>79</v>
      </c>
      <c r="D7350">
        <v>1</v>
      </c>
      <c r="E7350">
        <v>1508</v>
      </c>
      <c r="I7350">
        <v>1</v>
      </c>
      <c r="J7350">
        <v>1231</v>
      </c>
      <c r="M7350" t="s">
        <v>7476</v>
      </c>
    </row>
    <row r="7351" spans="1:13">
      <c r="A7351" s="10">
        <v>46206</v>
      </c>
      <c r="B7351" t="s">
        <v>201</v>
      </c>
      <c r="C7351" t="s">
        <v>81</v>
      </c>
      <c r="D7351">
        <v>0</v>
      </c>
      <c r="E7351">
        <v>610</v>
      </c>
      <c r="I7351">
        <v>0</v>
      </c>
      <c r="J7351">
        <v>596</v>
      </c>
      <c r="M7351" t="s">
        <v>7477</v>
      </c>
    </row>
    <row r="7352" spans="1:13">
      <c r="A7352" s="10">
        <v>46206</v>
      </c>
      <c r="B7352" t="s">
        <v>201</v>
      </c>
      <c r="C7352" t="s">
        <v>83</v>
      </c>
      <c r="D7352">
        <v>1</v>
      </c>
      <c r="E7352">
        <v>363</v>
      </c>
      <c r="I7352">
        <v>1</v>
      </c>
      <c r="J7352">
        <v>347</v>
      </c>
      <c r="M7352" t="s">
        <v>7478</v>
      </c>
    </row>
    <row r="7353" spans="1:13">
      <c r="A7353" s="10">
        <v>46206</v>
      </c>
      <c r="B7353" t="s">
        <v>201</v>
      </c>
      <c r="C7353" t="s">
        <v>84</v>
      </c>
      <c r="D7353">
        <v>2</v>
      </c>
      <c r="E7353">
        <v>272</v>
      </c>
      <c r="I7353">
        <v>2</v>
      </c>
      <c r="J7353">
        <v>239</v>
      </c>
      <c r="M7353" t="s">
        <v>7479</v>
      </c>
    </row>
    <row r="7354" spans="1:13">
      <c r="A7354" s="10">
        <v>46206</v>
      </c>
      <c r="B7354" t="s">
        <v>201</v>
      </c>
      <c r="C7354" t="s">
        <v>85</v>
      </c>
      <c r="D7354">
        <v>0</v>
      </c>
      <c r="E7354">
        <v>151</v>
      </c>
      <c r="I7354">
        <v>0</v>
      </c>
      <c r="J7354">
        <v>141</v>
      </c>
      <c r="M7354" t="s">
        <v>7480</v>
      </c>
    </row>
    <row r="7355" spans="1:13">
      <c r="A7355" s="10">
        <v>46206</v>
      </c>
      <c r="B7355" t="s">
        <v>201</v>
      </c>
      <c r="C7355" t="s">
        <v>87</v>
      </c>
      <c r="D7355">
        <v>1</v>
      </c>
      <c r="E7355">
        <v>424</v>
      </c>
      <c r="I7355">
        <v>1</v>
      </c>
      <c r="J7355">
        <v>380</v>
      </c>
      <c r="M7355" t="s">
        <v>7481</v>
      </c>
    </row>
    <row r="7356" spans="1:13">
      <c r="A7356" s="10">
        <v>46206</v>
      </c>
      <c r="B7356" t="s">
        <v>201</v>
      </c>
      <c r="C7356" t="s">
        <v>88</v>
      </c>
      <c r="D7356">
        <v>1</v>
      </c>
      <c r="E7356">
        <v>232</v>
      </c>
      <c r="I7356">
        <v>1</v>
      </c>
      <c r="J7356">
        <v>233</v>
      </c>
      <c r="M7356" t="s">
        <v>7482</v>
      </c>
    </row>
    <row r="7357" spans="1:13">
      <c r="A7357" s="10">
        <v>46206</v>
      </c>
      <c r="B7357" t="s">
        <v>201</v>
      </c>
      <c r="C7357" t="s">
        <v>89</v>
      </c>
      <c r="D7357">
        <v>1</v>
      </c>
      <c r="E7357">
        <v>211</v>
      </c>
      <c r="I7357">
        <v>1</v>
      </c>
      <c r="J7357">
        <v>193</v>
      </c>
      <c r="M7357" t="s">
        <v>7483</v>
      </c>
    </row>
    <row r="7358" spans="1:13">
      <c r="A7358" s="10">
        <v>46206</v>
      </c>
      <c r="B7358" t="s">
        <v>201</v>
      </c>
      <c r="C7358" t="s">
        <v>90</v>
      </c>
      <c r="D7358">
        <v>1</v>
      </c>
      <c r="E7358">
        <v>291</v>
      </c>
      <c r="I7358">
        <v>0</v>
      </c>
      <c r="J7358">
        <v>1241</v>
      </c>
      <c r="M7358" t="s">
        <v>7484</v>
      </c>
    </row>
    <row r="7359" spans="1:13">
      <c r="A7359" s="10">
        <v>46206</v>
      </c>
      <c r="B7359" t="s">
        <v>201</v>
      </c>
      <c r="C7359" t="s">
        <v>92</v>
      </c>
      <c r="D7359">
        <v>1</v>
      </c>
      <c r="E7359">
        <v>892</v>
      </c>
      <c r="I7359">
        <v>1</v>
      </c>
      <c r="J7359">
        <v>771</v>
      </c>
      <c r="M7359" t="s">
        <v>7485</v>
      </c>
    </row>
    <row r="7360" spans="1:13">
      <c r="A7360" s="10">
        <v>46206</v>
      </c>
      <c r="B7360" t="s">
        <v>201</v>
      </c>
      <c r="C7360" t="s">
        <v>94</v>
      </c>
      <c r="D7360">
        <v>4</v>
      </c>
      <c r="E7360">
        <v>476</v>
      </c>
      <c r="I7360">
        <v>2</v>
      </c>
      <c r="J7360">
        <v>575</v>
      </c>
      <c r="M7360" t="s">
        <v>7486</v>
      </c>
    </row>
    <row r="7361" spans="1:13">
      <c r="A7361" s="10">
        <v>46206</v>
      </c>
      <c r="B7361" t="s">
        <v>201</v>
      </c>
      <c r="C7361" t="s">
        <v>96</v>
      </c>
      <c r="D7361">
        <v>0</v>
      </c>
      <c r="E7361">
        <v>0</v>
      </c>
      <c r="I7361">
        <v>0</v>
      </c>
      <c r="J7361">
        <v>0</v>
      </c>
      <c r="M7361" t="s">
        <v>7487</v>
      </c>
    </row>
    <row r="7362" spans="1:13">
      <c r="A7362" s="10">
        <v>46206</v>
      </c>
      <c r="B7362" t="s">
        <v>201</v>
      </c>
      <c r="C7362" t="s">
        <v>98</v>
      </c>
      <c r="D7362">
        <v>2</v>
      </c>
      <c r="E7362">
        <v>374</v>
      </c>
      <c r="I7362">
        <v>2</v>
      </c>
      <c r="J7362">
        <v>213</v>
      </c>
      <c r="M7362" t="s">
        <v>7488</v>
      </c>
    </row>
    <row r="7363" spans="1:13">
      <c r="A7363" s="10">
        <v>46206</v>
      </c>
      <c r="B7363" t="s">
        <v>201</v>
      </c>
      <c r="C7363" t="s">
        <v>203</v>
      </c>
      <c r="D7363">
        <v>3</v>
      </c>
      <c r="E7363">
        <v>0</v>
      </c>
      <c r="I7363">
        <v>3</v>
      </c>
      <c r="J7363">
        <v>0</v>
      </c>
      <c r="M7363" t="s">
        <v>7489</v>
      </c>
    </row>
    <row r="7364" spans="1:13">
      <c r="A7364" s="10">
        <v>46206</v>
      </c>
      <c r="B7364" t="s">
        <v>201</v>
      </c>
      <c r="C7364" t="s">
        <v>100</v>
      </c>
      <c r="D7364">
        <v>0</v>
      </c>
      <c r="E7364">
        <v>0</v>
      </c>
      <c r="I7364">
        <v>0</v>
      </c>
      <c r="J7364">
        <v>0</v>
      </c>
      <c r="M7364" t="s">
        <v>7490</v>
      </c>
    </row>
    <row r="7365" spans="1:13">
      <c r="A7365" s="10">
        <v>46206</v>
      </c>
      <c r="B7365" t="s">
        <v>201</v>
      </c>
      <c r="C7365" t="s">
        <v>101</v>
      </c>
      <c r="D7365">
        <v>1</v>
      </c>
      <c r="E7365">
        <v>182</v>
      </c>
      <c r="I7365">
        <v>0</v>
      </c>
      <c r="J7365">
        <v>612</v>
      </c>
      <c r="M7365" t="s">
        <v>7491</v>
      </c>
    </row>
    <row r="7366" spans="1:13">
      <c r="A7366" s="10">
        <v>46206</v>
      </c>
      <c r="B7366" t="s">
        <v>201</v>
      </c>
      <c r="C7366" t="s">
        <v>103</v>
      </c>
      <c r="D7366">
        <v>0</v>
      </c>
      <c r="E7366">
        <v>8</v>
      </c>
      <c r="H7366">
        <v>4</v>
      </c>
      <c r="I7366">
        <v>0</v>
      </c>
      <c r="J7366">
        <v>10</v>
      </c>
      <c r="M7366" t="s">
        <v>7492</v>
      </c>
    </row>
    <row r="7367" spans="1:13">
      <c r="A7367" s="10">
        <v>46206</v>
      </c>
      <c r="B7367" t="s">
        <v>201</v>
      </c>
      <c r="C7367" t="s">
        <v>106</v>
      </c>
      <c r="D7367">
        <v>1</v>
      </c>
      <c r="E7367">
        <v>211</v>
      </c>
      <c r="I7367">
        <v>0</v>
      </c>
      <c r="J7367">
        <v>949</v>
      </c>
      <c r="M7367" t="s">
        <v>7493</v>
      </c>
    </row>
    <row r="7368" spans="1:13">
      <c r="A7368" s="10">
        <v>46206</v>
      </c>
      <c r="B7368" t="s">
        <v>201</v>
      </c>
      <c r="C7368" t="s">
        <v>108</v>
      </c>
      <c r="D7368">
        <v>1</v>
      </c>
      <c r="E7368">
        <v>548</v>
      </c>
      <c r="I7368">
        <v>1</v>
      </c>
      <c r="J7368">
        <v>485</v>
      </c>
      <c r="M7368" t="s">
        <v>7494</v>
      </c>
    </row>
    <row r="7369" spans="1:13">
      <c r="A7369" s="10">
        <v>46206</v>
      </c>
      <c r="B7369" t="s">
        <v>201</v>
      </c>
      <c r="C7369" t="s">
        <v>109</v>
      </c>
      <c r="D7369">
        <v>1</v>
      </c>
      <c r="E7369">
        <v>1039</v>
      </c>
      <c r="I7369">
        <v>1</v>
      </c>
      <c r="J7369">
        <v>916</v>
      </c>
      <c r="M7369" t="s">
        <v>7495</v>
      </c>
    </row>
    <row r="7370" spans="1:13">
      <c r="A7370" s="10">
        <v>46206</v>
      </c>
      <c r="B7370" t="s">
        <v>201</v>
      </c>
      <c r="C7370" t="s">
        <v>112</v>
      </c>
      <c r="D7370">
        <v>1</v>
      </c>
      <c r="E7370">
        <v>41</v>
      </c>
      <c r="I7370">
        <v>1</v>
      </c>
      <c r="J7370">
        <v>36</v>
      </c>
      <c r="M7370" t="s">
        <v>7496</v>
      </c>
    </row>
    <row r="7371" spans="1:13">
      <c r="A7371" s="10">
        <v>46206</v>
      </c>
      <c r="B7371" t="s">
        <v>201</v>
      </c>
      <c r="C7371" t="s">
        <v>114</v>
      </c>
      <c r="D7371">
        <v>2</v>
      </c>
      <c r="E7371">
        <v>8</v>
      </c>
      <c r="I7371">
        <v>1</v>
      </c>
      <c r="J7371">
        <v>40</v>
      </c>
      <c r="M7371" t="s">
        <v>7497</v>
      </c>
    </row>
    <row r="7372" spans="1:13">
      <c r="A7372" s="10">
        <v>46206</v>
      </c>
      <c r="B7372" t="s">
        <v>201</v>
      </c>
      <c r="C7372" t="s">
        <v>115</v>
      </c>
      <c r="D7372">
        <v>1</v>
      </c>
      <c r="E7372">
        <v>15</v>
      </c>
      <c r="I7372">
        <v>1</v>
      </c>
      <c r="J7372">
        <v>9</v>
      </c>
      <c r="M7372" t="s">
        <v>7498</v>
      </c>
    </row>
    <row r="7373" spans="1:13">
      <c r="A7373" s="10">
        <v>46206</v>
      </c>
      <c r="B7373" t="s">
        <v>201</v>
      </c>
      <c r="C7373" t="s">
        <v>116</v>
      </c>
      <c r="D7373">
        <v>2</v>
      </c>
      <c r="E7373">
        <v>45</v>
      </c>
      <c r="I7373">
        <v>1</v>
      </c>
      <c r="J7373">
        <v>29</v>
      </c>
      <c r="M7373" t="s">
        <v>7499</v>
      </c>
    </row>
    <row r="7374" spans="1:13">
      <c r="A7374" s="10">
        <v>46206</v>
      </c>
      <c r="B7374" t="s">
        <v>201</v>
      </c>
      <c r="C7374" t="s">
        <v>119</v>
      </c>
      <c r="D7374">
        <v>4</v>
      </c>
      <c r="E7374">
        <v>0</v>
      </c>
      <c r="I7374">
        <v>4</v>
      </c>
      <c r="M7374" t="s">
        <v>7500</v>
      </c>
    </row>
    <row r="7375" spans="1:13">
      <c r="A7375" s="10">
        <v>46206</v>
      </c>
      <c r="B7375" t="s">
        <v>201</v>
      </c>
      <c r="C7375" t="s">
        <v>120</v>
      </c>
      <c r="D7375">
        <v>1</v>
      </c>
      <c r="E7375">
        <v>0</v>
      </c>
      <c r="I7375">
        <v>1</v>
      </c>
      <c r="M7375" t="s">
        <v>7501</v>
      </c>
    </row>
    <row r="7376" spans="1:13">
      <c r="A7376" s="10">
        <v>46206</v>
      </c>
      <c r="B7376" t="s">
        <v>201</v>
      </c>
      <c r="C7376" t="s">
        <v>121</v>
      </c>
      <c r="D7376">
        <v>1</v>
      </c>
      <c r="E7376">
        <v>0</v>
      </c>
      <c r="I7376">
        <v>1</v>
      </c>
      <c r="M7376" t="s">
        <v>7502</v>
      </c>
    </row>
    <row r="7377" spans="1:13">
      <c r="A7377" s="10">
        <v>46206</v>
      </c>
      <c r="B7377" t="s">
        <v>201</v>
      </c>
      <c r="C7377" t="s">
        <v>123</v>
      </c>
      <c r="D7377">
        <v>2</v>
      </c>
      <c r="E7377">
        <v>0</v>
      </c>
      <c r="I7377">
        <v>2</v>
      </c>
      <c r="M7377" t="s">
        <v>7503</v>
      </c>
    </row>
    <row r="7378" spans="1:13">
      <c r="A7378" s="10">
        <v>46206</v>
      </c>
      <c r="B7378" t="s">
        <v>201</v>
      </c>
      <c r="C7378" t="s">
        <v>124</v>
      </c>
      <c r="D7378">
        <v>2</v>
      </c>
      <c r="E7378">
        <v>0</v>
      </c>
      <c r="I7378">
        <v>2</v>
      </c>
      <c r="M7378" t="s">
        <v>7504</v>
      </c>
    </row>
    <row r="7379" spans="1:13">
      <c r="A7379" s="10">
        <v>46206</v>
      </c>
      <c r="B7379" t="s">
        <v>201</v>
      </c>
      <c r="C7379" t="s">
        <v>125</v>
      </c>
      <c r="D7379">
        <v>2</v>
      </c>
      <c r="E7379">
        <v>0</v>
      </c>
      <c r="I7379">
        <v>2</v>
      </c>
      <c r="M7379" t="s">
        <v>7505</v>
      </c>
    </row>
    <row r="7380" spans="1:13">
      <c r="A7380" s="10">
        <v>46206</v>
      </c>
      <c r="B7380" t="s">
        <v>201</v>
      </c>
      <c r="C7380" t="s">
        <v>126</v>
      </c>
      <c r="D7380">
        <v>2</v>
      </c>
      <c r="E7380">
        <v>0</v>
      </c>
      <c r="I7380">
        <v>2</v>
      </c>
      <c r="M7380" t="s">
        <v>7506</v>
      </c>
    </row>
    <row r="7381" spans="1:13">
      <c r="A7381" s="10">
        <v>46206</v>
      </c>
      <c r="B7381" t="s">
        <v>201</v>
      </c>
      <c r="C7381" t="s">
        <v>128</v>
      </c>
      <c r="D7381">
        <v>1</v>
      </c>
      <c r="E7381">
        <v>0</v>
      </c>
      <c r="I7381">
        <v>1</v>
      </c>
      <c r="M7381" t="s">
        <v>7507</v>
      </c>
    </row>
    <row r="7382" spans="1:13">
      <c r="A7382" s="10">
        <v>46206</v>
      </c>
      <c r="B7382" t="s">
        <v>201</v>
      </c>
      <c r="C7382" t="s">
        <v>130</v>
      </c>
      <c r="D7382">
        <v>1</v>
      </c>
      <c r="E7382">
        <v>0</v>
      </c>
      <c r="I7382">
        <v>1</v>
      </c>
      <c r="M7382" t="s">
        <v>7508</v>
      </c>
    </row>
    <row r="7383" spans="1:13">
      <c r="A7383" s="10">
        <v>46206</v>
      </c>
      <c r="B7383" t="s">
        <v>201</v>
      </c>
      <c r="C7383" t="s">
        <v>285</v>
      </c>
      <c r="D7383">
        <v>2</v>
      </c>
      <c r="E7383">
        <v>0</v>
      </c>
      <c r="I7383">
        <v>2</v>
      </c>
      <c r="M7383" t="s">
        <v>7509</v>
      </c>
    </row>
    <row r="7384" spans="1:13">
      <c r="A7384" s="10">
        <v>46206</v>
      </c>
      <c r="B7384" t="s">
        <v>201</v>
      </c>
      <c r="C7384" t="s">
        <v>287</v>
      </c>
      <c r="D7384">
        <v>6</v>
      </c>
      <c r="E7384">
        <v>0</v>
      </c>
      <c r="I7384">
        <v>6</v>
      </c>
      <c r="M7384" t="s">
        <v>7510</v>
      </c>
    </row>
    <row r="7385" spans="1:13">
      <c r="A7385" s="10">
        <v>46206</v>
      </c>
      <c r="B7385" t="s">
        <v>201</v>
      </c>
      <c r="C7385" t="s">
        <v>289</v>
      </c>
      <c r="D7385">
        <v>2</v>
      </c>
      <c r="E7385">
        <v>0</v>
      </c>
      <c r="I7385">
        <v>2</v>
      </c>
      <c r="M7385" t="s">
        <v>7511</v>
      </c>
    </row>
    <row r="7386" spans="1:13">
      <c r="A7386" s="10">
        <v>46206</v>
      </c>
      <c r="B7386" t="s">
        <v>201</v>
      </c>
      <c r="C7386" t="s">
        <v>291</v>
      </c>
      <c r="D7386">
        <v>1</v>
      </c>
      <c r="E7386">
        <v>0</v>
      </c>
      <c r="I7386">
        <v>1</v>
      </c>
      <c r="M7386" t="s">
        <v>7512</v>
      </c>
    </row>
    <row r="7387" spans="1:13">
      <c r="A7387" s="10">
        <v>46206</v>
      </c>
      <c r="B7387" t="s">
        <v>201</v>
      </c>
      <c r="C7387" t="s">
        <v>293</v>
      </c>
      <c r="D7387">
        <v>2</v>
      </c>
      <c r="E7387">
        <v>0</v>
      </c>
      <c r="I7387">
        <v>1</v>
      </c>
      <c r="M7387" t="s">
        <v>7513</v>
      </c>
    </row>
    <row r="7388" spans="1:13">
      <c r="A7388" s="10">
        <v>46206</v>
      </c>
      <c r="B7388" t="s">
        <v>201</v>
      </c>
      <c r="C7388" s="135" t="s">
        <v>138</v>
      </c>
      <c r="D7388">
        <v>0</v>
      </c>
      <c r="E7388">
        <v>44</v>
      </c>
      <c r="I7388">
        <v>0</v>
      </c>
      <c r="J7388">
        <v>39</v>
      </c>
      <c r="M7388" t="s">
        <v>7514</v>
      </c>
    </row>
    <row r="7389" spans="1:13">
      <c r="A7389" s="10">
        <v>46206</v>
      </c>
      <c r="B7389" t="s">
        <v>201</v>
      </c>
      <c r="C7389" s="135" t="s">
        <v>139</v>
      </c>
      <c r="D7389">
        <v>0</v>
      </c>
      <c r="E7389">
        <v>54</v>
      </c>
      <c r="I7389">
        <v>0</v>
      </c>
      <c r="J7389">
        <v>50</v>
      </c>
      <c r="M7389" t="s">
        <v>7515</v>
      </c>
    </row>
    <row r="7390" spans="1:13">
      <c r="A7390" s="10">
        <v>46206</v>
      </c>
      <c r="B7390" t="s">
        <v>201</v>
      </c>
      <c r="C7390" s="135" t="s">
        <v>140</v>
      </c>
      <c r="D7390">
        <v>0</v>
      </c>
      <c r="E7390">
        <v>47</v>
      </c>
      <c r="I7390">
        <v>0</v>
      </c>
      <c r="J7390">
        <v>47</v>
      </c>
      <c r="M7390" t="s">
        <v>7516</v>
      </c>
    </row>
    <row r="7391" spans="1:13">
      <c r="A7391" s="10">
        <v>46206</v>
      </c>
      <c r="B7391" t="s">
        <v>201</v>
      </c>
      <c r="C7391" s="135" t="s">
        <v>141</v>
      </c>
      <c r="D7391">
        <v>0</v>
      </c>
      <c r="E7391">
        <v>1</v>
      </c>
      <c r="I7391">
        <v>0</v>
      </c>
      <c r="J7391">
        <v>1</v>
      </c>
      <c r="M7391" t="s">
        <v>7517</v>
      </c>
    </row>
    <row r="7392" spans="1:13">
      <c r="A7392" s="10">
        <v>46206</v>
      </c>
      <c r="B7392" t="s">
        <v>201</v>
      </c>
      <c r="C7392" s="135" t="s">
        <v>143</v>
      </c>
      <c r="D7392">
        <v>0</v>
      </c>
      <c r="E7392">
        <v>11</v>
      </c>
      <c r="I7392">
        <v>0</v>
      </c>
      <c r="J7392">
        <v>0</v>
      </c>
      <c r="M7392" t="s">
        <v>7518</v>
      </c>
    </row>
    <row r="7393" spans="1:13">
      <c r="A7393" s="10">
        <v>46206</v>
      </c>
      <c r="B7393" t="s">
        <v>201</v>
      </c>
      <c r="C7393" s="135" t="s">
        <v>145</v>
      </c>
      <c r="D7393">
        <v>0</v>
      </c>
      <c r="E7393">
        <v>40</v>
      </c>
      <c r="I7393">
        <v>0</v>
      </c>
      <c r="J7393">
        <v>34</v>
      </c>
      <c r="M7393" t="s">
        <v>7519</v>
      </c>
    </row>
    <row r="7394" spans="1:13">
      <c r="A7394" s="10">
        <v>46206</v>
      </c>
      <c r="B7394" t="s">
        <v>201</v>
      </c>
      <c r="C7394" s="135" t="s">
        <v>147</v>
      </c>
      <c r="D7394">
        <v>0</v>
      </c>
      <c r="E7394">
        <v>44</v>
      </c>
      <c r="I7394">
        <v>0</v>
      </c>
      <c r="J7394">
        <v>42</v>
      </c>
      <c r="M7394" t="s">
        <v>7520</v>
      </c>
    </row>
    <row r="7395" spans="1:13">
      <c r="A7395" s="10">
        <v>46206</v>
      </c>
      <c r="B7395" t="s">
        <v>201</v>
      </c>
      <c r="C7395" t="s">
        <v>302</v>
      </c>
      <c r="D7395">
        <v>1</v>
      </c>
      <c r="E7395">
        <v>0</v>
      </c>
      <c r="I7395">
        <v>1</v>
      </c>
      <c r="M7395" t="s">
        <v>7521</v>
      </c>
    </row>
    <row r="7396" spans="1:13">
      <c r="A7396" s="10">
        <v>46206</v>
      </c>
      <c r="B7396" t="s">
        <v>201</v>
      </c>
      <c r="C7396" t="s">
        <v>150</v>
      </c>
      <c r="D7396">
        <v>3</v>
      </c>
      <c r="E7396">
        <v>0</v>
      </c>
      <c r="I7396">
        <v>3</v>
      </c>
      <c r="M7396" t="s">
        <v>7522</v>
      </c>
    </row>
    <row r="7397" spans="1:13">
      <c r="A7397" s="10">
        <v>46206</v>
      </c>
      <c r="B7397" t="s">
        <v>201</v>
      </c>
      <c r="C7397" t="s">
        <v>151</v>
      </c>
      <c r="D7397">
        <v>2</v>
      </c>
      <c r="E7397">
        <v>0</v>
      </c>
      <c r="I7397">
        <v>2</v>
      </c>
      <c r="M7397" t="s">
        <v>7523</v>
      </c>
    </row>
    <row r="7398" spans="1:13">
      <c r="A7398" s="10">
        <v>46206</v>
      </c>
      <c r="B7398" t="s">
        <v>201</v>
      </c>
      <c r="C7398" t="s">
        <v>152</v>
      </c>
      <c r="D7398">
        <v>2</v>
      </c>
      <c r="E7398">
        <v>0</v>
      </c>
      <c r="I7398">
        <v>2</v>
      </c>
      <c r="M7398" t="s">
        <v>7524</v>
      </c>
    </row>
    <row r="7399" spans="1:13">
      <c r="A7399" s="10">
        <v>46206</v>
      </c>
      <c r="B7399" t="s">
        <v>201</v>
      </c>
      <c r="C7399" t="s">
        <v>153</v>
      </c>
      <c r="D7399">
        <v>2</v>
      </c>
      <c r="E7399">
        <v>0</v>
      </c>
      <c r="I7399">
        <v>2</v>
      </c>
      <c r="M7399" t="s">
        <v>7525</v>
      </c>
    </row>
    <row r="7400" spans="1:13">
      <c r="A7400" s="10">
        <v>46206</v>
      </c>
      <c r="B7400" t="s">
        <v>201</v>
      </c>
      <c r="C7400" t="s">
        <v>308</v>
      </c>
      <c r="D7400">
        <v>0</v>
      </c>
      <c r="E7400">
        <v>2</v>
      </c>
      <c r="I7400">
        <v>0</v>
      </c>
      <c r="J7400">
        <v>2</v>
      </c>
      <c r="M7400" t="s">
        <v>7526</v>
      </c>
    </row>
    <row r="7401" spans="1:13">
      <c r="A7401" s="10">
        <v>46206</v>
      </c>
      <c r="B7401" t="s">
        <v>201</v>
      </c>
      <c r="C7401" t="s">
        <v>310</v>
      </c>
      <c r="D7401">
        <v>0</v>
      </c>
      <c r="E7401">
        <v>2</v>
      </c>
      <c r="I7401">
        <v>0</v>
      </c>
      <c r="J7401">
        <v>2</v>
      </c>
      <c r="M7401" t="s">
        <v>7527</v>
      </c>
    </row>
    <row r="7402" spans="1:13">
      <c r="A7402" s="10">
        <v>46206</v>
      </c>
      <c r="B7402" t="s">
        <v>201</v>
      </c>
      <c r="C7402" t="s">
        <v>312</v>
      </c>
      <c r="D7402">
        <v>0</v>
      </c>
      <c r="E7402">
        <v>3</v>
      </c>
      <c r="I7402">
        <v>0</v>
      </c>
      <c r="J7402">
        <v>3</v>
      </c>
      <c r="M7402" t="s">
        <v>7528</v>
      </c>
    </row>
    <row r="7403" spans="1:13">
      <c r="A7403" s="10">
        <v>46206</v>
      </c>
      <c r="B7403" t="s">
        <v>201</v>
      </c>
      <c r="C7403" t="s">
        <v>314</v>
      </c>
      <c r="D7403">
        <v>1</v>
      </c>
      <c r="E7403">
        <v>0</v>
      </c>
      <c r="I7403">
        <v>1</v>
      </c>
      <c r="M7403" t="s">
        <v>7529</v>
      </c>
    </row>
    <row r="7404" spans="1:13">
      <c r="A7404" s="10">
        <v>46206</v>
      </c>
      <c r="B7404" t="s">
        <v>201</v>
      </c>
      <c r="C7404" t="s">
        <v>316</v>
      </c>
      <c r="D7404">
        <v>1</v>
      </c>
      <c r="E7404">
        <v>0</v>
      </c>
      <c r="I7404">
        <v>1</v>
      </c>
      <c r="M7404" t="s">
        <v>7530</v>
      </c>
    </row>
    <row r="7405" spans="1:13">
      <c r="A7405" s="10">
        <v>46206</v>
      </c>
      <c r="B7405" t="s">
        <v>201</v>
      </c>
      <c r="C7405" t="s">
        <v>318</v>
      </c>
      <c r="D7405">
        <v>3</v>
      </c>
      <c r="E7405">
        <v>0</v>
      </c>
      <c r="I7405">
        <v>3</v>
      </c>
      <c r="M7405" t="s">
        <v>7531</v>
      </c>
    </row>
    <row r="7406" spans="1:13">
      <c r="A7406" s="10">
        <v>46206</v>
      </c>
      <c r="B7406" t="s">
        <v>201</v>
      </c>
      <c r="C7406" t="s">
        <v>320</v>
      </c>
      <c r="D7406">
        <v>2</v>
      </c>
      <c r="E7406">
        <v>0</v>
      </c>
      <c r="I7406">
        <v>2</v>
      </c>
      <c r="M7406" t="s">
        <v>7532</v>
      </c>
    </row>
    <row r="7407" spans="1:13">
      <c r="A7407" s="10">
        <v>46206</v>
      </c>
      <c r="B7407" t="s">
        <v>201</v>
      </c>
      <c r="C7407" t="s">
        <v>322</v>
      </c>
      <c r="D7407">
        <v>2</v>
      </c>
      <c r="E7407">
        <v>0</v>
      </c>
      <c r="I7407">
        <v>1</v>
      </c>
      <c r="M7407" t="s">
        <v>7533</v>
      </c>
    </row>
    <row r="7408" spans="1:13">
      <c r="A7408" s="10">
        <v>46206</v>
      </c>
      <c r="B7408" t="s">
        <v>201</v>
      </c>
      <c r="C7408" s="135" t="s">
        <v>168</v>
      </c>
      <c r="D7408">
        <v>1</v>
      </c>
      <c r="E7408">
        <v>0</v>
      </c>
      <c r="I7408">
        <v>1</v>
      </c>
      <c r="M7408" t="s">
        <v>7534</v>
      </c>
    </row>
    <row r="7409" spans="1:13">
      <c r="A7409" s="10">
        <v>46206</v>
      </c>
      <c r="B7409" t="s">
        <v>201</v>
      </c>
      <c r="C7409" s="135" t="s">
        <v>170</v>
      </c>
      <c r="D7409">
        <v>1</v>
      </c>
      <c r="E7409">
        <v>0</v>
      </c>
      <c r="I7409">
        <v>1</v>
      </c>
      <c r="M7409" t="s">
        <v>7535</v>
      </c>
    </row>
    <row r="7410" spans="1:13">
      <c r="A7410" s="10">
        <v>46206</v>
      </c>
      <c r="B7410" t="s">
        <v>201</v>
      </c>
      <c r="C7410" s="135" t="s">
        <v>171</v>
      </c>
      <c r="D7410">
        <v>2</v>
      </c>
      <c r="E7410">
        <v>0</v>
      </c>
      <c r="I7410">
        <v>2</v>
      </c>
      <c r="M7410" t="s">
        <v>7536</v>
      </c>
    </row>
    <row r="7411" spans="1:13">
      <c r="A7411" s="10">
        <v>46206</v>
      </c>
      <c r="B7411" t="s">
        <v>201</v>
      </c>
      <c r="C7411" s="135" t="s">
        <v>172</v>
      </c>
      <c r="D7411">
        <v>1</v>
      </c>
      <c r="E7411">
        <v>0</v>
      </c>
      <c r="I7411">
        <v>1</v>
      </c>
      <c r="M7411" t="s">
        <v>7537</v>
      </c>
    </row>
    <row r="7412" spans="1:13">
      <c r="A7412" s="10">
        <v>46206</v>
      </c>
      <c r="B7412" t="s">
        <v>201</v>
      </c>
      <c r="C7412" s="135" t="s">
        <v>173</v>
      </c>
      <c r="D7412">
        <v>0</v>
      </c>
      <c r="E7412">
        <v>0</v>
      </c>
      <c r="I7412">
        <v>0</v>
      </c>
      <c r="M7412" t="s">
        <v>7538</v>
      </c>
    </row>
    <row r="7413" spans="1:13">
      <c r="A7413" s="10">
        <v>46206</v>
      </c>
      <c r="B7413" t="s">
        <v>201</v>
      </c>
      <c r="C7413" t="s">
        <v>176</v>
      </c>
      <c r="D7413">
        <v>0</v>
      </c>
      <c r="E7413">
        <v>21</v>
      </c>
      <c r="I7413">
        <v>0</v>
      </c>
      <c r="J7413">
        <v>21</v>
      </c>
      <c r="M7413" t="s">
        <v>7539</v>
      </c>
    </row>
    <row r="7414" spans="1:13">
      <c r="A7414" s="10">
        <v>46206</v>
      </c>
      <c r="B7414" t="s">
        <v>201</v>
      </c>
      <c r="C7414" t="s">
        <v>178</v>
      </c>
      <c r="D7414">
        <v>0</v>
      </c>
      <c r="E7414">
        <v>21</v>
      </c>
      <c r="I7414">
        <v>0</v>
      </c>
      <c r="J7414">
        <v>21</v>
      </c>
      <c r="M7414" t="s">
        <v>7540</v>
      </c>
    </row>
    <row r="7415" spans="1:13">
      <c r="A7415" s="10">
        <v>46206</v>
      </c>
      <c r="B7415" t="s">
        <v>201</v>
      </c>
      <c r="C7415" t="s">
        <v>179</v>
      </c>
      <c r="D7415">
        <v>0</v>
      </c>
      <c r="E7415">
        <v>15</v>
      </c>
      <c r="I7415">
        <v>0</v>
      </c>
      <c r="J7415">
        <v>15</v>
      </c>
      <c r="M7415" t="s">
        <v>7541</v>
      </c>
    </row>
    <row r="7416" spans="1:13">
      <c r="A7416" s="10">
        <v>46206</v>
      </c>
      <c r="B7416" t="s">
        <v>201</v>
      </c>
      <c r="C7416" t="s">
        <v>180</v>
      </c>
      <c r="D7416">
        <v>0</v>
      </c>
      <c r="E7416">
        <v>21</v>
      </c>
      <c r="H7416">
        <v>5</v>
      </c>
      <c r="I7416">
        <v>0</v>
      </c>
      <c r="J7416">
        <v>16</v>
      </c>
      <c r="M7416" t="s">
        <v>7542</v>
      </c>
    </row>
    <row r="7417" spans="1:13">
      <c r="A7417" s="10">
        <v>46206</v>
      </c>
      <c r="B7417" t="s">
        <v>201</v>
      </c>
      <c r="C7417" s="135" t="s">
        <v>182</v>
      </c>
      <c r="D7417">
        <v>1</v>
      </c>
      <c r="E7417">
        <v>150</v>
      </c>
      <c r="I7417">
        <v>1</v>
      </c>
      <c r="J7417">
        <v>150</v>
      </c>
      <c r="M7417" t="s">
        <v>7543</v>
      </c>
    </row>
    <row r="7418" spans="1:13">
      <c r="A7418" s="10">
        <v>46206</v>
      </c>
      <c r="B7418" t="s">
        <v>201</v>
      </c>
      <c r="C7418" s="135" t="s">
        <v>184</v>
      </c>
      <c r="D7418">
        <v>2</v>
      </c>
      <c r="E7418">
        <v>55</v>
      </c>
      <c r="I7418">
        <v>2</v>
      </c>
      <c r="J7418">
        <v>41</v>
      </c>
      <c r="M7418" t="s">
        <v>7544</v>
      </c>
    </row>
    <row r="7419" spans="1:13">
      <c r="A7419" s="10">
        <v>46206</v>
      </c>
      <c r="B7419" t="s">
        <v>201</v>
      </c>
      <c r="C7419" s="135" t="s">
        <v>185</v>
      </c>
      <c r="D7419">
        <v>1</v>
      </c>
      <c r="E7419">
        <v>26</v>
      </c>
      <c r="I7419">
        <v>1</v>
      </c>
      <c r="J7419">
        <v>26</v>
      </c>
      <c r="M7419" t="s">
        <v>7545</v>
      </c>
    </row>
    <row r="7420" spans="1:13">
      <c r="A7420" s="10">
        <v>46206</v>
      </c>
      <c r="B7420" t="s">
        <v>201</v>
      </c>
      <c r="C7420" s="135" t="s">
        <v>186</v>
      </c>
      <c r="D7420">
        <v>1</v>
      </c>
      <c r="E7420">
        <v>500</v>
      </c>
      <c r="I7420">
        <v>1</v>
      </c>
      <c r="J7420">
        <v>490</v>
      </c>
      <c r="M7420" t="s">
        <v>7546</v>
      </c>
    </row>
    <row r="7421" spans="1:13">
      <c r="A7421" s="10">
        <v>46206</v>
      </c>
      <c r="B7421" t="s">
        <v>201</v>
      </c>
      <c r="C7421" t="s">
        <v>337</v>
      </c>
      <c r="D7421">
        <v>2</v>
      </c>
      <c r="E7421">
        <v>228</v>
      </c>
      <c r="I7421">
        <v>2</v>
      </c>
      <c r="J7421">
        <v>190</v>
      </c>
      <c r="M7421" t="s">
        <v>7547</v>
      </c>
    </row>
    <row r="7422" spans="1:13">
      <c r="A7422" s="10">
        <v>46206</v>
      </c>
      <c r="B7422" t="s">
        <v>201</v>
      </c>
      <c r="C7422" t="s">
        <v>339</v>
      </c>
      <c r="D7422">
        <v>0</v>
      </c>
      <c r="E7422">
        <v>0</v>
      </c>
      <c r="I7422">
        <v>0</v>
      </c>
      <c r="J7422">
        <v>0</v>
      </c>
      <c r="M7422" t="s">
        <v>7548</v>
      </c>
    </row>
    <row r="7423" spans="1:13">
      <c r="A7423" s="10">
        <v>46206</v>
      </c>
      <c r="B7423" t="s">
        <v>201</v>
      </c>
      <c r="C7423" s="135" t="s">
        <v>191</v>
      </c>
      <c r="D7423">
        <v>1</v>
      </c>
      <c r="E7423">
        <v>361</v>
      </c>
      <c r="I7423">
        <v>1</v>
      </c>
      <c r="J7423">
        <v>317</v>
      </c>
      <c r="M7423" t="s">
        <v>7549</v>
      </c>
    </row>
    <row r="7424" spans="1:13">
      <c r="A7424" s="10">
        <v>46206</v>
      </c>
      <c r="B7424" t="s">
        <v>201</v>
      </c>
      <c r="C7424" s="135" t="s">
        <v>193</v>
      </c>
      <c r="D7424">
        <v>0</v>
      </c>
      <c r="E7424">
        <v>371</v>
      </c>
      <c r="I7424">
        <v>0</v>
      </c>
      <c r="J7424">
        <v>297</v>
      </c>
      <c r="M7424" t="s">
        <v>7550</v>
      </c>
    </row>
    <row r="7425" spans="1:13">
      <c r="A7425" s="10">
        <v>46206</v>
      </c>
      <c r="B7425" t="s">
        <v>201</v>
      </c>
      <c r="C7425" s="135" t="s">
        <v>194</v>
      </c>
      <c r="D7425">
        <v>1</v>
      </c>
      <c r="E7425">
        <v>44</v>
      </c>
      <c r="I7425">
        <v>1</v>
      </c>
      <c r="J7425">
        <v>41</v>
      </c>
      <c r="M7425" t="s">
        <v>7551</v>
      </c>
    </row>
    <row r="7426" spans="1:13">
      <c r="A7426" s="10">
        <v>46206</v>
      </c>
      <c r="B7426" t="s">
        <v>201</v>
      </c>
      <c r="C7426" s="135" t="s">
        <v>196</v>
      </c>
      <c r="D7426">
        <v>0</v>
      </c>
      <c r="E7426">
        <v>785</v>
      </c>
      <c r="I7426">
        <v>0</v>
      </c>
      <c r="J7426">
        <v>720</v>
      </c>
      <c r="M7426" t="s">
        <v>7552</v>
      </c>
    </row>
    <row r="7427" spans="1:13">
      <c r="A7427" s="10">
        <v>46206</v>
      </c>
      <c r="B7427" t="s">
        <v>201</v>
      </c>
      <c r="C7427" s="135" t="s">
        <v>199</v>
      </c>
      <c r="D7427">
        <v>0</v>
      </c>
      <c r="E7427">
        <v>519</v>
      </c>
      <c r="I7427">
        <v>0</v>
      </c>
      <c r="J7427">
        <v>475</v>
      </c>
      <c r="M7427" t="s">
        <v>7553</v>
      </c>
    </row>
    <row r="7428" spans="1:13">
      <c r="A7428" s="10">
        <v>46206</v>
      </c>
      <c r="B7428" t="s">
        <v>201</v>
      </c>
      <c r="C7428" s="135" t="s">
        <v>200</v>
      </c>
      <c r="D7428">
        <v>0</v>
      </c>
      <c r="E7428">
        <v>527</v>
      </c>
      <c r="I7428">
        <v>0</v>
      </c>
      <c r="J7428">
        <v>493</v>
      </c>
      <c r="M7428" t="s">
        <v>7554</v>
      </c>
    </row>
    <row r="7429" spans="1:13">
      <c r="A7429" s="10">
        <v>46206</v>
      </c>
      <c r="B7429" t="s">
        <v>201</v>
      </c>
      <c r="C7429" s="135" t="s">
        <v>202</v>
      </c>
      <c r="D7429">
        <v>0</v>
      </c>
      <c r="E7429">
        <v>470</v>
      </c>
      <c r="I7429">
        <v>0</v>
      </c>
      <c r="J7429">
        <v>448</v>
      </c>
      <c r="M7429" t="s">
        <v>7555</v>
      </c>
    </row>
    <row r="7430" spans="1:13">
      <c r="A7430" s="10">
        <v>46207</v>
      </c>
      <c r="B7430" t="s">
        <v>201</v>
      </c>
      <c r="C7430" t="s">
        <v>23</v>
      </c>
      <c r="D7430">
        <v>6</v>
      </c>
      <c r="E7430">
        <v>292</v>
      </c>
      <c r="F7430">
        <v>1</v>
      </c>
      <c r="G7430">
        <v>500</v>
      </c>
      <c r="I7430">
        <v>6</v>
      </c>
      <c r="M7430" t="s">
        <v>7556</v>
      </c>
    </row>
    <row r="7431" spans="1:13">
      <c r="A7431" s="10">
        <v>46207</v>
      </c>
      <c r="B7431" t="s">
        <v>201</v>
      </c>
      <c r="C7431" t="s">
        <v>26</v>
      </c>
      <c r="D7431">
        <v>2</v>
      </c>
      <c r="E7431">
        <v>1142</v>
      </c>
      <c r="I7431">
        <v>2</v>
      </c>
      <c r="M7431" t="s">
        <v>7557</v>
      </c>
    </row>
    <row r="7432" spans="1:13">
      <c r="A7432" s="10">
        <v>46207</v>
      </c>
      <c r="B7432" t="s">
        <v>201</v>
      </c>
      <c r="C7432" t="s">
        <v>27</v>
      </c>
      <c r="D7432">
        <v>2</v>
      </c>
      <c r="E7432">
        <v>613</v>
      </c>
      <c r="I7432">
        <v>2</v>
      </c>
      <c r="M7432" t="s">
        <v>7558</v>
      </c>
    </row>
    <row r="7433" spans="1:13">
      <c r="A7433" s="10">
        <v>46207</v>
      </c>
      <c r="B7433" t="s">
        <v>201</v>
      </c>
      <c r="C7433" t="s">
        <v>28</v>
      </c>
      <c r="D7433">
        <v>0</v>
      </c>
      <c r="E7433">
        <v>0</v>
      </c>
      <c r="I7433">
        <v>0</v>
      </c>
      <c r="M7433" t="s">
        <v>7559</v>
      </c>
    </row>
    <row r="7434" spans="1:13">
      <c r="A7434" s="10">
        <v>46207</v>
      </c>
      <c r="B7434" t="s">
        <v>201</v>
      </c>
      <c r="C7434" t="s">
        <v>29</v>
      </c>
      <c r="D7434">
        <v>0</v>
      </c>
      <c r="E7434">
        <v>1168</v>
      </c>
      <c r="I7434">
        <v>0</v>
      </c>
      <c r="M7434" t="s">
        <v>7560</v>
      </c>
    </row>
    <row r="7435" spans="1:13">
      <c r="A7435" s="10">
        <v>46207</v>
      </c>
      <c r="B7435" t="s">
        <v>201</v>
      </c>
      <c r="C7435" t="s">
        <v>30</v>
      </c>
      <c r="D7435">
        <v>0</v>
      </c>
      <c r="E7435">
        <v>793</v>
      </c>
      <c r="I7435">
        <v>0</v>
      </c>
      <c r="M7435" t="s">
        <v>7561</v>
      </c>
    </row>
    <row r="7436" spans="1:13">
      <c r="A7436" s="10">
        <v>46207</v>
      </c>
      <c r="B7436" t="s">
        <v>201</v>
      </c>
      <c r="C7436" t="s">
        <v>31</v>
      </c>
      <c r="D7436">
        <v>0</v>
      </c>
      <c r="E7436">
        <v>892</v>
      </c>
      <c r="I7436">
        <v>1</v>
      </c>
      <c r="M7436" t="s">
        <v>7562</v>
      </c>
    </row>
    <row r="7437" spans="1:13">
      <c r="A7437" s="10">
        <v>46207</v>
      </c>
      <c r="B7437" t="s">
        <v>201</v>
      </c>
      <c r="C7437" t="s">
        <v>32</v>
      </c>
      <c r="D7437">
        <v>0</v>
      </c>
      <c r="E7437">
        <v>781</v>
      </c>
      <c r="F7437">
        <v>2</v>
      </c>
      <c r="I7437">
        <v>2</v>
      </c>
      <c r="M7437" t="s">
        <v>7563</v>
      </c>
    </row>
    <row r="7438" spans="1:13">
      <c r="A7438" s="10">
        <v>46207</v>
      </c>
      <c r="B7438" t="s">
        <v>201</v>
      </c>
      <c r="C7438" t="s">
        <v>223</v>
      </c>
      <c r="D7438">
        <v>5</v>
      </c>
      <c r="E7438">
        <v>810</v>
      </c>
      <c r="F7438">
        <v>3</v>
      </c>
      <c r="I7438">
        <v>5</v>
      </c>
      <c r="M7438" t="s">
        <v>7564</v>
      </c>
    </row>
    <row r="7439" spans="1:13">
      <c r="A7439" s="10">
        <v>46207</v>
      </c>
      <c r="B7439" t="s">
        <v>201</v>
      </c>
      <c r="C7439" t="s">
        <v>35</v>
      </c>
      <c r="D7439">
        <v>5</v>
      </c>
      <c r="E7439">
        <v>0</v>
      </c>
      <c r="F7439">
        <v>6</v>
      </c>
      <c r="H7439">
        <v>2</v>
      </c>
      <c r="I7439">
        <v>6</v>
      </c>
      <c r="K7439">
        <v>3</v>
      </c>
      <c r="L7439" t="s">
        <v>5545</v>
      </c>
      <c r="M7439" t="s">
        <v>7565</v>
      </c>
    </row>
    <row r="7440" spans="1:13">
      <c r="A7440" s="10">
        <v>46207</v>
      </c>
      <c r="B7440" t="s">
        <v>201</v>
      </c>
      <c r="C7440" t="s">
        <v>37</v>
      </c>
      <c r="D7440">
        <v>2</v>
      </c>
      <c r="E7440">
        <v>0</v>
      </c>
      <c r="F7440">
        <v>2</v>
      </c>
      <c r="I7440">
        <v>2</v>
      </c>
      <c r="K7440">
        <v>2</v>
      </c>
      <c r="L7440" t="s">
        <v>5545</v>
      </c>
      <c r="M7440" t="s">
        <v>7566</v>
      </c>
    </row>
    <row r="7441" spans="1:13">
      <c r="A7441" s="10">
        <v>46207</v>
      </c>
      <c r="B7441" t="s">
        <v>201</v>
      </c>
      <c r="C7441" t="s">
        <v>39</v>
      </c>
      <c r="D7441">
        <v>33</v>
      </c>
      <c r="E7441">
        <v>0</v>
      </c>
      <c r="H7441">
        <v>1</v>
      </c>
      <c r="I7441">
        <v>32</v>
      </c>
      <c r="M7441" t="s">
        <v>7567</v>
      </c>
    </row>
    <row r="7442" spans="1:13">
      <c r="A7442" s="10">
        <v>46207</v>
      </c>
      <c r="B7442" t="s">
        <v>201</v>
      </c>
      <c r="C7442" t="s">
        <v>41</v>
      </c>
      <c r="D7442">
        <v>16</v>
      </c>
      <c r="E7442">
        <v>0</v>
      </c>
      <c r="I7442">
        <v>16</v>
      </c>
      <c r="M7442" t="s">
        <v>7568</v>
      </c>
    </row>
    <row r="7443" spans="1:13">
      <c r="A7443" s="10">
        <v>46207</v>
      </c>
      <c r="B7443" t="s">
        <v>201</v>
      </c>
      <c r="C7443" s="135" t="s">
        <v>44</v>
      </c>
      <c r="D7443">
        <v>4</v>
      </c>
      <c r="E7443">
        <v>6794</v>
      </c>
      <c r="F7443">
        <v>1</v>
      </c>
      <c r="G7443">
        <v>2200</v>
      </c>
      <c r="I7443">
        <v>5</v>
      </c>
      <c r="J7443">
        <v>6607</v>
      </c>
      <c r="M7443" t="s">
        <v>7569</v>
      </c>
    </row>
    <row r="7444" spans="1:13">
      <c r="A7444" s="10">
        <v>46207</v>
      </c>
      <c r="B7444" t="s">
        <v>201</v>
      </c>
      <c r="C7444" t="s">
        <v>230</v>
      </c>
      <c r="D7444">
        <v>1</v>
      </c>
      <c r="E7444">
        <v>418</v>
      </c>
      <c r="I7444">
        <v>1</v>
      </c>
      <c r="J7444">
        <v>337</v>
      </c>
      <c r="M7444" t="s">
        <v>7570</v>
      </c>
    </row>
    <row r="7445" spans="1:13">
      <c r="A7445" s="10">
        <v>46207</v>
      </c>
      <c r="B7445" t="s">
        <v>201</v>
      </c>
      <c r="C7445" t="s">
        <v>232</v>
      </c>
      <c r="D7445">
        <v>5</v>
      </c>
      <c r="E7445">
        <v>0</v>
      </c>
      <c r="I7445">
        <v>5</v>
      </c>
      <c r="M7445" t="s">
        <v>7571</v>
      </c>
    </row>
    <row r="7446" spans="1:13">
      <c r="A7446" s="10">
        <v>46207</v>
      </c>
      <c r="B7446" t="s">
        <v>201</v>
      </c>
      <c r="C7446" t="s">
        <v>234</v>
      </c>
      <c r="D7446">
        <v>78</v>
      </c>
      <c r="E7446">
        <v>0</v>
      </c>
      <c r="H7446">
        <v>10</v>
      </c>
      <c r="I7446">
        <v>68</v>
      </c>
      <c r="M7446" t="s">
        <v>7572</v>
      </c>
    </row>
    <row r="7447" spans="1:13">
      <c r="A7447" s="10">
        <v>46207</v>
      </c>
      <c r="B7447" t="s">
        <v>201</v>
      </c>
      <c r="C7447" t="s">
        <v>54</v>
      </c>
      <c r="D7447">
        <v>0</v>
      </c>
      <c r="E7447">
        <v>0</v>
      </c>
      <c r="I7447">
        <v>0</v>
      </c>
      <c r="M7447" t="s">
        <v>7573</v>
      </c>
    </row>
    <row r="7448" spans="1:13">
      <c r="A7448" s="10">
        <v>46207</v>
      </c>
      <c r="B7448" t="s">
        <v>201</v>
      </c>
      <c r="C7448" t="s">
        <v>237</v>
      </c>
      <c r="D7448">
        <v>12</v>
      </c>
      <c r="E7448">
        <v>0</v>
      </c>
      <c r="H7448">
        <v>1</v>
      </c>
      <c r="I7448">
        <v>11</v>
      </c>
      <c r="M7448" t="s">
        <v>7574</v>
      </c>
    </row>
    <row r="7449" spans="1:13">
      <c r="A7449" s="10">
        <v>46207</v>
      </c>
      <c r="B7449" t="s">
        <v>201</v>
      </c>
      <c r="C7449" s="135" t="s">
        <v>58</v>
      </c>
      <c r="D7449">
        <v>3</v>
      </c>
      <c r="E7449">
        <v>0</v>
      </c>
      <c r="F7449">
        <v>10</v>
      </c>
      <c r="H7449">
        <v>4</v>
      </c>
      <c r="I7449">
        <v>9</v>
      </c>
      <c r="M7449" t="s">
        <v>7575</v>
      </c>
    </row>
    <row r="7450" spans="1:13">
      <c r="A7450" s="10">
        <v>46207</v>
      </c>
      <c r="B7450" t="s">
        <v>201</v>
      </c>
      <c r="C7450" s="135" t="s">
        <v>60</v>
      </c>
      <c r="D7450">
        <v>7</v>
      </c>
      <c r="E7450">
        <v>0</v>
      </c>
      <c r="F7450">
        <v>5</v>
      </c>
      <c r="H7450">
        <v>4</v>
      </c>
      <c r="I7450">
        <v>8</v>
      </c>
      <c r="M7450" t="s">
        <v>7576</v>
      </c>
    </row>
    <row r="7451" spans="1:13">
      <c r="A7451" s="10">
        <v>46207</v>
      </c>
      <c r="B7451" t="s">
        <v>201</v>
      </c>
      <c r="C7451" s="135" t="s">
        <v>61</v>
      </c>
      <c r="D7451">
        <v>8</v>
      </c>
      <c r="E7451">
        <v>0</v>
      </c>
      <c r="F7451">
        <v>5</v>
      </c>
      <c r="H7451">
        <v>4</v>
      </c>
      <c r="I7451">
        <v>9</v>
      </c>
      <c r="M7451" t="s">
        <v>7577</v>
      </c>
    </row>
    <row r="7452" spans="1:13">
      <c r="A7452" s="10">
        <v>46207</v>
      </c>
      <c r="B7452" t="s">
        <v>201</v>
      </c>
      <c r="C7452" s="135" t="s">
        <v>62</v>
      </c>
      <c r="D7452">
        <v>5</v>
      </c>
      <c r="E7452">
        <v>0</v>
      </c>
      <c r="H7452">
        <v>5</v>
      </c>
      <c r="I7452">
        <v>0</v>
      </c>
      <c r="M7452" t="s">
        <v>7578</v>
      </c>
    </row>
    <row r="7453" spans="1:13">
      <c r="A7453" s="10">
        <v>46207</v>
      </c>
      <c r="B7453" t="s">
        <v>201</v>
      </c>
      <c r="C7453" s="135" t="s">
        <v>63</v>
      </c>
      <c r="D7453">
        <v>6</v>
      </c>
      <c r="E7453">
        <v>0</v>
      </c>
      <c r="H7453">
        <v>2</v>
      </c>
      <c r="I7453">
        <v>4</v>
      </c>
      <c r="M7453" t="s">
        <v>7579</v>
      </c>
    </row>
    <row r="7454" spans="1:13">
      <c r="A7454" s="10">
        <v>46207</v>
      </c>
      <c r="B7454" t="s">
        <v>201</v>
      </c>
      <c r="C7454" s="135" t="s">
        <v>64</v>
      </c>
      <c r="D7454">
        <v>3</v>
      </c>
      <c r="E7454">
        <v>0</v>
      </c>
      <c r="F7454">
        <v>5</v>
      </c>
      <c r="H7454">
        <v>1</v>
      </c>
      <c r="I7454">
        <v>7</v>
      </c>
      <c r="M7454" t="s">
        <v>7580</v>
      </c>
    </row>
    <row r="7455" spans="1:13">
      <c r="A7455" s="10">
        <v>46207</v>
      </c>
      <c r="B7455" t="s">
        <v>201</v>
      </c>
      <c r="C7455" t="s">
        <v>66</v>
      </c>
      <c r="D7455">
        <v>2</v>
      </c>
      <c r="E7455">
        <v>0</v>
      </c>
      <c r="F7455">
        <v>2</v>
      </c>
      <c r="I7455">
        <v>4</v>
      </c>
      <c r="M7455" t="s">
        <v>7581</v>
      </c>
    </row>
    <row r="7456" spans="1:13">
      <c r="A7456" s="10">
        <v>46207</v>
      </c>
      <c r="B7456" t="s">
        <v>201</v>
      </c>
      <c r="C7456" t="s">
        <v>67</v>
      </c>
      <c r="D7456">
        <v>5</v>
      </c>
      <c r="E7456">
        <v>0</v>
      </c>
      <c r="I7456">
        <v>5</v>
      </c>
      <c r="M7456" t="s">
        <v>7582</v>
      </c>
    </row>
    <row r="7457" spans="1:13">
      <c r="A7457" s="10">
        <v>46207</v>
      </c>
      <c r="B7457" t="s">
        <v>201</v>
      </c>
      <c r="C7457" t="s">
        <v>68</v>
      </c>
      <c r="D7457">
        <v>0</v>
      </c>
      <c r="E7457">
        <v>0</v>
      </c>
      <c r="I7457">
        <v>0</v>
      </c>
      <c r="M7457" t="s">
        <v>7583</v>
      </c>
    </row>
    <row r="7458" spans="1:13">
      <c r="A7458" s="10">
        <v>46207</v>
      </c>
      <c r="B7458" t="s">
        <v>201</v>
      </c>
      <c r="C7458" t="s">
        <v>71</v>
      </c>
      <c r="D7458">
        <v>1</v>
      </c>
      <c r="E7458">
        <v>658</v>
      </c>
      <c r="I7458">
        <v>1</v>
      </c>
      <c r="J7458">
        <v>587</v>
      </c>
      <c r="M7458" t="s">
        <v>7584</v>
      </c>
    </row>
    <row r="7459" spans="1:13">
      <c r="A7459" s="10">
        <v>46207</v>
      </c>
      <c r="B7459" t="s">
        <v>201</v>
      </c>
      <c r="C7459" t="s">
        <v>73</v>
      </c>
      <c r="D7459">
        <v>2</v>
      </c>
      <c r="E7459">
        <v>408</v>
      </c>
      <c r="I7459">
        <v>2</v>
      </c>
      <c r="J7459">
        <v>409</v>
      </c>
      <c r="M7459" t="s">
        <v>7585</v>
      </c>
    </row>
    <row r="7460" spans="1:13">
      <c r="A7460" s="10">
        <v>46207</v>
      </c>
      <c r="B7460" t="s">
        <v>201</v>
      </c>
      <c r="C7460" t="s">
        <v>75</v>
      </c>
      <c r="D7460">
        <v>0</v>
      </c>
      <c r="E7460">
        <v>426</v>
      </c>
      <c r="I7460">
        <v>0</v>
      </c>
      <c r="J7460">
        <v>411</v>
      </c>
      <c r="M7460" t="s">
        <v>7586</v>
      </c>
    </row>
    <row r="7461" spans="1:13">
      <c r="A7461" s="10">
        <v>46207</v>
      </c>
      <c r="B7461" t="s">
        <v>201</v>
      </c>
      <c r="C7461" t="s">
        <v>77</v>
      </c>
      <c r="D7461">
        <v>0</v>
      </c>
      <c r="E7461">
        <v>1161</v>
      </c>
      <c r="I7461">
        <v>0</v>
      </c>
      <c r="J7461">
        <v>1132</v>
      </c>
      <c r="M7461" t="s">
        <v>7587</v>
      </c>
    </row>
    <row r="7462" spans="1:13">
      <c r="A7462" s="10">
        <v>46207</v>
      </c>
      <c r="B7462" t="s">
        <v>201</v>
      </c>
      <c r="C7462" t="s">
        <v>79</v>
      </c>
      <c r="D7462">
        <v>1</v>
      </c>
      <c r="E7462">
        <v>1231</v>
      </c>
      <c r="I7462">
        <v>1</v>
      </c>
      <c r="J7462">
        <v>1171</v>
      </c>
      <c r="M7462" t="s">
        <v>7588</v>
      </c>
    </row>
    <row r="7463" spans="1:13">
      <c r="A7463" s="10">
        <v>46207</v>
      </c>
      <c r="B7463" t="s">
        <v>201</v>
      </c>
      <c r="C7463" t="s">
        <v>81</v>
      </c>
      <c r="D7463">
        <v>0</v>
      </c>
      <c r="E7463">
        <v>596</v>
      </c>
      <c r="F7463">
        <v>1</v>
      </c>
      <c r="I7463">
        <v>1</v>
      </c>
      <c r="J7463">
        <v>596</v>
      </c>
      <c r="M7463" t="s">
        <v>7589</v>
      </c>
    </row>
    <row r="7464" spans="1:13">
      <c r="A7464" s="10">
        <v>46207</v>
      </c>
      <c r="B7464" t="s">
        <v>201</v>
      </c>
      <c r="C7464" t="s">
        <v>83</v>
      </c>
      <c r="D7464">
        <v>1</v>
      </c>
      <c r="E7464">
        <v>347</v>
      </c>
      <c r="I7464">
        <v>1</v>
      </c>
      <c r="J7464">
        <v>347</v>
      </c>
      <c r="M7464" t="s">
        <v>7590</v>
      </c>
    </row>
    <row r="7465" spans="1:13">
      <c r="A7465" s="10">
        <v>46207</v>
      </c>
      <c r="B7465" t="s">
        <v>201</v>
      </c>
      <c r="C7465" t="s">
        <v>84</v>
      </c>
      <c r="D7465">
        <v>2</v>
      </c>
      <c r="E7465">
        <v>239</v>
      </c>
      <c r="I7465">
        <v>2</v>
      </c>
      <c r="J7465">
        <v>239</v>
      </c>
      <c r="M7465" t="s">
        <v>7591</v>
      </c>
    </row>
    <row r="7466" spans="1:13">
      <c r="A7466" s="10">
        <v>46207</v>
      </c>
      <c r="B7466" t="s">
        <v>201</v>
      </c>
      <c r="C7466" t="s">
        <v>85</v>
      </c>
      <c r="D7466">
        <v>0</v>
      </c>
      <c r="E7466">
        <v>141</v>
      </c>
      <c r="I7466">
        <v>0</v>
      </c>
      <c r="J7466">
        <v>133</v>
      </c>
      <c r="M7466" t="s">
        <v>7592</v>
      </c>
    </row>
    <row r="7467" spans="1:13">
      <c r="A7467" s="10">
        <v>46207</v>
      </c>
      <c r="B7467" t="s">
        <v>201</v>
      </c>
      <c r="C7467" t="s">
        <v>87</v>
      </c>
      <c r="D7467">
        <v>1</v>
      </c>
      <c r="E7467">
        <v>380</v>
      </c>
      <c r="F7467">
        <v>1</v>
      </c>
      <c r="I7467">
        <v>2</v>
      </c>
      <c r="J7467">
        <v>377</v>
      </c>
      <c r="M7467" t="s">
        <v>7593</v>
      </c>
    </row>
    <row r="7468" spans="1:13">
      <c r="A7468" s="10">
        <v>46207</v>
      </c>
      <c r="B7468" t="s">
        <v>201</v>
      </c>
      <c r="C7468" t="s">
        <v>88</v>
      </c>
      <c r="D7468">
        <v>1</v>
      </c>
      <c r="E7468">
        <v>233</v>
      </c>
      <c r="I7468">
        <v>1</v>
      </c>
      <c r="J7468">
        <v>250</v>
      </c>
      <c r="M7468" t="s">
        <v>7594</v>
      </c>
    </row>
    <row r="7469" spans="1:13">
      <c r="A7469" s="10">
        <v>46207</v>
      </c>
      <c r="B7469" t="s">
        <v>201</v>
      </c>
      <c r="C7469" t="s">
        <v>89</v>
      </c>
      <c r="D7469">
        <v>1</v>
      </c>
      <c r="E7469">
        <v>193</v>
      </c>
      <c r="I7469">
        <v>1</v>
      </c>
      <c r="J7469">
        <v>192</v>
      </c>
      <c r="M7469" t="s">
        <v>7595</v>
      </c>
    </row>
    <row r="7470" spans="1:13">
      <c r="A7470" s="10">
        <v>46207</v>
      </c>
      <c r="B7470" t="s">
        <v>201</v>
      </c>
      <c r="C7470" t="s">
        <v>90</v>
      </c>
      <c r="D7470">
        <v>0</v>
      </c>
      <c r="E7470">
        <v>1241</v>
      </c>
      <c r="I7470">
        <v>0</v>
      </c>
      <c r="J7470">
        <v>1185</v>
      </c>
      <c r="M7470" t="s">
        <v>7596</v>
      </c>
    </row>
    <row r="7471" spans="1:13">
      <c r="A7471" s="10">
        <v>46207</v>
      </c>
      <c r="B7471" t="s">
        <v>201</v>
      </c>
      <c r="C7471" t="s">
        <v>92</v>
      </c>
      <c r="D7471">
        <v>1</v>
      </c>
      <c r="E7471">
        <v>771</v>
      </c>
      <c r="I7471">
        <v>2</v>
      </c>
      <c r="J7471">
        <v>756</v>
      </c>
      <c r="M7471" t="s">
        <v>7597</v>
      </c>
    </row>
    <row r="7472" spans="1:13">
      <c r="A7472" s="10">
        <v>46207</v>
      </c>
      <c r="B7472" t="s">
        <v>201</v>
      </c>
      <c r="C7472" t="s">
        <v>94</v>
      </c>
      <c r="D7472">
        <v>2</v>
      </c>
      <c r="E7472">
        <v>575</v>
      </c>
      <c r="I7472">
        <v>2</v>
      </c>
      <c r="J7472">
        <v>376</v>
      </c>
      <c r="M7472" t="s">
        <v>7598</v>
      </c>
    </row>
    <row r="7473" spans="1:13">
      <c r="A7473" s="10">
        <v>46207</v>
      </c>
      <c r="B7473" t="s">
        <v>201</v>
      </c>
      <c r="C7473" t="s">
        <v>96</v>
      </c>
      <c r="D7473">
        <v>0</v>
      </c>
      <c r="E7473">
        <v>0</v>
      </c>
      <c r="I7473">
        <v>0</v>
      </c>
      <c r="J7473">
        <v>0</v>
      </c>
      <c r="M7473" t="s">
        <v>7599</v>
      </c>
    </row>
    <row r="7474" spans="1:13">
      <c r="A7474" s="10">
        <v>46207</v>
      </c>
      <c r="B7474" t="s">
        <v>201</v>
      </c>
      <c r="C7474" t="s">
        <v>98</v>
      </c>
      <c r="D7474">
        <v>2</v>
      </c>
      <c r="E7474">
        <v>213</v>
      </c>
      <c r="I7474">
        <v>0</v>
      </c>
      <c r="J7474">
        <v>617</v>
      </c>
      <c r="M7474" t="s">
        <v>7600</v>
      </c>
    </row>
    <row r="7475" spans="1:13">
      <c r="A7475" s="10">
        <v>46207</v>
      </c>
      <c r="B7475" t="s">
        <v>201</v>
      </c>
      <c r="C7475" t="s">
        <v>203</v>
      </c>
      <c r="D7475">
        <v>3</v>
      </c>
      <c r="E7475">
        <v>0</v>
      </c>
      <c r="I7475">
        <v>2</v>
      </c>
      <c r="J7475">
        <v>0</v>
      </c>
      <c r="M7475" t="s">
        <v>7601</v>
      </c>
    </row>
    <row r="7476" spans="1:13">
      <c r="A7476" s="10">
        <v>46207</v>
      </c>
      <c r="B7476" t="s">
        <v>201</v>
      </c>
      <c r="C7476" t="s">
        <v>100</v>
      </c>
      <c r="D7476">
        <v>0</v>
      </c>
      <c r="E7476">
        <v>0</v>
      </c>
      <c r="I7476">
        <v>0</v>
      </c>
      <c r="J7476">
        <v>0</v>
      </c>
      <c r="M7476" t="s">
        <v>7602</v>
      </c>
    </row>
    <row r="7477" spans="1:13">
      <c r="A7477" s="10">
        <v>46207</v>
      </c>
      <c r="B7477" t="s">
        <v>201</v>
      </c>
      <c r="C7477" t="s">
        <v>101</v>
      </c>
      <c r="D7477">
        <v>0</v>
      </c>
      <c r="E7477">
        <v>612</v>
      </c>
      <c r="I7477">
        <v>0</v>
      </c>
      <c r="J7477">
        <v>565</v>
      </c>
      <c r="M7477" t="s">
        <v>7603</v>
      </c>
    </row>
    <row r="7478" spans="1:13">
      <c r="A7478" s="10">
        <v>46207</v>
      </c>
      <c r="B7478" t="s">
        <v>201</v>
      </c>
      <c r="C7478" t="s">
        <v>103</v>
      </c>
      <c r="D7478">
        <v>0</v>
      </c>
      <c r="E7478">
        <v>10</v>
      </c>
      <c r="I7478">
        <v>0</v>
      </c>
      <c r="J7478">
        <v>7</v>
      </c>
      <c r="M7478" t="s">
        <v>7604</v>
      </c>
    </row>
    <row r="7479" spans="1:13">
      <c r="A7479" s="10">
        <v>46207</v>
      </c>
      <c r="B7479" t="s">
        <v>201</v>
      </c>
      <c r="C7479" t="s">
        <v>106</v>
      </c>
      <c r="D7479">
        <v>0</v>
      </c>
      <c r="E7479">
        <v>949</v>
      </c>
      <c r="I7479">
        <v>0</v>
      </c>
      <c r="J7479">
        <v>836</v>
      </c>
      <c r="M7479" t="s">
        <v>7605</v>
      </c>
    </row>
    <row r="7480" spans="1:13">
      <c r="A7480" s="10">
        <v>46207</v>
      </c>
      <c r="B7480" t="s">
        <v>201</v>
      </c>
      <c r="C7480" t="s">
        <v>108</v>
      </c>
      <c r="D7480">
        <v>1</v>
      </c>
      <c r="E7480">
        <v>485</v>
      </c>
      <c r="I7480">
        <v>1</v>
      </c>
      <c r="J7480">
        <v>843</v>
      </c>
      <c r="M7480" t="s">
        <v>7606</v>
      </c>
    </row>
    <row r="7481" spans="1:13">
      <c r="A7481" s="10">
        <v>46207</v>
      </c>
      <c r="B7481" t="s">
        <v>201</v>
      </c>
      <c r="C7481" t="s">
        <v>109</v>
      </c>
      <c r="D7481">
        <v>1</v>
      </c>
      <c r="E7481">
        <v>916</v>
      </c>
      <c r="I7481">
        <v>1</v>
      </c>
      <c r="J7481">
        <v>486</v>
      </c>
      <c r="M7481" t="s">
        <v>7607</v>
      </c>
    </row>
    <row r="7482" spans="1:13">
      <c r="A7482" s="10">
        <v>46207</v>
      </c>
      <c r="B7482" t="s">
        <v>201</v>
      </c>
      <c r="C7482" t="s">
        <v>112</v>
      </c>
      <c r="D7482">
        <v>1</v>
      </c>
      <c r="E7482">
        <v>36</v>
      </c>
      <c r="I7482">
        <v>1</v>
      </c>
      <c r="J7482">
        <v>34</v>
      </c>
      <c r="M7482" t="s">
        <v>7608</v>
      </c>
    </row>
    <row r="7483" spans="1:13">
      <c r="A7483" s="10">
        <v>46207</v>
      </c>
      <c r="B7483" t="s">
        <v>201</v>
      </c>
      <c r="C7483" t="s">
        <v>114</v>
      </c>
      <c r="D7483">
        <v>1</v>
      </c>
      <c r="E7483">
        <v>40</v>
      </c>
      <c r="F7483">
        <v>1</v>
      </c>
      <c r="I7483">
        <v>2</v>
      </c>
      <c r="J7483">
        <v>25</v>
      </c>
      <c r="M7483" t="s">
        <v>7609</v>
      </c>
    </row>
    <row r="7484" spans="1:13">
      <c r="A7484" s="10">
        <v>46207</v>
      </c>
      <c r="B7484" t="s">
        <v>201</v>
      </c>
      <c r="C7484" t="s">
        <v>115</v>
      </c>
      <c r="D7484">
        <v>1</v>
      </c>
      <c r="E7484">
        <v>9</v>
      </c>
      <c r="I7484">
        <v>0</v>
      </c>
      <c r="J7484">
        <v>56</v>
      </c>
      <c r="M7484" t="s">
        <v>7610</v>
      </c>
    </row>
    <row r="7485" spans="1:13">
      <c r="A7485" s="10">
        <v>46207</v>
      </c>
      <c r="B7485" t="s">
        <v>201</v>
      </c>
      <c r="C7485" t="s">
        <v>116</v>
      </c>
      <c r="D7485">
        <v>1</v>
      </c>
      <c r="E7485">
        <v>29</v>
      </c>
      <c r="F7485">
        <v>1</v>
      </c>
      <c r="I7485">
        <v>2</v>
      </c>
      <c r="J7485">
        <v>17</v>
      </c>
      <c r="M7485" t="s">
        <v>7611</v>
      </c>
    </row>
    <row r="7486" spans="1:13">
      <c r="A7486" s="10">
        <v>46207</v>
      </c>
      <c r="B7486" t="s">
        <v>201</v>
      </c>
      <c r="C7486" t="s">
        <v>119</v>
      </c>
      <c r="D7486">
        <v>4</v>
      </c>
      <c r="E7486">
        <v>0</v>
      </c>
      <c r="I7486">
        <v>4</v>
      </c>
      <c r="M7486" t="s">
        <v>7612</v>
      </c>
    </row>
    <row r="7487" spans="1:13">
      <c r="A7487" s="10">
        <v>46207</v>
      </c>
      <c r="B7487" t="s">
        <v>201</v>
      </c>
      <c r="C7487" t="s">
        <v>120</v>
      </c>
      <c r="D7487">
        <v>1</v>
      </c>
      <c r="E7487">
        <v>0</v>
      </c>
      <c r="F7487">
        <v>1</v>
      </c>
      <c r="I7487">
        <v>2</v>
      </c>
      <c r="M7487" t="s">
        <v>7613</v>
      </c>
    </row>
    <row r="7488" spans="1:13">
      <c r="A7488" s="10">
        <v>46207</v>
      </c>
      <c r="B7488" t="s">
        <v>201</v>
      </c>
      <c r="C7488" t="s">
        <v>121</v>
      </c>
      <c r="D7488">
        <v>1</v>
      </c>
      <c r="E7488">
        <v>0</v>
      </c>
      <c r="F7488">
        <v>1</v>
      </c>
      <c r="I7488">
        <v>2</v>
      </c>
      <c r="M7488" t="s">
        <v>7614</v>
      </c>
    </row>
    <row r="7489" spans="1:13">
      <c r="A7489" s="10">
        <v>46207</v>
      </c>
      <c r="B7489" t="s">
        <v>201</v>
      </c>
      <c r="C7489" t="s">
        <v>123</v>
      </c>
      <c r="D7489">
        <v>2</v>
      </c>
      <c r="E7489">
        <v>0</v>
      </c>
      <c r="I7489">
        <v>2</v>
      </c>
      <c r="M7489" t="s">
        <v>7615</v>
      </c>
    </row>
    <row r="7490" spans="1:13">
      <c r="A7490" s="10">
        <v>46207</v>
      </c>
      <c r="B7490" t="s">
        <v>201</v>
      </c>
      <c r="C7490" t="s">
        <v>124</v>
      </c>
      <c r="D7490">
        <v>2</v>
      </c>
      <c r="E7490">
        <v>0</v>
      </c>
      <c r="I7490">
        <v>2</v>
      </c>
      <c r="M7490" t="s">
        <v>7616</v>
      </c>
    </row>
    <row r="7491" spans="1:13">
      <c r="A7491" s="10">
        <v>46207</v>
      </c>
      <c r="B7491" t="s">
        <v>201</v>
      </c>
      <c r="C7491" t="s">
        <v>125</v>
      </c>
      <c r="D7491">
        <v>2</v>
      </c>
      <c r="E7491">
        <v>0</v>
      </c>
      <c r="I7491">
        <v>2</v>
      </c>
      <c r="M7491" t="s">
        <v>7617</v>
      </c>
    </row>
    <row r="7492" spans="1:13">
      <c r="A7492" s="10">
        <v>46207</v>
      </c>
      <c r="B7492" t="s">
        <v>201</v>
      </c>
      <c r="C7492" t="s">
        <v>126</v>
      </c>
      <c r="D7492">
        <v>2</v>
      </c>
      <c r="E7492">
        <v>0</v>
      </c>
      <c r="I7492">
        <v>2</v>
      </c>
      <c r="M7492" t="s">
        <v>7618</v>
      </c>
    </row>
    <row r="7493" spans="1:13">
      <c r="A7493" s="10">
        <v>46207</v>
      </c>
      <c r="B7493" t="s">
        <v>201</v>
      </c>
      <c r="C7493" t="s">
        <v>128</v>
      </c>
      <c r="D7493">
        <v>1</v>
      </c>
      <c r="E7493">
        <v>0</v>
      </c>
      <c r="F7493">
        <v>1</v>
      </c>
      <c r="I7493">
        <v>2</v>
      </c>
      <c r="M7493" t="s">
        <v>7619</v>
      </c>
    </row>
    <row r="7494" spans="1:13">
      <c r="A7494" s="10">
        <v>46207</v>
      </c>
      <c r="B7494" t="s">
        <v>201</v>
      </c>
      <c r="C7494" t="s">
        <v>130</v>
      </c>
      <c r="D7494">
        <v>1</v>
      </c>
      <c r="E7494">
        <v>0</v>
      </c>
      <c r="F7494">
        <v>2</v>
      </c>
      <c r="I7494">
        <v>3</v>
      </c>
      <c r="M7494" t="s">
        <v>7620</v>
      </c>
    </row>
    <row r="7495" spans="1:13">
      <c r="A7495" s="10">
        <v>46207</v>
      </c>
      <c r="B7495" t="s">
        <v>201</v>
      </c>
      <c r="C7495" t="s">
        <v>285</v>
      </c>
      <c r="D7495">
        <v>2</v>
      </c>
      <c r="E7495">
        <v>0</v>
      </c>
      <c r="I7495">
        <v>2</v>
      </c>
      <c r="M7495" t="s">
        <v>7621</v>
      </c>
    </row>
    <row r="7496" spans="1:13">
      <c r="A7496" s="10">
        <v>46207</v>
      </c>
      <c r="B7496" t="s">
        <v>201</v>
      </c>
      <c r="C7496" t="s">
        <v>287</v>
      </c>
      <c r="D7496">
        <v>6</v>
      </c>
      <c r="E7496">
        <v>0</v>
      </c>
      <c r="I7496">
        <v>6</v>
      </c>
      <c r="M7496" t="s">
        <v>7622</v>
      </c>
    </row>
    <row r="7497" spans="1:13">
      <c r="A7497" s="10">
        <v>46207</v>
      </c>
      <c r="B7497" t="s">
        <v>201</v>
      </c>
      <c r="C7497" t="s">
        <v>289</v>
      </c>
      <c r="D7497">
        <v>2</v>
      </c>
      <c r="E7497">
        <v>0</v>
      </c>
      <c r="I7497">
        <v>2</v>
      </c>
      <c r="M7497" t="s">
        <v>7623</v>
      </c>
    </row>
    <row r="7498" spans="1:13">
      <c r="A7498" s="10">
        <v>46207</v>
      </c>
      <c r="B7498" t="s">
        <v>201</v>
      </c>
      <c r="C7498" t="s">
        <v>291</v>
      </c>
      <c r="D7498">
        <v>1</v>
      </c>
      <c r="E7498">
        <v>0</v>
      </c>
      <c r="I7498">
        <v>1</v>
      </c>
      <c r="M7498" t="s">
        <v>7624</v>
      </c>
    </row>
    <row r="7499" spans="1:13">
      <c r="A7499" s="10">
        <v>46207</v>
      </c>
      <c r="B7499" t="s">
        <v>201</v>
      </c>
      <c r="C7499" t="s">
        <v>293</v>
      </c>
      <c r="D7499">
        <v>1</v>
      </c>
      <c r="E7499">
        <v>0</v>
      </c>
      <c r="I7499">
        <v>1</v>
      </c>
      <c r="M7499" t="s">
        <v>7625</v>
      </c>
    </row>
    <row r="7500" spans="1:13">
      <c r="A7500" s="10">
        <v>46207</v>
      </c>
      <c r="B7500" t="s">
        <v>201</v>
      </c>
      <c r="C7500" s="135" t="s">
        <v>138</v>
      </c>
      <c r="D7500">
        <v>0</v>
      </c>
      <c r="E7500">
        <v>39</v>
      </c>
      <c r="I7500">
        <v>0</v>
      </c>
      <c r="J7500">
        <v>38</v>
      </c>
      <c r="M7500" t="s">
        <v>7626</v>
      </c>
    </row>
    <row r="7501" spans="1:13">
      <c r="A7501" s="10">
        <v>46207</v>
      </c>
      <c r="B7501" t="s">
        <v>201</v>
      </c>
      <c r="C7501" s="135" t="s">
        <v>139</v>
      </c>
      <c r="D7501">
        <v>0</v>
      </c>
      <c r="E7501">
        <v>50</v>
      </c>
      <c r="I7501">
        <v>0</v>
      </c>
      <c r="J7501">
        <v>44</v>
      </c>
      <c r="M7501" t="s">
        <v>7627</v>
      </c>
    </row>
    <row r="7502" spans="1:13">
      <c r="A7502" s="10">
        <v>46207</v>
      </c>
      <c r="B7502" t="s">
        <v>201</v>
      </c>
      <c r="C7502" s="135" t="s">
        <v>140</v>
      </c>
      <c r="D7502">
        <v>0</v>
      </c>
      <c r="E7502">
        <v>47</v>
      </c>
      <c r="I7502">
        <v>0</v>
      </c>
      <c r="J7502">
        <v>47</v>
      </c>
      <c r="M7502" t="s">
        <v>7628</v>
      </c>
    </row>
    <row r="7503" spans="1:13">
      <c r="A7503" s="10">
        <v>46207</v>
      </c>
      <c r="B7503" t="s">
        <v>201</v>
      </c>
      <c r="C7503" s="135" t="s">
        <v>141</v>
      </c>
      <c r="D7503">
        <v>0</v>
      </c>
      <c r="E7503">
        <v>1</v>
      </c>
      <c r="I7503">
        <v>0</v>
      </c>
      <c r="J7503">
        <v>1</v>
      </c>
      <c r="M7503" t="s">
        <v>7629</v>
      </c>
    </row>
    <row r="7504" spans="1:13">
      <c r="A7504" s="10">
        <v>46207</v>
      </c>
      <c r="B7504" t="s">
        <v>201</v>
      </c>
      <c r="C7504" s="135" t="s">
        <v>143</v>
      </c>
      <c r="D7504">
        <v>0</v>
      </c>
      <c r="E7504">
        <v>0</v>
      </c>
      <c r="G7504">
        <v>40</v>
      </c>
      <c r="I7504">
        <v>0</v>
      </c>
      <c r="J7504">
        <v>37</v>
      </c>
      <c r="M7504" t="s">
        <v>7630</v>
      </c>
    </row>
    <row r="7505" spans="1:13">
      <c r="A7505" s="10">
        <v>46207</v>
      </c>
      <c r="B7505" t="s">
        <v>201</v>
      </c>
      <c r="C7505" s="135" t="s">
        <v>145</v>
      </c>
      <c r="D7505">
        <v>0</v>
      </c>
      <c r="E7505">
        <v>34</v>
      </c>
      <c r="I7505">
        <v>0</v>
      </c>
      <c r="J7505">
        <v>33</v>
      </c>
      <c r="M7505" t="s">
        <v>7631</v>
      </c>
    </row>
    <row r="7506" spans="1:13">
      <c r="A7506" s="10">
        <v>46207</v>
      </c>
      <c r="B7506" t="s">
        <v>201</v>
      </c>
      <c r="C7506" s="135" t="s">
        <v>147</v>
      </c>
      <c r="D7506">
        <v>0</v>
      </c>
      <c r="E7506">
        <v>42</v>
      </c>
      <c r="I7506">
        <v>0</v>
      </c>
      <c r="J7506">
        <v>42</v>
      </c>
      <c r="M7506" t="s">
        <v>7632</v>
      </c>
    </row>
    <row r="7507" spans="1:13">
      <c r="A7507" s="10">
        <v>46207</v>
      </c>
      <c r="B7507" t="s">
        <v>201</v>
      </c>
      <c r="C7507" t="s">
        <v>302</v>
      </c>
      <c r="D7507">
        <v>1</v>
      </c>
      <c r="E7507">
        <v>0</v>
      </c>
      <c r="I7507">
        <v>1</v>
      </c>
      <c r="M7507" t="s">
        <v>7633</v>
      </c>
    </row>
    <row r="7508" spans="1:13">
      <c r="A7508" s="10">
        <v>46207</v>
      </c>
      <c r="B7508" t="s">
        <v>201</v>
      </c>
      <c r="C7508" t="s">
        <v>150</v>
      </c>
      <c r="D7508">
        <v>3</v>
      </c>
      <c r="E7508">
        <v>0</v>
      </c>
      <c r="I7508">
        <v>3</v>
      </c>
      <c r="M7508" t="s">
        <v>7634</v>
      </c>
    </row>
    <row r="7509" spans="1:13">
      <c r="A7509" s="10">
        <v>46207</v>
      </c>
      <c r="B7509" t="s">
        <v>201</v>
      </c>
      <c r="C7509" t="s">
        <v>151</v>
      </c>
      <c r="D7509">
        <v>2</v>
      </c>
      <c r="E7509">
        <v>0</v>
      </c>
      <c r="I7509">
        <v>2</v>
      </c>
      <c r="M7509" t="s">
        <v>7635</v>
      </c>
    </row>
    <row r="7510" spans="1:13">
      <c r="A7510" s="10">
        <v>46207</v>
      </c>
      <c r="B7510" t="s">
        <v>201</v>
      </c>
      <c r="C7510" t="s">
        <v>152</v>
      </c>
      <c r="D7510">
        <v>2</v>
      </c>
      <c r="E7510">
        <v>0</v>
      </c>
      <c r="I7510">
        <v>2</v>
      </c>
      <c r="M7510" t="s">
        <v>7636</v>
      </c>
    </row>
    <row r="7511" spans="1:13">
      <c r="A7511" s="10">
        <v>46207</v>
      </c>
      <c r="B7511" t="s">
        <v>201</v>
      </c>
      <c r="C7511" t="s">
        <v>153</v>
      </c>
      <c r="D7511">
        <v>2</v>
      </c>
      <c r="E7511">
        <v>0</v>
      </c>
      <c r="I7511">
        <v>2</v>
      </c>
      <c r="M7511" t="s">
        <v>7637</v>
      </c>
    </row>
    <row r="7512" spans="1:13">
      <c r="A7512" s="10">
        <v>46207</v>
      </c>
      <c r="B7512" t="s">
        <v>201</v>
      </c>
      <c r="C7512" t="s">
        <v>308</v>
      </c>
      <c r="D7512">
        <v>0</v>
      </c>
      <c r="E7512">
        <v>2</v>
      </c>
      <c r="G7512">
        <v>2</v>
      </c>
      <c r="I7512">
        <v>0</v>
      </c>
      <c r="J7512">
        <v>4</v>
      </c>
      <c r="M7512" t="s">
        <v>7638</v>
      </c>
    </row>
    <row r="7513" spans="1:13">
      <c r="A7513" s="10">
        <v>46207</v>
      </c>
      <c r="B7513" t="s">
        <v>201</v>
      </c>
      <c r="C7513" t="s">
        <v>310</v>
      </c>
      <c r="D7513">
        <v>0</v>
      </c>
      <c r="E7513">
        <v>2</v>
      </c>
      <c r="I7513">
        <v>0</v>
      </c>
      <c r="J7513">
        <v>2</v>
      </c>
      <c r="M7513" t="s">
        <v>7639</v>
      </c>
    </row>
    <row r="7514" spans="1:13">
      <c r="A7514" s="10">
        <v>46207</v>
      </c>
      <c r="B7514" t="s">
        <v>201</v>
      </c>
      <c r="C7514" t="s">
        <v>312</v>
      </c>
      <c r="D7514">
        <v>0</v>
      </c>
      <c r="E7514">
        <v>3</v>
      </c>
      <c r="I7514">
        <v>0</v>
      </c>
      <c r="J7514">
        <v>3</v>
      </c>
      <c r="M7514" t="s">
        <v>7640</v>
      </c>
    </row>
    <row r="7515" spans="1:13">
      <c r="A7515" s="10">
        <v>46207</v>
      </c>
      <c r="B7515" t="s">
        <v>201</v>
      </c>
      <c r="C7515" t="s">
        <v>314</v>
      </c>
      <c r="D7515">
        <v>1</v>
      </c>
      <c r="E7515">
        <v>0</v>
      </c>
      <c r="I7515">
        <v>1</v>
      </c>
      <c r="M7515" t="s">
        <v>7641</v>
      </c>
    </row>
    <row r="7516" spans="1:13">
      <c r="A7516" s="10">
        <v>46207</v>
      </c>
      <c r="B7516" t="s">
        <v>201</v>
      </c>
      <c r="C7516" t="s">
        <v>316</v>
      </c>
      <c r="D7516">
        <v>1</v>
      </c>
      <c r="E7516">
        <v>0</v>
      </c>
      <c r="I7516">
        <v>1</v>
      </c>
      <c r="M7516" t="s">
        <v>7642</v>
      </c>
    </row>
    <row r="7517" spans="1:13">
      <c r="A7517" s="10">
        <v>46207</v>
      </c>
      <c r="B7517" t="s">
        <v>201</v>
      </c>
      <c r="C7517" t="s">
        <v>318</v>
      </c>
      <c r="D7517">
        <v>3</v>
      </c>
      <c r="E7517">
        <v>0</v>
      </c>
      <c r="I7517">
        <v>3</v>
      </c>
      <c r="M7517" t="s">
        <v>7643</v>
      </c>
    </row>
    <row r="7518" spans="1:13">
      <c r="A7518" s="10">
        <v>46207</v>
      </c>
      <c r="B7518" t="s">
        <v>201</v>
      </c>
      <c r="C7518" t="s">
        <v>320</v>
      </c>
      <c r="D7518">
        <v>2</v>
      </c>
      <c r="E7518">
        <v>0</v>
      </c>
      <c r="I7518">
        <v>2</v>
      </c>
      <c r="M7518" t="s">
        <v>7644</v>
      </c>
    </row>
    <row r="7519" spans="1:13">
      <c r="A7519" s="10">
        <v>46207</v>
      </c>
      <c r="B7519" t="s">
        <v>201</v>
      </c>
      <c r="C7519" t="s">
        <v>322</v>
      </c>
      <c r="D7519">
        <v>1</v>
      </c>
      <c r="E7519">
        <v>0</v>
      </c>
      <c r="I7519">
        <v>1</v>
      </c>
      <c r="M7519" t="s">
        <v>7645</v>
      </c>
    </row>
    <row r="7520" spans="1:13">
      <c r="A7520" s="10">
        <v>46207</v>
      </c>
      <c r="B7520" t="s">
        <v>201</v>
      </c>
      <c r="C7520" s="135" t="s">
        <v>168</v>
      </c>
      <c r="D7520">
        <v>1</v>
      </c>
      <c r="E7520">
        <v>0</v>
      </c>
      <c r="I7520">
        <v>1</v>
      </c>
      <c r="M7520" t="s">
        <v>7646</v>
      </c>
    </row>
    <row r="7521" spans="1:13">
      <c r="A7521" s="10">
        <v>46207</v>
      </c>
      <c r="B7521" t="s">
        <v>201</v>
      </c>
      <c r="C7521" s="135" t="s">
        <v>170</v>
      </c>
      <c r="D7521">
        <v>1</v>
      </c>
      <c r="E7521">
        <v>0</v>
      </c>
      <c r="I7521">
        <v>1</v>
      </c>
      <c r="M7521" t="s">
        <v>7647</v>
      </c>
    </row>
    <row r="7522" spans="1:13">
      <c r="A7522" s="10">
        <v>46207</v>
      </c>
      <c r="B7522" t="s">
        <v>201</v>
      </c>
      <c r="C7522" s="135" t="s">
        <v>171</v>
      </c>
      <c r="D7522">
        <v>2</v>
      </c>
      <c r="E7522">
        <v>0</v>
      </c>
      <c r="I7522">
        <v>2</v>
      </c>
      <c r="M7522" t="s">
        <v>7648</v>
      </c>
    </row>
    <row r="7523" spans="1:13">
      <c r="A7523" s="10">
        <v>46207</v>
      </c>
      <c r="B7523" t="s">
        <v>201</v>
      </c>
      <c r="C7523" s="135" t="s">
        <v>172</v>
      </c>
      <c r="D7523">
        <v>1</v>
      </c>
      <c r="E7523">
        <v>0</v>
      </c>
      <c r="I7523">
        <v>1</v>
      </c>
      <c r="M7523" t="s">
        <v>7649</v>
      </c>
    </row>
    <row r="7524" spans="1:13">
      <c r="A7524" s="10">
        <v>46207</v>
      </c>
      <c r="B7524" t="s">
        <v>201</v>
      </c>
      <c r="C7524" s="135" t="s">
        <v>173</v>
      </c>
      <c r="D7524">
        <v>0</v>
      </c>
      <c r="E7524">
        <v>0</v>
      </c>
      <c r="I7524">
        <v>0</v>
      </c>
      <c r="M7524" t="s">
        <v>7650</v>
      </c>
    </row>
    <row r="7525" spans="1:13">
      <c r="A7525" s="10">
        <v>46207</v>
      </c>
      <c r="B7525" t="s">
        <v>201</v>
      </c>
      <c r="C7525" t="s">
        <v>176</v>
      </c>
      <c r="D7525">
        <v>0</v>
      </c>
      <c r="E7525">
        <v>21</v>
      </c>
      <c r="I7525">
        <v>0</v>
      </c>
      <c r="J7525">
        <v>21</v>
      </c>
      <c r="M7525" t="s">
        <v>7651</v>
      </c>
    </row>
    <row r="7526" spans="1:13">
      <c r="A7526" s="10">
        <v>46207</v>
      </c>
      <c r="B7526" t="s">
        <v>201</v>
      </c>
      <c r="C7526" t="s">
        <v>178</v>
      </c>
      <c r="D7526">
        <v>0</v>
      </c>
      <c r="E7526">
        <v>21</v>
      </c>
      <c r="I7526">
        <v>0</v>
      </c>
      <c r="J7526">
        <v>21</v>
      </c>
      <c r="M7526" t="s">
        <v>7652</v>
      </c>
    </row>
    <row r="7527" spans="1:13">
      <c r="A7527" s="10">
        <v>46207</v>
      </c>
      <c r="B7527" t="s">
        <v>201</v>
      </c>
      <c r="C7527" t="s">
        <v>179</v>
      </c>
      <c r="D7527">
        <v>0</v>
      </c>
      <c r="E7527">
        <v>15</v>
      </c>
      <c r="H7527">
        <v>1</v>
      </c>
      <c r="I7527">
        <v>0</v>
      </c>
      <c r="J7527">
        <v>14</v>
      </c>
      <c r="M7527" t="s">
        <v>7653</v>
      </c>
    </row>
    <row r="7528" spans="1:13">
      <c r="A7528" s="10">
        <v>46207</v>
      </c>
      <c r="B7528" t="s">
        <v>201</v>
      </c>
      <c r="C7528" t="s">
        <v>180</v>
      </c>
      <c r="D7528">
        <v>0</v>
      </c>
      <c r="E7528">
        <v>16</v>
      </c>
      <c r="H7528">
        <v>1</v>
      </c>
      <c r="I7528">
        <v>0</v>
      </c>
      <c r="J7528">
        <v>15</v>
      </c>
      <c r="M7528" t="s">
        <v>7654</v>
      </c>
    </row>
    <row r="7529" spans="1:13">
      <c r="A7529" s="10">
        <v>46207</v>
      </c>
      <c r="B7529" t="s">
        <v>201</v>
      </c>
      <c r="C7529" s="135" t="s">
        <v>182</v>
      </c>
      <c r="D7529">
        <v>1</v>
      </c>
      <c r="E7529">
        <v>150</v>
      </c>
      <c r="I7529">
        <v>1</v>
      </c>
      <c r="J7529">
        <v>150</v>
      </c>
      <c r="M7529" t="s">
        <v>7655</v>
      </c>
    </row>
    <row r="7530" spans="1:13">
      <c r="A7530" s="10">
        <v>46207</v>
      </c>
      <c r="B7530" t="s">
        <v>201</v>
      </c>
      <c r="C7530" s="135" t="s">
        <v>184</v>
      </c>
      <c r="D7530">
        <v>2</v>
      </c>
      <c r="E7530">
        <v>41</v>
      </c>
      <c r="I7530">
        <v>2</v>
      </c>
      <c r="J7530">
        <v>38</v>
      </c>
      <c r="M7530" t="s">
        <v>7656</v>
      </c>
    </row>
    <row r="7531" spans="1:13">
      <c r="A7531" s="10">
        <v>46207</v>
      </c>
      <c r="B7531" t="s">
        <v>201</v>
      </c>
      <c r="C7531" s="135" t="s">
        <v>185</v>
      </c>
      <c r="D7531">
        <v>1</v>
      </c>
      <c r="E7531">
        <v>26</v>
      </c>
      <c r="I7531">
        <v>1</v>
      </c>
      <c r="J7531">
        <v>20</v>
      </c>
      <c r="M7531" t="s">
        <v>7657</v>
      </c>
    </row>
    <row r="7532" spans="1:13">
      <c r="A7532" s="10">
        <v>46207</v>
      </c>
      <c r="B7532" t="s">
        <v>201</v>
      </c>
      <c r="C7532" s="135" t="s">
        <v>186</v>
      </c>
      <c r="D7532">
        <v>1</v>
      </c>
      <c r="E7532">
        <v>490</v>
      </c>
      <c r="I7532">
        <v>1</v>
      </c>
      <c r="J7532">
        <v>490</v>
      </c>
      <c r="M7532" t="s">
        <v>7658</v>
      </c>
    </row>
    <row r="7533" spans="1:13">
      <c r="A7533" s="10">
        <v>46207</v>
      </c>
      <c r="B7533" t="s">
        <v>201</v>
      </c>
      <c r="C7533" t="s">
        <v>337</v>
      </c>
      <c r="D7533">
        <v>2</v>
      </c>
      <c r="E7533">
        <v>190</v>
      </c>
      <c r="I7533">
        <v>2</v>
      </c>
      <c r="J7533">
        <v>86</v>
      </c>
      <c r="M7533" t="s">
        <v>7659</v>
      </c>
    </row>
    <row r="7534" spans="1:13">
      <c r="A7534" s="10">
        <v>46207</v>
      </c>
      <c r="B7534" t="s">
        <v>201</v>
      </c>
      <c r="C7534" t="s">
        <v>339</v>
      </c>
      <c r="D7534">
        <v>0</v>
      </c>
      <c r="E7534">
        <v>0</v>
      </c>
      <c r="I7534">
        <v>0</v>
      </c>
      <c r="J7534">
        <v>0</v>
      </c>
      <c r="M7534" t="s">
        <v>7660</v>
      </c>
    </row>
    <row r="7535" spans="1:13">
      <c r="A7535" s="10">
        <v>46207</v>
      </c>
      <c r="B7535" t="s">
        <v>201</v>
      </c>
      <c r="C7535" s="135" t="s">
        <v>191</v>
      </c>
      <c r="D7535">
        <v>1</v>
      </c>
      <c r="E7535">
        <v>317</v>
      </c>
      <c r="I7535">
        <v>1</v>
      </c>
      <c r="J7535">
        <v>292</v>
      </c>
      <c r="M7535" t="s">
        <v>7661</v>
      </c>
    </row>
    <row r="7536" spans="1:13">
      <c r="A7536" s="10">
        <v>46207</v>
      </c>
      <c r="B7536" t="s">
        <v>201</v>
      </c>
      <c r="C7536" s="135" t="s">
        <v>193</v>
      </c>
      <c r="D7536">
        <v>0</v>
      </c>
      <c r="E7536">
        <v>297</v>
      </c>
      <c r="F7536">
        <v>1</v>
      </c>
      <c r="I7536">
        <v>1</v>
      </c>
      <c r="J7536">
        <v>239</v>
      </c>
      <c r="M7536" t="s">
        <v>7662</v>
      </c>
    </row>
    <row r="7537" spans="1:13">
      <c r="A7537" s="10">
        <v>46207</v>
      </c>
      <c r="B7537" t="s">
        <v>201</v>
      </c>
      <c r="C7537" s="135" t="s">
        <v>194</v>
      </c>
      <c r="D7537">
        <v>1</v>
      </c>
      <c r="E7537">
        <v>41</v>
      </c>
      <c r="I7537">
        <v>1</v>
      </c>
      <c r="J7537">
        <v>38</v>
      </c>
      <c r="M7537" t="s">
        <v>7663</v>
      </c>
    </row>
    <row r="7538" spans="1:13">
      <c r="A7538" s="10">
        <v>46207</v>
      </c>
      <c r="B7538" t="s">
        <v>201</v>
      </c>
      <c r="C7538" s="135" t="s">
        <v>196</v>
      </c>
      <c r="D7538">
        <v>0</v>
      </c>
      <c r="E7538">
        <v>720</v>
      </c>
      <c r="I7538">
        <v>0</v>
      </c>
      <c r="J7538">
        <v>690</v>
      </c>
      <c r="M7538" t="s">
        <v>7664</v>
      </c>
    </row>
    <row r="7539" spans="1:13">
      <c r="A7539" s="10">
        <v>46207</v>
      </c>
      <c r="B7539" t="s">
        <v>201</v>
      </c>
      <c r="C7539" s="135" t="s">
        <v>199</v>
      </c>
      <c r="D7539">
        <v>0</v>
      </c>
      <c r="E7539">
        <v>475</v>
      </c>
      <c r="I7539">
        <v>0</v>
      </c>
      <c r="J7539">
        <v>399</v>
      </c>
      <c r="M7539" t="s">
        <v>7665</v>
      </c>
    </row>
    <row r="7540" spans="1:13">
      <c r="A7540" s="10">
        <v>46207</v>
      </c>
      <c r="B7540" t="s">
        <v>201</v>
      </c>
      <c r="C7540" s="135" t="s">
        <v>200</v>
      </c>
      <c r="D7540">
        <v>0</v>
      </c>
      <c r="E7540">
        <v>493</v>
      </c>
      <c r="I7540">
        <v>0</v>
      </c>
      <c r="J7540">
        <v>432</v>
      </c>
      <c r="M7540" t="s">
        <v>7666</v>
      </c>
    </row>
    <row r="7541" spans="1:13">
      <c r="A7541" s="10">
        <v>46207</v>
      </c>
      <c r="B7541" t="s">
        <v>201</v>
      </c>
      <c r="C7541" s="135" t="s">
        <v>202</v>
      </c>
      <c r="D7541">
        <v>0</v>
      </c>
      <c r="E7541">
        <v>448</v>
      </c>
      <c r="I7541">
        <v>0</v>
      </c>
      <c r="J7541">
        <v>407</v>
      </c>
      <c r="M7541" t="s">
        <v>7667</v>
      </c>
    </row>
    <row r="7542" spans="1:13">
      <c r="A7542" s="10">
        <v>46208</v>
      </c>
      <c r="B7542" t="s">
        <v>201</v>
      </c>
      <c r="C7542" t="s">
        <v>23</v>
      </c>
      <c r="D7542">
        <v>6</v>
      </c>
      <c r="E7542">
        <v>292</v>
      </c>
      <c r="G7542">
        <v>500</v>
      </c>
      <c r="I7542">
        <v>5</v>
      </c>
      <c r="J7542">
        <v>1315</v>
      </c>
      <c r="M7542" t="s">
        <v>7668</v>
      </c>
    </row>
    <row r="7543" spans="1:13">
      <c r="A7543" s="10">
        <v>46208</v>
      </c>
      <c r="B7543" t="s">
        <v>201</v>
      </c>
      <c r="C7543" t="s">
        <v>26</v>
      </c>
      <c r="D7543">
        <v>2</v>
      </c>
      <c r="E7543">
        <v>1142</v>
      </c>
      <c r="I7543">
        <v>2</v>
      </c>
      <c r="J7543">
        <v>936</v>
      </c>
      <c r="M7543" t="s">
        <v>7669</v>
      </c>
    </row>
    <row r="7544" spans="1:13">
      <c r="A7544" s="10">
        <v>46208</v>
      </c>
      <c r="B7544" t="s">
        <v>201</v>
      </c>
      <c r="C7544" t="s">
        <v>27</v>
      </c>
      <c r="D7544">
        <v>2</v>
      </c>
      <c r="E7544">
        <v>613</v>
      </c>
      <c r="I7544">
        <v>2</v>
      </c>
      <c r="J7544">
        <v>377</v>
      </c>
      <c r="M7544" t="s">
        <v>7670</v>
      </c>
    </row>
    <row r="7545" spans="1:13">
      <c r="A7545" s="10">
        <v>46208</v>
      </c>
      <c r="B7545" t="s">
        <v>201</v>
      </c>
      <c r="C7545" t="s">
        <v>28</v>
      </c>
      <c r="D7545">
        <v>0</v>
      </c>
      <c r="E7545">
        <v>0</v>
      </c>
      <c r="I7545">
        <v>0</v>
      </c>
      <c r="J7545">
        <v>0</v>
      </c>
      <c r="M7545" t="s">
        <v>7671</v>
      </c>
    </row>
    <row r="7546" spans="1:13">
      <c r="A7546" s="10">
        <v>46208</v>
      </c>
      <c r="B7546" t="s">
        <v>201</v>
      </c>
      <c r="C7546" t="s">
        <v>29</v>
      </c>
      <c r="D7546">
        <v>0</v>
      </c>
      <c r="E7546">
        <v>1168</v>
      </c>
      <c r="I7546">
        <v>0</v>
      </c>
      <c r="J7546">
        <v>1032</v>
      </c>
      <c r="M7546" t="s">
        <v>7672</v>
      </c>
    </row>
    <row r="7547" spans="1:13">
      <c r="A7547" s="10">
        <v>46208</v>
      </c>
      <c r="B7547" t="s">
        <v>201</v>
      </c>
      <c r="C7547" t="s">
        <v>30</v>
      </c>
      <c r="D7547">
        <v>0</v>
      </c>
      <c r="E7547">
        <v>793</v>
      </c>
      <c r="I7547">
        <v>0</v>
      </c>
      <c r="J7547">
        <v>604</v>
      </c>
      <c r="M7547" t="s">
        <v>7673</v>
      </c>
    </row>
    <row r="7548" spans="1:13">
      <c r="A7548" s="10">
        <v>46208</v>
      </c>
      <c r="B7548" t="s">
        <v>201</v>
      </c>
      <c r="C7548" t="s">
        <v>31</v>
      </c>
      <c r="D7548">
        <v>1</v>
      </c>
      <c r="E7548">
        <v>892</v>
      </c>
      <c r="I7548">
        <v>0</v>
      </c>
      <c r="J7548">
        <v>932</v>
      </c>
      <c r="M7548" t="s">
        <v>7674</v>
      </c>
    </row>
    <row r="7549" spans="1:13">
      <c r="A7549" s="10">
        <v>46208</v>
      </c>
      <c r="B7549" t="s">
        <v>201</v>
      </c>
      <c r="C7549" t="s">
        <v>32</v>
      </c>
      <c r="D7549">
        <v>2</v>
      </c>
      <c r="E7549">
        <v>781</v>
      </c>
      <c r="I7549">
        <v>2</v>
      </c>
      <c r="J7549">
        <v>781</v>
      </c>
      <c r="M7549" t="s">
        <v>7675</v>
      </c>
    </row>
    <row r="7550" spans="1:13">
      <c r="A7550" s="10">
        <v>46208</v>
      </c>
      <c r="B7550" t="s">
        <v>201</v>
      </c>
      <c r="C7550" t="s">
        <v>223</v>
      </c>
      <c r="D7550">
        <v>5</v>
      </c>
      <c r="E7550">
        <v>810</v>
      </c>
      <c r="I7550">
        <v>5</v>
      </c>
      <c r="J7550">
        <v>269</v>
      </c>
      <c r="M7550" t="s">
        <v>7676</v>
      </c>
    </row>
    <row r="7551" spans="1:13">
      <c r="A7551" s="10">
        <v>46208</v>
      </c>
      <c r="B7551" t="s">
        <v>201</v>
      </c>
      <c r="C7551" t="s">
        <v>35</v>
      </c>
      <c r="D7551">
        <v>6</v>
      </c>
      <c r="E7551">
        <v>0</v>
      </c>
      <c r="H7551">
        <v>5</v>
      </c>
      <c r="I7551">
        <v>0</v>
      </c>
      <c r="K7551">
        <v>1</v>
      </c>
      <c r="M7551" t="s">
        <v>7677</v>
      </c>
    </row>
    <row r="7552" spans="1:13">
      <c r="A7552" s="10">
        <v>46208</v>
      </c>
      <c r="B7552" t="s">
        <v>201</v>
      </c>
      <c r="C7552" t="s">
        <v>37</v>
      </c>
      <c r="D7552">
        <v>2</v>
      </c>
      <c r="E7552">
        <v>0</v>
      </c>
      <c r="I7552">
        <v>2</v>
      </c>
      <c r="M7552" t="s">
        <v>7678</v>
      </c>
    </row>
    <row r="7553" spans="1:13">
      <c r="A7553" s="10">
        <v>46208</v>
      </c>
      <c r="B7553" t="s">
        <v>201</v>
      </c>
      <c r="C7553" t="s">
        <v>39</v>
      </c>
      <c r="D7553">
        <v>32</v>
      </c>
      <c r="E7553">
        <v>0</v>
      </c>
      <c r="H7553">
        <v>1</v>
      </c>
      <c r="I7553">
        <v>31</v>
      </c>
      <c r="M7553" t="s">
        <v>7679</v>
      </c>
    </row>
    <row r="7554" spans="1:13">
      <c r="A7554" s="10">
        <v>46208</v>
      </c>
      <c r="B7554" t="s">
        <v>201</v>
      </c>
      <c r="C7554" t="s">
        <v>41</v>
      </c>
      <c r="D7554">
        <v>16</v>
      </c>
      <c r="E7554">
        <v>0</v>
      </c>
      <c r="H7554">
        <v>3</v>
      </c>
      <c r="I7554">
        <v>13</v>
      </c>
      <c r="M7554" t="s">
        <v>7680</v>
      </c>
    </row>
    <row r="7555" spans="1:13">
      <c r="A7555" s="10">
        <v>46208</v>
      </c>
      <c r="B7555" t="s">
        <v>201</v>
      </c>
      <c r="C7555" s="135" t="s">
        <v>44</v>
      </c>
      <c r="D7555">
        <v>5</v>
      </c>
      <c r="E7555">
        <v>6607</v>
      </c>
      <c r="I7555">
        <v>4</v>
      </c>
      <c r="J7555">
        <v>6276</v>
      </c>
      <c r="M7555" t="s">
        <v>7681</v>
      </c>
    </row>
    <row r="7556" spans="1:13">
      <c r="A7556" s="10">
        <v>46208</v>
      </c>
      <c r="B7556" t="s">
        <v>201</v>
      </c>
      <c r="C7556" t="s">
        <v>230</v>
      </c>
      <c r="D7556">
        <v>1</v>
      </c>
      <c r="E7556">
        <v>337</v>
      </c>
      <c r="I7556">
        <v>1</v>
      </c>
      <c r="J7556">
        <v>317</v>
      </c>
      <c r="M7556" t="s">
        <v>7682</v>
      </c>
    </row>
    <row r="7557" spans="1:13">
      <c r="A7557" s="10">
        <v>46208</v>
      </c>
      <c r="B7557" t="s">
        <v>201</v>
      </c>
      <c r="C7557" t="s">
        <v>232</v>
      </c>
      <c r="D7557">
        <v>5</v>
      </c>
      <c r="E7557">
        <v>0</v>
      </c>
      <c r="I7557">
        <v>5</v>
      </c>
      <c r="M7557" t="s">
        <v>7683</v>
      </c>
    </row>
    <row r="7558" spans="1:13">
      <c r="A7558" s="10">
        <v>46208</v>
      </c>
      <c r="B7558" t="s">
        <v>201</v>
      </c>
      <c r="C7558" t="s">
        <v>234</v>
      </c>
      <c r="D7558">
        <v>68</v>
      </c>
      <c r="E7558">
        <v>0</v>
      </c>
      <c r="H7558">
        <v>11</v>
      </c>
      <c r="I7558">
        <v>57</v>
      </c>
      <c r="M7558" t="s">
        <v>7684</v>
      </c>
    </row>
    <row r="7559" spans="1:13">
      <c r="A7559" s="10">
        <v>46208</v>
      </c>
      <c r="B7559" t="s">
        <v>201</v>
      </c>
      <c r="C7559" t="s">
        <v>54</v>
      </c>
      <c r="D7559">
        <v>0</v>
      </c>
      <c r="E7559">
        <v>0</v>
      </c>
      <c r="I7559">
        <v>0</v>
      </c>
      <c r="M7559" t="s">
        <v>7685</v>
      </c>
    </row>
    <row r="7560" spans="1:13">
      <c r="A7560" s="10">
        <v>46208</v>
      </c>
      <c r="B7560" t="s">
        <v>201</v>
      </c>
      <c r="C7560" t="s">
        <v>237</v>
      </c>
      <c r="D7560">
        <v>11</v>
      </c>
      <c r="E7560">
        <v>0</v>
      </c>
      <c r="H7560">
        <v>1</v>
      </c>
      <c r="I7560">
        <v>10</v>
      </c>
      <c r="M7560" t="s">
        <v>7686</v>
      </c>
    </row>
    <row r="7561" spans="1:13">
      <c r="A7561" s="10">
        <v>46208</v>
      </c>
      <c r="B7561" t="s">
        <v>201</v>
      </c>
      <c r="C7561" s="135" t="s">
        <v>58</v>
      </c>
      <c r="D7561">
        <v>9</v>
      </c>
      <c r="E7561">
        <v>0</v>
      </c>
      <c r="H7561">
        <v>0</v>
      </c>
      <c r="I7561">
        <v>9</v>
      </c>
      <c r="M7561" t="s">
        <v>7687</v>
      </c>
    </row>
    <row r="7562" spans="1:13">
      <c r="A7562" s="10">
        <v>46208</v>
      </c>
      <c r="B7562" t="s">
        <v>201</v>
      </c>
      <c r="C7562" s="135" t="s">
        <v>60</v>
      </c>
      <c r="D7562">
        <v>8</v>
      </c>
      <c r="E7562">
        <v>0</v>
      </c>
      <c r="H7562">
        <v>1</v>
      </c>
      <c r="I7562">
        <v>7</v>
      </c>
      <c r="M7562" t="s">
        <v>7688</v>
      </c>
    </row>
    <row r="7563" spans="1:13">
      <c r="A7563" s="10">
        <v>46208</v>
      </c>
      <c r="B7563" t="s">
        <v>201</v>
      </c>
      <c r="C7563" s="135" t="s">
        <v>61</v>
      </c>
      <c r="D7563">
        <v>9</v>
      </c>
      <c r="E7563">
        <v>0</v>
      </c>
      <c r="H7563">
        <v>5</v>
      </c>
      <c r="I7563">
        <v>4</v>
      </c>
      <c r="M7563" t="s">
        <v>7689</v>
      </c>
    </row>
    <row r="7564" spans="1:13">
      <c r="A7564" s="10">
        <v>46208</v>
      </c>
      <c r="B7564" t="s">
        <v>201</v>
      </c>
      <c r="C7564" s="135" t="s">
        <v>62</v>
      </c>
      <c r="D7564">
        <v>0</v>
      </c>
      <c r="E7564">
        <v>0</v>
      </c>
      <c r="H7564">
        <v>0</v>
      </c>
      <c r="I7564">
        <v>0</v>
      </c>
      <c r="M7564" t="s">
        <v>7690</v>
      </c>
    </row>
    <row r="7565" spans="1:13">
      <c r="A7565" s="10">
        <v>46208</v>
      </c>
      <c r="B7565" t="s">
        <v>201</v>
      </c>
      <c r="C7565" s="135" t="s">
        <v>63</v>
      </c>
      <c r="D7565">
        <v>4</v>
      </c>
      <c r="E7565">
        <v>0</v>
      </c>
      <c r="H7565">
        <v>1</v>
      </c>
      <c r="I7565">
        <v>3</v>
      </c>
      <c r="M7565" t="s">
        <v>7691</v>
      </c>
    </row>
    <row r="7566" spans="1:13">
      <c r="A7566" s="10">
        <v>46208</v>
      </c>
      <c r="B7566" t="s">
        <v>201</v>
      </c>
      <c r="C7566" s="135" t="s">
        <v>64</v>
      </c>
      <c r="D7566">
        <v>7</v>
      </c>
      <c r="E7566">
        <v>0</v>
      </c>
      <c r="H7566">
        <v>1</v>
      </c>
      <c r="I7566">
        <v>6</v>
      </c>
      <c r="M7566" t="s">
        <v>7692</v>
      </c>
    </row>
    <row r="7567" spans="1:13">
      <c r="A7567" s="10">
        <v>46208</v>
      </c>
      <c r="B7567" t="s">
        <v>201</v>
      </c>
      <c r="C7567" t="s">
        <v>66</v>
      </c>
      <c r="D7567">
        <v>4</v>
      </c>
      <c r="E7567">
        <v>0</v>
      </c>
      <c r="I7567">
        <v>4</v>
      </c>
      <c r="M7567" t="s">
        <v>7693</v>
      </c>
    </row>
    <row r="7568" spans="1:13">
      <c r="A7568" s="10">
        <v>46208</v>
      </c>
      <c r="B7568" t="s">
        <v>201</v>
      </c>
      <c r="C7568" t="s">
        <v>67</v>
      </c>
      <c r="D7568">
        <v>5</v>
      </c>
      <c r="E7568">
        <v>0</v>
      </c>
      <c r="H7568">
        <v>1</v>
      </c>
      <c r="I7568">
        <v>4</v>
      </c>
      <c r="M7568" t="s">
        <v>7694</v>
      </c>
    </row>
    <row r="7569" spans="1:13">
      <c r="A7569" s="10">
        <v>46208</v>
      </c>
      <c r="B7569" t="s">
        <v>201</v>
      </c>
      <c r="C7569" t="s">
        <v>68</v>
      </c>
      <c r="D7569">
        <v>0</v>
      </c>
      <c r="E7569">
        <v>0</v>
      </c>
      <c r="I7569">
        <v>0</v>
      </c>
      <c r="M7569" t="s">
        <v>7695</v>
      </c>
    </row>
    <row r="7570" spans="1:13">
      <c r="A7570" s="10">
        <v>46208</v>
      </c>
      <c r="B7570" t="s">
        <v>201</v>
      </c>
      <c r="C7570" t="s">
        <v>71</v>
      </c>
      <c r="D7570">
        <v>1</v>
      </c>
      <c r="E7570">
        <v>587</v>
      </c>
      <c r="I7570">
        <v>1</v>
      </c>
      <c r="J7570">
        <v>511</v>
      </c>
      <c r="M7570" t="s">
        <v>7696</v>
      </c>
    </row>
    <row r="7571" spans="1:13">
      <c r="A7571" s="10">
        <v>46208</v>
      </c>
      <c r="B7571" t="s">
        <v>201</v>
      </c>
      <c r="C7571" t="s">
        <v>73</v>
      </c>
      <c r="D7571">
        <v>2</v>
      </c>
      <c r="E7571">
        <v>409</v>
      </c>
      <c r="I7571">
        <v>2</v>
      </c>
      <c r="J7571">
        <v>312</v>
      </c>
      <c r="M7571" t="s">
        <v>7697</v>
      </c>
    </row>
    <row r="7572" spans="1:13">
      <c r="A7572" s="10">
        <v>46208</v>
      </c>
      <c r="B7572" t="s">
        <v>201</v>
      </c>
      <c r="C7572" t="s">
        <v>75</v>
      </c>
      <c r="D7572">
        <v>0</v>
      </c>
      <c r="E7572">
        <v>411</v>
      </c>
      <c r="I7572">
        <v>0</v>
      </c>
      <c r="J7572">
        <v>408</v>
      </c>
      <c r="M7572" t="s">
        <v>7698</v>
      </c>
    </row>
    <row r="7573" spans="1:13">
      <c r="A7573" s="10">
        <v>46208</v>
      </c>
      <c r="B7573" t="s">
        <v>201</v>
      </c>
      <c r="C7573" t="s">
        <v>77</v>
      </c>
      <c r="D7573">
        <v>0</v>
      </c>
      <c r="E7573">
        <v>1132</v>
      </c>
      <c r="I7573">
        <v>0</v>
      </c>
      <c r="J7573">
        <v>1132</v>
      </c>
      <c r="M7573" t="s">
        <v>7699</v>
      </c>
    </row>
    <row r="7574" spans="1:13">
      <c r="A7574" s="10">
        <v>46208</v>
      </c>
      <c r="B7574" t="s">
        <v>201</v>
      </c>
      <c r="C7574" t="s">
        <v>79</v>
      </c>
      <c r="D7574">
        <v>1</v>
      </c>
      <c r="E7574">
        <v>1171</v>
      </c>
      <c r="I7574">
        <v>1</v>
      </c>
      <c r="J7574">
        <v>1098</v>
      </c>
      <c r="M7574" t="s">
        <v>7700</v>
      </c>
    </row>
    <row r="7575" spans="1:13">
      <c r="A7575" s="10">
        <v>46208</v>
      </c>
      <c r="B7575" t="s">
        <v>201</v>
      </c>
      <c r="C7575" t="s">
        <v>81</v>
      </c>
      <c r="D7575">
        <v>1</v>
      </c>
      <c r="E7575">
        <v>596</v>
      </c>
      <c r="I7575">
        <v>1</v>
      </c>
      <c r="J7575">
        <v>548</v>
      </c>
      <c r="M7575" t="s">
        <v>7701</v>
      </c>
    </row>
    <row r="7576" spans="1:13">
      <c r="A7576" s="10">
        <v>46208</v>
      </c>
      <c r="B7576" t="s">
        <v>201</v>
      </c>
      <c r="C7576" t="s">
        <v>83</v>
      </c>
      <c r="D7576">
        <v>1</v>
      </c>
      <c r="E7576">
        <v>347</v>
      </c>
      <c r="I7576">
        <v>1</v>
      </c>
      <c r="J7576">
        <v>342</v>
      </c>
      <c r="M7576" t="s">
        <v>7702</v>
      </c>
    </row>
    <row r="7577" spans="1:13">
      <c r="A7577" s="10">
        <v>46208</v>
      </c>
      <c r="B7577" t="s">
        <v>201</v>
      </c>
      <c r="C7577" t="s">
        <v>84</v>
      </c>
      <c r="D7577">
        <v>2</v>
      </c>
      <c r="E7577">
        <v>239</v>
      </c>
      <c r="I7577">
        <v>2</v>
      </c>
      <c r="J7577">
        <v>232</v>
      </c>
      <c r="M7577" t="s">
        <v>7703</v>
      </c>
    </row>
    <row r="7578" spans="1:13">
      <c r="A7578" s="10">
        <v>46208</v>
      </c>
      <c r="B7578" t="s">
        <v>201</v>
      </c>
      <c r="C7578" t="s">
        <v>85</v>
      </c>
      <c r="D7578">
        <v>0</v>
      </c>
      <c r="E7578">
        <v>133</v>
      </c>
      <c r="I7578">
        <v>0</v>
      </c>
      <c r="J7578">
        <v>131</v>
      </c>
      <c r="M7578" t="s">
        <v>7704</v>
      </c>
    </row>
    <row r="7579" spans="1:13">
      <c r="A7579" s="10">
        <v>46208</v>
      </c>
      <c r="B7579" t="s">
        <v>201</v>
      </c>
      <c r="C7579" t="s">
        <v>87</v>
      </c>
      <c r="D7579">
        <v>2</v>
      </c>
      <c r="E7579">
        <v>377</v>
      </c>
      <c r="I7579">
        <v>2</v>
      </c>
      <c r="J7579">
        <v>1469</v>
      </c>
      <c r="M7579" t="s">
        <v>7705</v>
      </c>
    </row>
    <row r="7580" spans="1:13">
      <c r="A7580" s="10">
        <v>46208</v>
      </c>
      <c r="B7580" t="s">
        <v>201</v>
      </c>
      <c r="C7580" t="s">
        <v>88</v>
      </c>
      <c r="D7580">
        <v>1</v>
      </c>
      <c r="E7580">
        <v>250</v>
      </c>
      <c r="I7580">
        <v>1</v>
      </c>
      <c r="J7580">
        <v>246</v>
      </c>
      <c r="M7580" t="s">
        <v>7706</v>
      </c>
    </row>
    <row r="7581" spans="1:13">
      <c r="A7581" s="10">
        <v>46208</v>
      </c>
      <c r="B7581" t="s">
        <v>201</v>
      </c>
      <c r="C7581" t="s">
        <v>89</v>
      </c>
      <c r="D7581">
        <v>1</v>
      </c>
      <c r="E7581">
        <v>192</v>
      </c>
      <c r="I7581">
        <v>1</v>
      </c>
      <c r="J7581">
        <v>177</v>
      </c>
      <c r="M7581" t="s">
        <v>7707</v>
      </c>
    </row>
    <row r="7582" spans="1:13">
      <c r="A7582" s="10">
        <v>46208</v>
      </c>
      <c r="B7582" t="s">
        <v>201</v>
      </c>
      <c r="C7582" t="s">
        <v>90</v>
      </c>
      <c r="D7582">
        <v>0</v>
      </c>
      <c r="E7582">
        <v>1185</v>
      </c>
      <c r="I7582">
        <v>0</v>
      </c>
      <c r="J7582">
        <v>1087</v>
      </c>
      <c r="M7582" t="s">
        <v>7708</v>
      </c>
    </row>
    <row r="7583" spans="1:13">
      <c r="A7583" s="10">
        <v>46208</v>
      </c>
      <c r="B7583" t="s">
        <v>201</v>
      </c>
      <c r="C7583" t="s">
        <v>92</v>
      </c>
      <c r="D7583">
        <v>2</v>
      </c>
      <c r="E7583">
        <v>756</v>
      </c>
      <c r="I7583">
        <v>1</v>
      </c>
      <c r="J7583">
        <v>592</v>
      </c>
      <c r="M7583" t="s">
        <v>7709</v>
      </c>
    </row>
    <row r="7584" spans="1:13">
      <c r="A7584" s="10">
        <v>46208</v>
      </c>
      <c r="B7584" t="s">
        <v>201</v>
      </c>
      <c r="C7584" t="s">
        <v>94</v>
      </c>
      <c r="D7584">
        <v>2</v>
      </c>
      <c r="E7584">
        <v>376</v>
      </c>
      <c r="I7584">
        <v>2</v>
      </c>
      <c r="J7584">
        <v>290</v>
      </c>
      <c r="M7584" t="s">
        <v>7710</v>
      </c>
    </row>
    <row r="7585" spans="1:13">
      <c r="A7585" s="10">
        <v>46208</v>
      </c>
      <c r="B7585" t="s">
        <v>201</v>
      </c>
      <c r="C7585" t="s">
        <v>96</v>
      </c>
      <c r="D7585">
        <v>0</v>
      </c>
      <c r="E7585">
        <v>0</v>
      </c>
      <c r="I7585">
        <v>0</v>
      </c>
      <c r="J7585">
        <v>0</v>
      </c>
      <c r="M7585" t="s">
        <v>7711</v>
      </c>
    </row>
    <row r="7586" spans="1:13">
      <c r="A7586" s="10">
        <v>46208</v>
      </c>
      <c r="B7586" t="s">
        <v>201</v>
      </c>
      <c r="C7586" t="s">
        <v>98</v>
      </c>
      <c r="D7586">
        <v>0</v>
      </c>
      <c r="E7586">
        <v>617</v>
      </c>
      <c r="I7586">
        <v>0</v>
      </c>
      <c r="J7586">
        <v>394</v>
      </c>
      <c r="M7586" t="s">
        <v>7712</v>
      </c>
    </row>
    <row r="7587" spans="1:13">
      <c r="A7587" s="10">
        <v>46208</v>
      </c>
      <c r="B7587" t="s">
        <v>201</v>
      </c>
      <c r="C7587" t="s">
        <v>203</v>
      </c>
      <c r="D7587">
        <v>2</v>
      </c>
      <c r="E7587">
        <v>0</v>
      </c>
      <c r="I7587">
        <v>2</v>
      </c>
      <c r="J7587">
        <v>0</v>
      </c>
      <c r="M7587" t="s">
        <v>7713</v>
      </c>
    </row>
    <row r="7588" spans="1:13">
      <c r="A7588" s="10">
        <v>46208</v>
      </c>
      <c r="B7588" t="s">
        <v>201</v>
      </c>
      <c r="C7588" t="s">
        <v>100</v>
      </c>
      <c r="D7588">
        <v>0</v>
      </c>
      <c r="E7588">
        <v>0</v>
      </c>
      <c r="I7588">
        <v>0</v>
      </c>
      <c r="J7588">
        <v>0</v>
      </c>
      <c r="M7588" t="s">
        <v>7714</v>
      </c>
    </row>
    <row r="7589" spans="1:13">
      <c r="A7589" s="10">
        <v>46208</v>
      </c>
      <c r="B7589" t="s">
        <v>201</v>
      </c>
      <c r="C7589" t="s">
        <v>101</v>
      </c>
      <c r="D7589">
        <v>0</v>
      </c>
      <c r="E7589">
        <v>565</v>
      </c>
      <c r="I7589">
        <v>0</v>
      </c>
      <c r="J7589">
        <v>549</v>
      </c>
      <c r="M7589" t="s">
        <v>7715</v>
      </c>
    </row>
    <row r="7590" spans="1:13">
      <c r="A7590" s="10">
        <v>46208</v>
      </c>
      <c r="B7590" t="s">
        <v>201</v>
      </c>
      <c r="C7590" t="s">
        <v>103</v>
      </c>
      <c r="D7590">
        <v>0</v>
      </c>
      <c r="E7590">
        <v>7</v>
      </c>
      <c r="I7590">
        <v>0</v>
      </c>
      <c r="J7590">
        <v>3</v>
      </c>
      <c r="M7590" t="s">
        <v>7716</v>
      </c>
    </row>
    <row r="7591" spans="1:13">
      <c r="A7591" s="10">
        <v>46208</v>
      </c>
      <c r="B7591" t="s">
        <v>201</v>
      </c>
      <c r="C7591" t="s">
        <v>106</v>
      </c>
      <c r="D7591">
        <v>0</v>
      </c>
      <c r="E7591">
        <v>836</v>
      </c>
      <c r="I7591">
        <v>0</v>
      </c>
      <c r="J7591">
        <v>601</v>
      </c>
      <c r="M7591" t="s">
        <v>7717</v>
      </c>
    </row>
    <row r="7592" spans="1:13">
      <c r="A7592" s="10">
        <v>46208</v>
      </c>
      <c r="B7592" t="s">
        <v>201</v>
      </c>
      <c r="C7592" t="s">
        <v>108</v>
      </c>
      <c r="D7592">
        <v>1</v>
      </c>
      <c r="E7592">
        <v>843</v>
      </c>
      <c r="I7592">
        <v>1</v>
      </c>
      <c r="J7592">
        <v>366</v>
      </c>
      <c r="M7592" t="s">
        <v>7718</v>
      </c>
    </row>
    <row r="7593" spans="1:13">
      <c r="A7593" s="10">
        <v>46208</v>
      </c>
      <c r="B7593" t="s">
        <v>201</v>
      </c>
      <c r="C7593" t="s">
        <v>109</v>
      </c>
      <c r="D7593">
        <v>1</v>
      </c>
      <c r="E7593">
        <v>486</v>
      </c>
      <c r="I7593">
        <v>1</v>
      </c>
      <c r="J7593">
        <v>721</v>
      </c>
      <c r="M7593" t="s">
        <v>7719</v>
      </c>
    </row>
    <row r="7594" spans="1:13">
      <c r="A7594" s="10">
        <v>46208</v>
      </c>
      <c r="B7594" t="s">
        <v>201</v>
      </c>
      <c r="C7594" t="s">
        <v>112</v>
      </c>
      <c r="D7594">
        <v>1</v>
      </c>
      <c r="E7594">
        <v>34</v>
      </c>
      <c r="I7594">
        <v>1</v>
      </c>
      <c r="J7594">
        <v>27</v>
      </c>
      <c r="M7594" t="s">
        <v>7720</v>
      </c>
    </row>
    <row r="7595" spans="1:13">
      <c r="A7595" s="10">
        <v>46208</v>
      </c>
      <c r="B7595" t="s">
        <v>201</v>
      </c>
      <c r="C7595" t="s">
        <v>114</v>
      </c>
      <c r="D7595">
        <v>2</v>
      </c>
      <c r="E7595">
        <v>25</v>
      </c>
      <c r="I7595">
        <v>1</v>
      </c>
      <c r="J7595">
        <v>46</v>
      </c>
      <c r="M7595" t="s">
        <v>7721</v>
      </c>
    </row>
    <row r="7596" spans="1:13">
      <c r="A7596" s="10">
        <v>46208</v>
      </c>
      <c r="B7596" t="s">
        <v>201</v>
      </c>
      <c r="C7596" t="s">
        <v>115</v>
      </c>
      <c r="D7596">
        <v>0</v>
      </c>
      <c r="E7596">
        <v>56</v>
      </c>
      <c r="I7596">
        <v>0</v>
      </c>
      <c r="J7596">
        <v>51</v>
      </c>
      <c r="M7596" t="s">
        <v>7722</v>
      </c>
    </row>
    <row r="7597" spans="1:13">
      <c r="A7597" s="10">
        <v>46208</v>
      </c>
      <c r="B7597" t="s">
        <v>201</v>
      </c>
      <c r="C7597" t="s">
        <v>116</v>
      </c>
      <c r="D7597">
        <v>2</v>
      </c>
      <c r="E7597">
        <v>17</v>
      </c>
      <c r="I7597">
        <v>2</v>
      </c>
      <c r="J7597">
        <v>6</v>
      </c>
      <c r="M7597" t="s">
        <v>7723</v>
      </c>
    </row>
    <row r="7598" spans="1:13">
      <c r="A7598" s="10">
        <v>46208</v>
      </c>
      <c r="B7598" t="s">
        <v>201</v>
      </c>
      <c r="C7598" t="s">
        <v>119</v>
      </c>
      <c r="D7598">
        <v>4</v>
      </c>
      <c r="E7598">
        <v>0</v>
      </c>
      <c r="I7598">
        <v>4</v>
      </c>
      <c r="M7598" t="s">
        <v>7724</v>
      </c>
    </row>
    <row r="7599" spans="1:13">
      <c r="A7599" s="10">
        <v>46208</v>
      </c>
      <c r="B7599" t="s">
        <v>201</v>
      </c>
      <c r="C7599" t="s">
        <v>120</v>
      </c>
      <c r="D7599">
        <v>2</v>
      </c>
      <c r="E7599">
        <v>0</v>
      </c>
      <c r="I7599">
        <v>2</v>
      </c>
      <c r="M7599" t="s">
        <v>7725</v>
      </c>
    </row>
    <row r="7600" spans="1:13">
      <c r="A7600" s="10">
        <v>46208</v>
      </c>
      <c r="B7600" t="s">
        <v>201</v>
      </c>
      <c r="C7600" t="s">
        <v>121</v>
      </c>
      <c r="D7600">
        <v>2</v>
      </c>
      <c r="E7600">
        <v>0</v>
      </c>
      <c r="I7600">
        <v>2</v>
      </c>
      <c r="M7600" t="s">
        <v>7726</v>
      </c>
    </row>
    <row r="7601" spans="1:13">
      <c r="A7601" s="10">
        <v>46208</v>
      </c>
      <c r="B7601" t="s">
        <v>201</v>
      </c>
      <c r="C7601" t="s">
        <v>123</v>
      </c>
      <c r="D7601">
        <v>2</v>
      </c>
      <c r="E7601">
        <v>0</v>
      </c>
      <c r="I7601">
        <v>1</v>
      </c>
      <c r="M7601" t="s">
        <v>7727</v>
      </c>
    </row>
    <row r="7602" spans="1:13">
      <c r="A7602" s="10">
        <v>46208</v>
      </c>
      <c r="B7602" t="s">
        <v>201</v>
      </c>
      <c r="C7602" t="s">
        <v>124</v>
      </c>
      <c r="D7602">
        <v>2</v>
      </c>
      <c r="E7602">
        <v>0</v>
      </c>
      <c r="I7602">
        <v>1</v>
      </c>
      <c r="M7602" t="s">
        <v>7728</v>
      </c>
    </row>
    <row r="7603" spans="1:13">
      <c r="A7603" s="10">
        <v>46208</v>
      </c>
      <c r="B7603" t="s">
        <v>201</v>
      </c>
      <c r="C7603" t="s">
        <v>125</v>
      </c>
      <c r="D7603">
        <v>2</v>
      </c>
      <c r="E7603">
        <v>0</v>
      </c>
      <c r="I7603">
        <v>1</v>
      </c>
      <c r="M7603" t="s">
        <v>7729</v>
      </c>
    </row>
    <row r="7604" spans="1:13">
      <c r="A7604" s="10">
        <v>46208</v>
      </c>
      <c r="B7604" t="s">
        <v>201</v>
      </c>
      <c r="C7604" t="s">
        <v>126</v>
      </c>
      <c r="D7604">
        <v>2</v>
      </c>
      <c r="E7604">
        <v>0</v>
      </c>
      <c r="I7604">
        <v>2</v>
      </c>
      <c r="M7604" t="s">
        <v>7730</v>
      </c>
    </row>
    <row r="7605" spans="1:13">
      <c r="A7605" s="10">
        <v>46208</v>
      </c>
      <c r="B7605" t="s">
        <v>201</v>
      </c>
      <c r="C7605" t="s">
        <v>128</v>
      </c>
      <c r="D7605">
        <v>2</v>
      </c>
      <c r="E7605">
        <v>0</v>
      </c>
      <c r="I7605">
        <v>2</v>
      </c>
      <c r="M7605" t="s">
        <v>7731</v>
      </c>
    </row>
    <row r="7606" spans="1:13">
      <c r="A7606" s="10">
        <v>46208</v>
      </c>
      <c r="B7606" t="s">
        <v>201</v>
      </c>
      <c r="C7606" t="s">
        <v>130</v>
      </c>
      <c r="D7606">
        <v>3</v>
      </c>
      <c r="E7606">
        <v>0</v>
      </c>
      <c r="I7606">
        <v>2</v>
      </c>
      <c r="M7606" t="s">
        <v>7732</v>
      </c>
    </row>
    <row r="7607" spans="1:13">
      <c r="A7607" s="10">
        <v>46208</v>
      </c>
      <c r="B7607" t="s">
        <v>201</v>
      </c>
      <c r="C7607" t="s">
        <v>285</v>
      </c>
      <c r="D7607">
        <v>2</v>
      </c>
      <c r="E7607">
        <v>0</v>
      </c>
      <c r="I7607">
        <v>2</v>
      </c>
      <c r="M7607" t="s">
        <v>7733</v>
      </c>
    </row>
    <row r="7608" spans="1:13">
      <c r="A7608" s="10">
        <v>46208</v>
      </c>
      <c r="B7608" t="s">
        <v>201</v>
      </c>
      <c r="C7608" t="s">
        <v>287</v>
      </c>
      <c r="D7608">
        <v>6</v>
      </c>
      <c r="E7608">
        <v>0</v>
      </c>
      <c r="I7608">
        <v>6</v>
      </c>
      <c r="M7608" t="s">
        <v>7734</v>
      </c>
    </row>
    <row r="7609" spans="1:13">
      <c r="A7609" s="10">
        <v>46208</v>
      </c>
      <c r="B7609" t="s">
        <v>201</v>
      </c>
      <c r="C7609" t="s">
        <v>289</v>
      </c>
      <c r="D7609">
        <v>2</v>
      </c>
      <c r="E7609">
        <v>0</v>
      </c>
      <c r="I7609">
        <v>2</v>
      </c>
      <c r="M7609" t="s">
        <v>7735</v>
      </c>
    </row>
    <row r="7610" spans="1:13">
      <c r="A7610" s="10">
        <v>46208</v>
      </c>
      <c r="B7610" t="s">
        <v>201</v>
      </c>
      <c r="C7610" t="s">
        <v>291</v>
      </c>
      <c r="D7610">
        <v>1</v>
      </c>
      <c r="E7610">
        <v>0</v>
      </c>
      <c r="I7610">
        <v>1</v>
      </c>
      <c r="M7610" t="s">
        <v>7736</v>
      </c>
    </row>
    <row r="7611" spans="1:13">
      <c r="A7611" s="10">
        <v>46208</v>
      </c>
      <c r="B7611" t="s">
        <v>201</v>
      </c>
      <c r="C7611" t="s">
        <v>293</v>
      </c>
      <c r="D7611">
        <v>1</v>
      </c>
      <c r="E7611">
        <v>0</v>
      </c>
      <c r="I7611">
        <v>1</v>
      </c>
      <c r="M7611" t="s">
        <v>7737</v>
      </c>
    </row>
    <row r="7612" spans="1:13">
      <c r="A7612" s="10">
        <v>46208</v>
      </c>
      <c r="B7612" t="s">
        <v>201</v>
      </c>
      <c r="C7612" s="135" t="s">
        <v>138</v>
      </c>
      <c r="D7612">
        <v>0</v>
      </c>
      <c r="E7612">
        <v>38</v>
      </c>
      <c r="I7612">
        <v>0</v>
      </c>
      <c r="J7612">
        <v>24</v>
      </c>
      <c r="M7612" t="s">
        <v>7738</v>
      </c>
    </row>
    <row r="7613" spans="1:13">
      <c r="A7613" s="10">
        <v>46208</v>
      </c>
      <c r="B7613" t="s">
        <v>201</v>
      </c>
      <c r="C7613" s="135" t="s">
        <v>139</v>
      </c>
      <c r="D7613">
        <v>0</v>
      </c>
      <c r="E7613">
        <v>44</v>
      </c>
      <c r="I7613">
        <v>0</v>
      </c>
      <c r="J7613">
        <v>28</v>
      </c>
      <c r="M7613" t="s">
        <v>7739</v>
      </c>
    </row>
    <row r="7614" spans="1:13">
      <c r="A7614" s="10">
        <v>46208</v>
      </c>
      <c r="B7614" t="s">
        <v>201</v>
      </c>
      <c r="C7614" s="135" t="s">
        <v>140</v>
      </c>
      <c r="D7614">
        <v>0</v>
      </c>
      <c r="E7614">
        <v>47</v>
      </c>
      <c r="I7614">
        <v>0</v>
      </c>
      <c r="J7614">
        <v>47</v>
      </c>
      <c r="M7614" t="s">
        <v>7740</v>
      </c>
    </row>
    <row r="7615" spans="1:13">
      <c r="A7615" s="10">
        <v>46208</v>
      </c>
      <c r="B7615" t="s">
        <v>201</v>
      </c>
      <c r="C7615" s="135" t="s">
        <v>141</v>
      </c>
      <c r="D7615">
        <v>0</v>
      </c>
      <c r="E7615">
        <v>1</v>
      </c>
      <c r="I7615">
        <v>0</v>
      </c>
      <c r="J7615">
        <v>457</v>
      </c>
      <c r="M7615" t="s">
        <v>7741</v>
      </c>
    </row>
    <row r="7616" spans="1:13">
      <c r="A7616" s="10">
        <v>46208</v>
      </c>
      <c r="B7616" t="s">
        <v>201</v>
      </c>
      <c r="C7616" s="135" t="s">
        <v>143</v>
      </c>
      <c r="D7616">
        <v>0</v>
      </c>
      <c r="E7616">
        <v>37</v>
      </c>
      <c r="I7616">
        <v>0</v>
      </c>
      <c r="J7616">
        <v>29</v>
      </c>
      <c r="M7616" t="s">
        <v>7742</v>
      </c>
    </row>
    <row r="7617" spans="1:13">
      <c r="A7617" s="10">
        <v>46208</v>
      </c>
      <c r="B7617" t="s">
        <v>201</v>
      </c>
      <c r="C7617" s="135" t="s">
        <v>145</v>
      </c>
      <c r="D7617">
        <v>0</v>
      </c>
      <c r="E7617">
        <v>33</v>
      </c>
      <c r="I7617">
        <v>0</v>
      </c>
      <c r="J7617">
        <v>30</v>
      </c>
      <c r="M7617" t="s">
        <v>7743</v>
      </c>
    </row>
    <row r="7618" spans="1:13">
      <c r="A7618" s="10">
        <v>46208</v>
      </c>
      <c r="B7618" t="s">
        <v>201</v>
      </c>
      <c r="C7618" s="135" t="s">
        <v>147</v>
      </c>
      <c r="D7618">
        <v>0</v>
      </c>
      <c r="E7618">
        <v>42</v>
      </c>
      <c r="I7618">
        <v>0</v>
      </c>
      <c r="J7618">
        <v>41</v>
      </c>
      <c r="M7618" t="s">
        <v>7744</v>
      </c>
    </row>
    <row r="7619" spans="1:13">
      <c r="A7619" s="10">
        <v>46208</v>
      </c>
      <c r="B7619" t="s">
        <v>201</v>
      </c>
      <c r="C7619" t="s">
        <v>302</v>
      </c>
      <c r="D7619">
        <v>1</v>
      </c>
      <c r="E7619">
        <v>0</v>
      </c>
      <c r="I7619">
        <v>1</v>
      </c>
      <c r="M7619" t="s">
        <v>7745</v>
      </c>
    </row>
    <row r="7620" spans="1:13">
      <c r="A7620" s="10">
        <v>46208</v>
      </c>
      <c r="B7620" t="s">
        <v>201</v>
      </c>
      <c r="C7620" t="s">
        <v>150</v>
      </c>
      <c r="D7620">
        <v>3</v>
      </c>
      <c r="E7620">
        <v>0</v>
      </c>
      <c r="I7620">
        <v>3</v>
      </c>
      <c r="M7620" t="s">
        <v>7746</v>
      </c>
    </row>
    <row r="7621" spans="1:13">
      <c r="A7621" s="10">
        <v>46208</v>
      </c>
      <c r="B7621" t="s">
        <v>201</v>
      </c>
      <c r="C7621" t="s">
        <v>151</v>
      </c>
      <c r="D7621">
        <v>2</v>
      </c>
      <c r="E7621">
        <v>0</v>
      </c>
      <c r="I7621">
        <v>2</v>
      </c>
      <c r="M7621" t="s">
        <v>7747</v>
      </c>
    </row>
    <row r="7622" spans="1:13">
      <c r="A7622" s="10">
        <v>46208</v>
      </c>
      <c r="B7622" t="s">
        <v>201</v>
      </c>
      <c r="C7622" t="s">
        <v>152</v>
      </c>
      <c r="D7622">
        <v>2</v>
      </c>
      <c r="E7622">
        <v>0</v>
      </c>
      <c r="I7622">
        <v>2</v>
      </c>
      <c r="M7622" t="s">
        <v>7748</v>
      </c>
    </row>
    <row r="7623" spans="1:13">
      <c r="A7623" s="10">
        <v>46208</v>
      </c>
      <c r="B7623" t="s">
        <v>201</v>
      </c>
      <c r="C7623" t="s">
        <v>153</v>
      </c>
      <c r="D7623">
        <v>2</v>
      </c>
      <c r="E7623">
        <v>0</v>
      </c>
      <c r="I7623">
        <v>2</v>
      </c>
      <c r="M7623" t="s">
        <v>7749</v>
      </c>
    </row>
    <row r="7624" spans="1:13">
      <c r="A7624" s="10">
        <v>46208</v>
      </c>
      <c r="B7624" t="s">
        <v>201</v>
      </c>
      <c r="C7624" t="s">
        <v>308</v>
      </c>
      <c r="D7624">
        <v>0</v>
      </c>
      <c r="E7624">
        <v>4</v>
      </c>
      <c r="I7624">
        <v>0</v>
      </c>
      <c r="J7624">
        <v>4</v>
      </c>
      <c r="M7624" t="s">
        <v>7750</v>
      </c>
    </row>
    <row r="7625" spans="1:13">
      <c r="A7625" s="10">
        <v>46208</v>
      </c>
      <c r="B7625" t="s">
        <v>201</v>
      </c>
      <c r="C7625" t="s">
        <v>310</v>
      </c>
      <c r="D7625">
        <v>0</v>
      </c>
      <c r="E7625">
        <v>2</v>
      </c>
      <c r="I7625">
        <v>0</v>
      </c>
      <c r="J7625">
        <v>2</v>
      </c>
      <c r="M7625" t="s">
        <v>7751</v>
      </c>
    </row>
    <row r="7626" spans="1:13">
      <c r="A7626" s="10">
        <v>46208</v>
      </c>
      <c r="B7626" t="s">
        <v>201</v>
      </c>
      <c r="C7626" t="s">
        <v>312</v>
      </c>
      <c r="D7626">
        <v>0</v>
      </c>
      <c r="E7626">
        <v>3</v>
      </c>
      <c r="I7626">
        <v>0</v>
      </c>
      <c r="J7626">
        <v>3</v>
      </c>
      <c r="M7626" t="s">
        <v>7752</v>
      </c>
    </row>
    <row r="7627" spans="1:13">
      <c r="A7627" s="10">
        <v>46208</v>
      </c>
      <c r="B7627" t="s">
        <v>201</v>
      </c>
      <c r="C7627" t="s">
        <v>314</v>
      </c>
      <c r="D7627">
        <v>1</v>
      </c>
      <c r="E7627">
        <v>0</v>
      </c>
      <c r="I7627">
        <v>1</v>
      </c>
      <c r="M7627" t="s">
        <v>7753</v>
      </c>
    </row>
    <row r="7628" spans="1:13">
      <c r="A7628" s="10">
        <v>46208</v>
      </c>
      <c r="B7628" t="s">
        <v>201</v>
      </c>
      <c r="C7628" t="s">
        <v>316</v>
      </c>
      <c r="D7628">
        <v>1</v>
      </c>
      <c r="E7628">
        <v>0</v>
      </c>
      <c r="I7628">
        <v>1</v>
      </c>
      <c r="M7628" t="s">
        <v>7754</v>
      </c>
    </row>
    <row r="7629" spans="1:13">
      <c r="A7629" s="10">
        <v>46208</v>
      </c>
      <c r="B7629" t="s">
        <v>201</v>
      </c>
      <c r="C7629" t="s">
        <v>318</v>
      </c>
      <c r="D7629">
        <v>3</v>
      </c>
      <c r="E7629">
        <v>0</v>
      </c>
      <c r="I7629">
        <v>2</v>
      </c>
      <c r="M7629" t="s">
        <v>7755</v>
      </c>
    </row>
    <row r="7630" spans="1:13">
      <c r="A7630" s="10">
        <v>46208</v>
      </c>
      <c r="B7630" t="s">
        <v>201</v>
      </c>
      <c r="C7630" t="s">
        <v>320</v>
      </c>
      <c r="D7630">
        <v>2</v>
      </c>
      <c r="E7630">
        <v>0</v>
      </c>
      <c r="I7630">
        <v>2</v>
      </c>
      <c r="M7630" t="s">
        <v>7756</v>
      </c>
    </row>
    <row r="7631" spans="1:13">
      <c r="A7631" s="10">
        <v>46208</v>
      </c>
      <c r="B7631" t="s">
        <v>201</v>
      </c>
      <c r="C7631" t="s">
        <v>322</v>
      </c>
      <c r="D7631">
        <v>1</v>
      </c>
      <c r="E7631">
        <v>0</v>
      </c>
      <c r="I7631">
        <v>1</v>
      </c>
      <c r="M7631" t="s">
        <v>7757</v>
      </c>
    </row>
    <row r="7632" spans="1:13">
      <c r="A7632" s="10">
        <v>46208</v>
      </c>
      <c r="B7632" t="s">
        <v>201</v>
      </c>
      <c r="C7632" s="135" t="s">
        <v>168</v>
      </c>
      <c r="D7632">
        <v>1</v>
      </c>
      <c r="E7632">
        <v>0</v>
      </c>
      <c r="I7632">
        <v>1</v>
      </c>
      <c r="M7632" t="s">
        <v>7758</v>
      </c>
    </row>
    <row r="7633" spans="1:13">
      <c r="A7633" s="10">
        <v>46208</v>
      </c>
      <c r="B7633" t="s">
        <v>201</v>
      </c>
      <c r="C7633" s="135" t="s">
        <v>170</v>
      </c>
      <c r="D7633">
        <v>1</v>
      </c>
      <c r="E7633">
        <v>0</v>
      </c>
      <c r="I7633">
        <v>1</v>
      </c>
      <c r="M7633" t="s">
        <v>7759</v>
      </c>
    </row>
    <row r="7634" spans="1:13">
      <c r="A7634" s="10">
        <v>46208</v>
      </c>
      <c r="B7634" t="s">
        <v>201</v>
      </c>
      <c r="C7634" s="135" t="s">
        <v>171</v>
      </c>
      <c r="D7634">
        <v>2</v>
      </c>
      <c r="E7634">
        <v>0</v>
      </c>
      <c r="I7634">
        <v>2</v>
      </c>
      <c r="M7634" t="s">
        <v>7760</v>
      </c>
    </row>
    <row r="7635" spans="1:13">
      <c r="A7635" s="10">
        <v>46208</v>
      </c>
      <c r="B7635" t="s">
        <v>201</v>
      </c>
      <c r="C7635" s="135" t="s">
        <v>172</v>
      </c>
      <c r="D7635">
        <v>1</v>
      </c>
      <c r="E7635">
        <v>0</v>
      </c>
      <c r="I7635">
        <v>1</v>
      </c>
      <c r="M7635" t="s">
        <v>7761</v>
      </c>
    </row>
    <row r="7636" spans="1:13">
      <c r="A7636" s="10">
        <v>46208</v>
      </c>
      <c r="B7636" t="s">
        <v>201</v>
      </c>
      <c r="C7636" s="135" t="s">
        <v>173</v>
      </c>
      <c r="D7636">
        <v>0</v>
      </c>
      <c r="E7636">
        <v>0</v>
      </c>
      <c r="I7636">
        <v>0</v>
      </c>
      <c r="M7636" t="s">
        <v>7762</v>
      </c>
    </row>
    <row r="7637" spans="1:13">
      <c r="A7637" s="10">
        <v>46208</v>
      </c>
      <c r="B7637" t="s">
        <v>201</v>
      </c>
      <c r="C7637" t="s">
        <v>176</v>
      </c>
      <c r="D7637">
        <v>0</v>
      </c>
      <c r="E7637">
        <v>21</v>
      </c>
      <c r="I7637">
        <v>0</v>
      </c>
      <c r="J7637">
        <v>21</v>
      </c>
      <c r="M7637" t="s">
        <v>7763</v>
      </c>
    </row>
    <row r="7638" spans="1:13">
      <c r="A7638" s="10">
        <v>46208</v>
      </c>
      <c r="B7638" t="s">
        <v>201</v>
      </c>
      <c r="C7638" t="s">
        <v>178</v>
      </c>
      <c r="D7638">
        <v>0</v>
      </c>
      <c r="E7638">
        <v>21</v>
      </c>
      <c r="I7638">
        <v>0</v>
      </c>
      <c r="J7638">
        <v>21</v>
      </c>
      <c r="M7638" t="s">
        <v>7764</v>
      </c>
    </row>
    <row r="7639" spans="1:13">
      <c r="A7639" s="10">
        <v>46208</v>
      </c>
      <c r="B7639" t="s">
        <v>201</v>
      </c>
      <c r="C7639" t="s">
        <v>179</v>
      </c>
      <c r="D7639">
        <v>0</v>
      </c>
      <c r="E7639">
        <v>14</v>
      </c>
      <c r="I7639">
        <v>0</v>
      </c>
      <c r="J7639">
        <v>114</v>
      </c>
      <c r="M7639" t="s">
        <v>7765</v>
      </c>
    </row>
    <row r="7640" spans="1:13">
      <c r="A7640" s="10">
        <v>46208</v>
      </c>
      <c r="B7640" t="s">
        <v>201</v>
      </c>
      <c r="C7640" t="s">
        <v>180</v>
      </c>
      <c r="D7640">
        <v>0</v>
      </c>
      <c r="E7640">
        <v>15</v>
      </c>
      <c r="I7640">
        <v>0</v>
      </c>
      <c r="J7640">
        <v>15</v>
      </c>
      <c r="M7640" t="s">
        <v>7766</v>
      </c>
    </row>
    <row r="7641" spans="1:13">
      <c r="A7641" s="10">
        <v>46208</v>
      </c>
      <c r="B7641" t="s">
        <v>201</v>
      </c>
      <c r="C7641" s="135" t="s">
        <v>182</v>
      </c>
      <c r="D7641">
        <v>1</v>
      </c>
      <c r="E7641">
        <v>150</v>
      </c>
      <c r="I7641">
        <v>1</v>
      </c>
      <c r="J7641">
        <v>150</v>
      </c>
      <c r="M7641" t="s">
        <v>7767</v>
      </c>
    </row>
    <row r="7642" spans="1:13">
      <c r="A7642" s="10">
        <v>46208</v>
      </c>
      <c r="B7642" t="s">
        <v>201</v>
      </c>
      <c r="C7642" s="135" t="s">
        <v>184</v>
      </c>
      <c r="D7642">
        <v>2</v>
      </c>
      <c r="E7642">
        <v>38</v>
      </c>
      <c r="I7642">
        <v>2</v>
      </c>
      <c r="J7642">
        <v>38</v>
      </c>
      <c r="M7642" t="s">
        <v>7768</v>
      </c>
    </row>
    <row r="7643" spans="1:13">
      <c r="A7643" s="10">
        <v>46208</v>
      </c>
      <c r="B7643" t="s">
        <v>201</v>
      </c>
      <c r="C7643" s="135" t="s">
        <v>185</v>
      </c>
      <c r="D7643">
        <v>1</v>
      </c>
      <c r="E7643">
        <v>20</v>
      </c>
      <c r="I7643">
        <v>1</v>
      </c>
      <c r="J7643">
        <v>20</v>
      </c>
      <c r="M7643" t="s">
        <v>7769</v>
      </c>
    </row>
    <row r="7644" spans="1:13">
      <c r="A7644" s="10">
        <v>46208</v>
      </c>
      <c r="B7644" t="s">
        <v>201</v>
      </c>
      <c r="C7644" s="135" t="s">
        <v>186</v>
      </c>
      <c r="D7644">
        <v>1</v>
      </c>
      <c r="E7644">
        <v>490</v>
      </c>
      <c r="I7644">
        <v>1</v>
      </c>
      <c r="J7644">
        <v>490</v>
      </c>
      <c r="M7644" t="s">
        <v>7770</v>
      </c>
    </row>
    <row r="7645" spans="1:13">
      <c r="A7645" s="10">
        <v>46208</v>
      </c>
      <c r="B7645" t="s">
        <v>201</v>
      </c>
      <c r="C7645" t="s">
        <v>337</v>
      </c>
      <c r="D7645">
        <v>2</v>
      </c>
      <c r="E7645">
        <v>86</v>
      </c>
      <c r="I7645">
        <v>1</v>
      </c>
      <c r="J7645">
        <v>414</v>
      </c>
      <c r="M7645" t="s">
        <v>7771</v>
      </c>
    </row>
    <row r="7646" spans="1:13">
      <c r="A7646" s="10">
        <v>46208</v>
      </c>
      <c r="B7646" t="s">
        <v>201</v>
      </c>
      <c r="C7646" t="s">
        <v>339</v>
      </c>
      <c r="D7646">
        <v>0</v>
      </c>
      <c r="E7646">
        <v>0</v>
      </c>
      <c r="I7646">
        <v>0</v>
      </c>
      <c r="J7646">
        <v>0</v>
      </c>
      <c r="M7646" t="s">
        <v>7772</v>
      </c>
    </row>
    <row r="7647" spans="1:13">
      <c r="A7647" s="10">
        <v>46208</v>
      </c>
      <c r="B7647" t="s">
        <v>201</v>
      </c>
      <c r="C7647" s="135" t="s">
        <v>191</v>
      </c>
      <c r="D7647">
        <v>1</v>
      </c>
      <c r="E7647">
        <v>292</v>
      </c>
      <c r="I7647">
        <v>1</v>
      </c>
      <c r="J7647">
        <v>266</v>
      </c>
      <c r="M7647" t="s">
        <v>7773</v>
      </c>
    </row>
    <row r="7648" spans="1:13">
      <c r="A7648" s="10">
        <v>46208</v>
      </c>
      <c r="B7648" t="s">
        <v>201</v>
      </c>
      <c r="C7648" s="135" t="s">
        <v>193</v>
      </c>
      <c r="D7648">
        <v>1</v>
      </c>
      <c r="E7648">
        <v>239</v>
      </c>
      <c r="I7648">
        <v>1</v>
      </c>
      <c r="J7648">
        <v>139</v>
      </c>
      <c r="M7648" t="s">
        <v>7774</v>
      </c>
    </row>
    <row r="7649" spans="1:13">
      <c r="A7649" s="10">
        <v>46208</v>
      </c>
      <c r="B7649" t="s">
        <v>201</v>
      </c>
      <c r="C7649" s="135" t="s">
        <v>194</v>
      </c>
      <c r="D7649">
        <v>1</v>
      </c>
      <c r="E7649">
        <v>38</v>
      </c>
      <c r="I7649">
        <v>1</v>
      </c>
      <c r="J7649">
        <v>38</v>
      </c>
      <c r="M7649" t="s">
        <v>7775</v>
      </c>
    </row>
    <row r="7650" spans="1:13">
      <c r="A7650" s="10">
        <v>46208</v>
      </c>
      <c r="B7650" t="s">
        <v>201</v>
      </c>
      <c r="C7650" s="135" t="s">
        <v>196</v>
      </c>
      <c r="D7650">
        <v>0</v>
      </c>
      <c r="E7650">
        <v>690</v>
      </c>
      <c r="I7650">
        <v>0</v>
      </c>
      <c r="J7650">
        <v>690</v>
      </c>
      <c r="M7650" t="s">
        <v>7776</v>
      </c>
    </row>
    <row r="7651" spans="1:13">
      <c r="A7651" s="10">
        <v>46208</v>
      </c>
      <c r="B7651" t="s">
        <v>201</v>
      </c>
      <c r="C7651" s="135" t="s">
        <v>199</v>
      </c>
      <c r="D7651">
        <v>0</v>
      </c>
      <c r="E7651">
        <v>399</v>
      </c>
      <c r="I7651">
        <v>0</v>
      </c>
      <c r="J7651">
        <v>319</v>
      </c>
      <c r="M7651" t="s">
        <v>7777</v>
      </c>
    </row>
    <row r="7652" spans="1:13">
      <c r="A7652" s="10">
        <v>46208</v>
      </c>
      <c r="B7652" t="s">
        <v>201</v>
      </c>
      <c r="C7652" s="135" t="s">
        <v>200</v>
      </c>
      <c r="D7652">
        <v>0</v>
      </c>
      <c r="E7652">
        <v>432</v>
      </c>
      <c r="I7652">
        <v>0</v>
      </c>
      <c r="J7652">
        <v>366</v>
      </c>
      <c r="M7652" t="s">
        <v>7778</v>
      </c>
    </row>
    <row r="7653" spans="1:13">
      <c r="A7653" s="10">
        <v>46208</v>
      </c>
      <c r="B7653" t="s">
        <v>201</v>
      </c>
      <c r="C7653" s="135" t="s">
        <v>202</v>
      </c>
      <c r="D7653">
        <v>0</v>
      </c>
      <c r="E7653">
        <v>407</v>
      </c>
      <c r="I7653">
        <v>0</v>
      </c>
      <c r="J7653">
        <v>368</v>
      </c>
      <c r="M7653" t="s">
        <v>7779</v>
      </c>
    </row>
    <row r="7654" spans="1:13">
      <c r="A7654" s="10">
        <v>46209</v>
      </c>
      <c r="B7654" t="s">
        <v>201</v>
      </c>
      <c r="C7654" t="s">
        <v>23</v>
      </c>
      <c r="D7654">
        <v>5</v>
      </c>
      <c r="E7654">
        <v>1315</v>
      </c>
      <c r="I7654">
        <v>4</v>
      </c>
      <c r="J7654">
        <v>700</v>
      </c>
      <c r="M7654" t="s">
        <v>7780</v>
      </c>
    </row>
    <row r="7655" spans="1:13">
      <c r="A7655" s="10">
        <v>46209</v>
      </c>
      <c r="B7655" t="s">
        <v>201</v>
      </c>
      <c r="C7655" t="s">
        <v>26</v>
      </c>
      <c r="D7655">
        <v>2</v>
      </c>
      <c r="E7655">
        <v>936</v>
      </c>
      <c r="I7655">
        <v>2</v>
      </c>
      <c r="J7655">
        <v>832</v>
      </c>
      <c r="M7655" t="s">
        <v>7781</v>
      </c>
    </row>
    <row r="7656" spans="1:13">
      <c r="A7656" s="10">
        <v>46209</v>
      </c>
      <c r="B7656" t="s">
        <v>201</v>
      </c>
      <c r="C7656" t="s">
        <v>27</v>
      </c>
      <c r="D7656">
        <v>2</v>
      </c>
      <c r="E7656">
        <v>377</v>
      </c>
      <c r="I7656">
        <v>1</v>
      </c>
      <c r="J7656">
        <v>1360</v>
      </c>
      <c r="M7656" t="s">
        <v>7782</v>
      </c>
    </row>
    <row r="7657" spans="1:13">
      <c r="A7657" s="10">
        <v>46209</v>
      </c>
      <c r="B7657" t="s">
        <v>201</v>
      </c>
      <c r="C7657" t="s">
        <v>28</v>
      </c>
      <c r="D7657">
        <v>0</v>
      </c>
      <c r="E7657">
        <v>0</v>
      </c>
      <c r="I7657">
        <v>0</v>
      </c>
      <c r="J7657">
        <v>0</v>
      </c>
      <c r="M7657" t="s">
        <v>7783</v>
      </c>
    </row>
    <row r="7658" spans="1:13">
      <c r="A7658" s="10">
        <v>46209</v>
      </c>
      <c r="B7658" t="s">
        <v>201</v>
      </c>
      <c r="C7658" t="s">
        <v>29</v>
      </c>
      <c r="D7658">
        <v>0</v>
      </c>
      <c r="E7658">
        <v>1032</v>
      </c>
      <c r="I7658">
        <v>0</v>
      </c>
      <c r="J7658">
        <v>1010</v>
      </c>
      <c r="M7658" t="s">
        <v>7784</v>
      </c>
    </row>
    <row r="7659" spans="1:13">
      <c r="A7659" s="10">
        <v>46209</v>
      </c>
      <c r="B7659" t="s">
        <v>201</v>
      </c>
      <c r="C7659" t="s">
        <v>30</v>
      </c>
      <c r="D7659">
        <v>0</v>
      </c>
      <c r="E7659">
        <v>604</v>
      </c>
      <c r="I7659">
        <v>0</v>
      </c>
      <c r="J7659">
        <v>591</v>
      </c>
      <c r="M7659" t="s">
        <v>7785</v>
      </c>
    </row>
    <row r="7660" spans="1:13">
      <c r="A7660" s="10">
        <v>46209</v>
      </c>
      <c r="B7660" t="s">
        <v>201</v>
      </c>
      <c r="C7660" t="s">
        <v>31</v>
      </c>
      <c r="D7660">
        <v>0</v>
      </c>
      <c r="E7660">
        <v>932</v>
      </c>
      <c r="I7660">
        <v>0</v>
      </c>
      <c r="J7660">
        <v>674</v>
      </c>
      <c r="M7660" t="s">
        <v>7786</v>
      </c>
    </row>
    <row r="7661" spans="1:13">
      <c r="A7661" s="10">
        <v>46209</v>
      </c>
      <c r="B7661" t="s">
        <v>201</v>
      </c>
      <c r="C7661" t="s">
        <v>32</v>
      </c>
      <c r="D7661">
        <v>2</v>
      </c>
      <c r="E7661">
        <v>781</v>
      </c>
      <c r="I7661">
        <v>2</v>
      </c>
      <c r="J7661">
        <v>782</v>
      </c>
      <c r="M7661" t="s">
        <v>7787</v>
      </c>
    </row>
    <row r="7662" spans="1:13">
      <c r="A7662" s="10">
        <v>46209</v>
      </c>
      <c r="B7662" t="s">
        <v>201</v>
      </c>
      <c r="C7662" t="s">
        <v>223</v>
      </c>
      <c r="D7662">
        <v>5</v>
      </c>
      <c r="E7662">
        <v>269</v>
      </c>
      <c r="I7662">
        <v>4</v>
      </c>
      <c r="J7662">
        <v>744</v>
      </c>
      <c r="M7662" t="s">
        <v>7788</v>
      </c>
    </row>
    <row r="7663" spans="1:13">
      <c r="A7663" s="10">
        <v>46209</v>
      </c>
      <c r="B7663" t="s">
        <v>201</v>
      </c>
      <c r="C7663" t="s">
        <v>35</v>
      </c>
      <c r="D7663">
        <v>0</v>
      </c>
      <c r="E7663">
        <v>0</v>
      </c>
      <c r="I7663">
        <v>0</v>
      </c>
      <c r="M7663" t="s">
        <v>7789</v>
      </c>
    </row>
    <row r="7664" spans="1:13">
      <c r="A7664" s="10">
        <v>46209</v>
      </c>
      <c r="B7664" t="s">
        <v>201</v>
      </c>
      <c r="C7664" t="s">
        <v>37</v>
      </c>
      <c r="D7664">
        <v>2</v>
      </c>
      <c r="E7664">
        <v>0</v>
      </c>
      <c r="H7664">
        <v>1</v>
      </c>
      <c r="I7664">
        <v>1</v>
      </c>
      <c r="M7664" t="s">
        <v>7790</v>
      </c>
    </row>
    <row r="7665" spans="1:13">
      <c r="A7665" s="10">
        <v>46209</v>
      </c>
      <c r="B7665" t="s">
        <v>201</v>
      </c>
      <c r="C7665" t="s">
        <v>39</v>
      </c>
      <c r="D7665">
        <v>31</v>
      </c>
      <c r="E7665">
        <v>0</v>
      </c>
      <c r="I7665">
        <v>31</v>
      </c>
      <c r="M7665" t="s">
        <v>7791</v>
      </c>
    </row>
    <row r="7666" spans="1:13">
      <c r="A7666" s="10">
        <v>46209</v>
      </c>
      <c r="B7666" t="s">
        <v>201</v>
      </c>
      <c r="C7666" t="s">
        <v>41</v>
      </c>
      <c r="D7666">
        <v>13</v>
      </c>
      <c r="E7666">
        <v>0</v>
      </c>
      <c r="I7666">
        <v>13</v>
      </c>
      <c r="M7666" t="s">
        <v>7792</v>
      </c>
    </row>
    <row r="7667" spans="1:13">
      <c r="A7667" s="10">
        <v>46209</v>
      </c>
      <c r="B7667" t="s">
        <v>201</v>
      </c>
      <c r="C7667" s="135" t="s">
        <v>44</v>
      </c>
      <c r="D7667">
        <v>4</v>
      </c>
      <c r="E7667">
        <v>6276</v>
      </c>
      <c r="I7667">
        <v>4</v>
      </c>
      <c r="J7667">
        <v>6737</v>
      </c>
      <c r="M7667" t="s">
        <v>7793</v>
      </c>
    </row>
    <row r="7668" spans="1:13">
      <c r="A7668" s="10">
        <v>46209</v>
      </c>
      <c r="B7668" t="s">
        <v>201</v>
      </c>
      <c r="C7668" t="s">
        <v>230</v>
      </c>
      <c r="D7668">
        <v>1</v>
      </c>
      <c r="E7668">
        <v>317</v>
      </c>
      <c r="I7668">
        <v>1</v>
      </c>
      <c r="J7668">
        <v>244</v>
      </c>
      <c r="M7668" t="s">
        <v>7794</v>
      </c>
    </row>
    <row r="7669" spans="1:13">
      <c r="A7669" s="10">
        <v>46209</v>
      </c>
      <c r="B7669" t="s">
        <v>201</v>
      </c>
      <c r="C7669" t="s">
        <v>232</v>
      </c>
      <c r="D7669">
        <v>5</v>
      </c>
      <c r="E7669">
        <v>0</v>
      </c>
      <c r="I7669">
        <v>5</v>
      </c>
      <c r="M7669" t="s">
        <v>7795</v>
      </c>
    </row>
    <row r="7670" spans="1:13">
      <c r="A7670" s="10">
        <v>46209</v>
      </c>
      <c r="B7670" t="s">
        <v>201</v>
      </c>
      <c r="C7670" t="s">
        <v>234</v>
      </c>
      <c r="D7670">
        <v>57</v>
      </c>
      <c r="E7670">
        <v>0</v>
      </c>
      <c r="H7670">
        <v>5</v>
      </c>
      <c r="I7670">
        <v>52</v>
      </c>
      <c r="M7670" t="s">
        <v>7796</v>
      </c>
    </row>
    <row r="7671" spans="1:13">
      <c r="A7671" s="10">
        <v>46209</v>
      </c>
      <c r="B7671" t="s">
        <v>201</v>
      </c>
      <c r="C7671" t="s">
        <v>54</v>
      </c>
      <c r="D7671">
        <v>0</v>
      </c>
      <c r="E7671">
        <v>0</v>
      </c>
      <c r="I7671">
        <v>0</v>
      </c>
      <c r="M7671" t="s">
        <v>7797</v>
      </c>
    </row>
    <row r="7672" spans="1:13">
      <c r="A7672" s="10">
        <v>46209</v>
      </c>
      <c r="B7672" t="s">
        <v>201</v>
      </c>
      <c r="C7672" t="s">
        <v>237</v>
      </c>
      <c r="D7672">
        <v>10</v>
      </c>
      <c r="E7672">
        <v>0</v>
      </c>
      <c r="I7672">
        <v>10</v>
      </c>
      <c r="M7672" t="s">
        <v>7798</v>
      </c>
    </row>
    <row r="7673" spans="1:13">
      <c r="A7673" s="10">
        <v>46209</v>
      </c>
      <c r="B7673" t="s">
        <v>201</v>
      </c>
      <c r="C7673" s="135" t="s">
        <v>58</v>
      </c>
      <c r="D7673">
        <v>9</v>
      </c>
      <c r="E7673">
        <v>0</v>
      </c>
      <c r="H7673">
        <v>2</v>
      </c>
      <c r="I7673">
        <v>7</v>
      </c>
      <c r="M7673" t="s">
        <v>7799</v>
      </c>
    </row>
    <row r="7674" spans="1:13">
      <c r="A7674" s="10">
        <v>46209</v>
      </c>
      <c r="B7674" t="s">
        <v>201</v>
      </c>
      <c r="C7674" s="135" t="s">
        <v>60</v>
      </c>
      <c r="D7674">
        <v>7</v>
      </c>
      <c r="E7674">
        <v>0</v>
      </c>
      <c r="H7674">
        <v>2</v>
      </c>
      <c r="I7674">
        <v>5</v>
      </c>
      <c r="M7674" t="s">
        <v>7800</v>
      </c>
    </row>
    <row r="7675" spans="1:13">
      <c r="A7675" s="10">
        <v>46209</v>
      </c>
      <c r="B7675" t="s">
        <v>201</v>
      </c>
      <c r="C7675" s="135" t="s">
        <v>61</v>
      </c>
      <c r="D7675">
        <v>4</v>
      </c>
      <c r="E7675">
        <v>0</v>
      </c>
      <c r="H7675">
        <v>2</v>
      </c>
      <c r="I7675">
        <v>2</v>
      </c>
      <c r="M7675" t="s">
        <v>7801</v>
      </c>
    </row>
    <row r="7676" spans="1:13">
      <c r="A7676" s="10">
        <v>46209</v>
      </c>
      <c r="B7676" t="s">
        <v>201</v>
      </c>
      <c r="C7676" s="135" t="s">
        <v>62</v>
      </c>
      <c r="D7676">
        <v>0</v>
      </c>
      <c r="E7676">
        <v>0</v>
      </c>
      <c r="I7676">
        <v>0</v>
      </c>
      <c r="M7676" t="s">
        <v>7802</v>
      </c>
    </row>
    <row r="7677" spans="1:13">
      <c r="A7677" s="10">
        <v>46209</v>
      </c>
      <c r="B7677" t="s">
        <v>201</v>
      </c>
      <c r="C7677" s="135" t="s">
        <v>63</v>
      </c>
      <c r="D7677">
        <v>3</v>
      </c>
      <c r="E7677">
        <v>0</v>
      </c>
      <c r="H7677">
        <v>3</v>
      </c>
      <c r="I7677">
        <v>0</v>
      </c>
      <c r="M7677" t="s">
        <v>7803</v>
      </c>
    </row>
    <row r="7678" spans="1:13">
      <c r="A7678" s="10">
        <v>46209</v>
      </c>
      <c r="B7678" t="s">
        <v>201</v>
      </c>
      <c r="C7678" s="135" t="s">
        <v>64</v>
      </c>
      <c r="D7678">
        <v>6</v>
      </c>
      <c r="E7678">
        <v>0</v>
      </c>
      <c r="H7678">
        <v>2</v>
      </c>
      <c r="I7678">
        <v>4</v>
      </c>
      <c r="M7678" t="s">
        <v>7804</v>
      </c>
    </row>
    <row r="7679" spans="1:13">
      <c r="A7679" s="10">
        <v>46209</v>
      </c>
      <c r="B7679" t="s">
        <v>201</v>
      </c>
      <c r="C7679" t="s">
        <v>66</v>
      </c>
      <c r="D7679">
        <v>4</v>
      </c>
      <c r="E7679">
        <v>0</v>
      </c>
      <c r="I7679">
        <v>4</v>
      </c>
      <c r="M7679" t="s">
        <v>7805</v>
      </c>
    </row>
    <row r="7680" spans="1:13">
      <c r="A7680" s="10">
        <v>46209</v>
      </c>
      <c r="B7680" t="s">
        <v>201</v>
      </c>
      <c r="C7680" t="s">
        <v>67</v>
      </c>
      <c r="D7680">
        <v>4</v>
      </c>
      <c r="E7680">
        <v>0</v>
      </c>
      <c r="H7680">
        <v>1</v>
      </c>
      <c r="I7680">
        <v>3</v>
      </c>
      <c r="M7680" t="s">
        <v>7806</v>
      </c>
    </row>
    <row r="7681" spans="1:13">
      <c r="A7681" s="10">
        <v>46209</v>
      </c>
      <c r="B7681" t="s">
        <v>201</v>
      </c>
      <c r="C7681" t="s">
        <v>68</v>
      </c>
      <c r="D7681">
        <v>0</v>
      </c>
      <c r="E7681">
        <v>0</v>
      </c>
      <c r="I7681">
        <v>0</v>
      </c>
      <c r="M7681" t="s">
        <v>7807</v>
      </c>
    </row>
    <row r="7682" spans="1:13">
      <c r="A7682" s="10">
        <v>46209</v>
      </c>
      <c r="B7682" t="s">
        <v>201</v>
      </c>
      <c r="C7682" t="s">
        <v>71</v>
      </c>
      <c r="D7682">
        <v>1</v>
      </c>
      <c r="E7682">
        <v>511</v>
      </c>
      <c r="I7682">
        <v>1</v>
      </c>
      <c r="J7682">
        <v>478</v>
      </c>
      <c r="M7682" t="s">
        <v>7808</v>
      </c>
    </row>
    <row r="7683" spans="1:13">
      <c r="A7683" s="10">
        <v>46209</v>
      </c>
      <c r="B7683" t="s">
        <v>201</v>
      </c>
      <c r="C7683" t="s">
        <v>73</v>
      </c>
      <c r="D7683">
        <v>2</v>
      </c>
      <c r="E7683">
        <v>312</v>
      </c>
      <c r="I7683">
        <v>2</v>
      </c>
      <c r="J7683">
        <v>289</v>
      </c>
      <c r="M7683" t="s">
        <v>7809</v>
      </c>
    </row>
    <row r="7684" spans="1:13">
      <c r="A7684" s="10">
        <v>46209</v>
      </c>
      <c r="B7684" t="s">
        <v>201</v>
      </c>
      <c r="C7684" t="s">
        <v>75</v>
      </c>
      <c r="D7684">
        <v>0</v>
      </c>
      <c r="E7684">
        <v>408</v>
      </c>
      <c r="I7684">
        <v>0</v>
      </c>
      <c r="J7684">
        <v>400</v>
      </c>
      <c r="M7684" t="s">
        <v>7810</v>
      </c>
    </row>
    <row r="7685" spans="1:13">
      <c r="A7685" s="10">
        <v>46209</v>
      </c>
      <c r="B7685" t="s">
        <v>201</v>
      </c>
      <c r="C7685" t="s">
        <v>77</v>
      </c>
      <c r="D7685">
        <v>0</v>
      </c>
      <c r="E7685">
        <v>1132</v>
      </c>
      <c r="I7685">
        <v>0</v>
      </c>
      <c r="J7685">
        <v>1102</v>
      </c>
      <c r="M7685" t="s">
        <v>7811</v>
      </c>
    </row>
    <row r="7686" spans="1:13">
      <c r="A7686" s="10">
        <v>46209</v>
      </c>
      <c r="B7686" t="s">
        <v>201</v>
      </c>
      <c r="C7686" t="s">
        <v>79</v>
      </c>
      <c r="D7686">
        <v>1</v>
      </c>
      <c r="E7686">
        <v>1098</v>
      </c>
      <c r="I7686">
        <v>1</v>
      </c>
      <c r="J7686">
        <v>929</v>
      </c>
      <c r="M7686" t="s">
        <v>7812</v>
      </c>
    </row>
    <row r="7687" spans="1:13">
      <c r="A7687" s="10">
        <v>46209</v>
      </c>
      <c r="B7687" t="s">
        <v>201</v>
      </c>
      <c r="C7687" t="s">
        <v>81</v>
      </c>
      <c r="D7687">
        <v>1</v>
      </c>
      <c r="E7687">
        <v>548</v>
      </c>
      <c r="I7687">
        <v>1</v>
      </c>
      <c r="J7687">
        <v>548</v>
      </c>
      <c r="M7687" t="s">
        <v>7813</v>
      </c>
    </row>
    <row r="7688" spans="1:13">
      <c r="A7688" s="10">
        <v>46209</v>
      </c>
      <c r="B7688" t="s">
        <v>201</v>
      </c>
      <c r="C7688" t="s">
        <v>83</v>
      </c>
      <c r="D7688">
        <v>1</v>
      </c>
      <c r="E7688">
        <v>342</v>
      </c>
      <c r="I7688">
        <v>1</v>
      </c>
      <c r="J7688">
        <v>342</v>
      </c>
      <c r="M7688" t="s">
        <v>7814</v>
      </c>
    </row>
    <row r="7689" spans="1:13">
      <c r="A7689" s="10">
        <v>46209</v>
      </c>
      <c r="B7689" t="s">
        <v>201</v>
      </c>
      <c r="C7689" t="s">
        <v>84</v>
      </c>
      <c r="D7689">
        <v>2</v>
      </c>
      <c r="E7689">
        <v>232</v>
      </c>
      <c r="I7689">
        <v>2</v>
      </c>
      <c r="J7689">
        <v>232</v>
      </c>
      <c r="M7689" t="s">
        <v>7815</v>
      </c>
    </row>
    <row r="7690" spans="1:13">
      <c r="A7690" s="10">
        <v>46209</v>
      </c>
      <c r="B7690" t="s">
        <v>201</v>
      </c>
      <c r="C7690" t="s">
        <v>85</v>
      </c>
      <c r="D7690">
        <v>0</v>
      </c>
      <c r="E7690">
        <v>131</v>
      </c>
      <c r="I7690">
        <v>0</v>
      </c>
      <c r="J7690">
        <v>131</v>
      </c>
      <c r="M7690" t="s">
        <v>7816</v>
      </c>
    </row>
    <row r="7691" spans="1:13">
      <c r="A7691" s="10">
        <v>46209</v>
      </c>
      <c r="B7691" t="s">
        <v>201</v>
      </c>
      <c r="C7691" t="s">
        <v>87</v>
      </c>
      <c r="D7691">
        <v>2</v>
      </c>
      <c r="E7691">
        <v>1469</v>
      </c>
      <c r="I7691">
        <v>2</v>
      </c>
      <c r="J7691">
        <v>365</v>
      </c>
      <c r="M7691" t="s">
        <v>7817</v>
      </c>
    </row>
    <row r="7692" spans="1:13">
      <c r="A7692" s="10">
        <v>46209</v>
      </c>
      <c r="B7692" t="s">
        <v>201</v>
      </c>
      <c r="C7692" t="s">
        <v>88</v>
      </c>
      <c r="D7692">
        <v>1</v>
      </c>
      <c r="E7692">
        <v>246</v>
      </c>
      <c r="I7692">
        <v>1</v>
      </c>
      <c r="J7692">
        <v>243</v>
      </c>
      <c r="M7692" t="s">
        <v>7818</v>
      </c>
    </row>
    <row r="7693" spans="1:13">
      <c r="A7693" s="10">
        <v>46209</v>
      </c>
      <c r="B7693" t="s">
        <v>201</v>
      </c>
      <c r="C7693" t="s">
        <v>89</v>
      </c>
      <c r="D7693">
        <v>1</v>
      </c>
      <c r="E7693">
        <v>177</v>
      </c>
      <c r="I7693">
        <v>1</v>
      </c>
      <c r="J7693">
        <v>174</v>
      </c>
      <c r="M7693" t="s">
        <v>7819</v>
      </c>
    </row>
    <row r="7694" spans="1:13">
      <c r="A7694" s="10">
        <v>46209</v>
      </c>
      <c r="B7694" t="s">
        <v>201</v>
      </c>
      <c r="C7694" t="s">
        <v>90</v>
      </c>
      <c r="D7694">
        <v>0</v>
      </c>
      <c r="E7694">
        <v>1087</v>
      </c>
      <c r="I7694">
        <v>0</v>
      </c>
      <c r="J7694">
        <v>1064</v>
      </c>
      <c r="M7694" t="s">
        <v>7820</v>
      </c>
    </row>
    <row r="7695" spans="1:13">
      <c r="A7695" s="10">
        <v>46209</v>
      </c>
      <c r="B7695" t="s">
        <v>201</v>
      </c>
      <c r="C7695" t="s">
        <v>92</v>
      </c>
      <c r="D7695">
        <v>1</v>
      </c>
      <c r="E7695">
        <v>592</v>
      </c>
      <c r="I7695">
        <v>1</v>
      </c>
      <c r="J7695">
        <v>578</v>
      </c>
      <c r="M7695" t="s">
        <v>7821</v>
      </c>
    </row>
    <row r="7696" spans="1:13">
      <c r="A7696" s="10">
        <v>46209</v>
      </c>
      <c r="B7696" t="s">
        <v>201</v>
      </c>
      <c r="C7696" t="s">
        <v>94</v>
      </c>
      <c r="D7696">
        <v>2</v>
      </c>
      <c r="E7696">
        <v>290</v>
      </c>
      <c r="I7696">
        <v>0</v>
      </c>
      <c r="J7696">
        <v>461</v>
      </c>
      <c r="M7696" t="s">
        <v>7822</v>
      </c>
    </row>
    <row r="7697" spans="1:13">
      <c r="A7697" s="10">
        <v>46209</v>
      </c>
      <c r="B7697" t="s">
        <v>201</v>
      </c>
      <c r="C7697" t="s">
        <v>96</v>
      </c>
      <c r="D7697">
        <v>0</v>
      </c>
      <c r="E7697">
        <v>0</v>
      </c>
      <c r="I7697">
        <v>0</v>
      </c>
      <c r="J7697">
        <v>0</v>
      </c>
      <c r="M7697" t="s">
        <v>7823</v>
      </c>
    </row>
    <row r="7698" spans="1:13">
      <c r="A7698" s="10">
        <v>46209</v>
      </c>
      <c r="B7698" t="s">
        <v>201</v>
      </c>
      <c r="C7698" t="s">
        <v>98</v>
      </c>
      <c r="D7698">
        <v>0</v>
      </c>
      <c r="E7698">
        <v>394</v>
      </c>
      <c r="I7698">
        <v>0</v>
      </c>
      <c r="J7698">
        <v>241</v>
      </c>
      <c r="M7698" t="s">
        <v>7824</v>
      </c>
    </row>
    <row r="7699" spans="1:13">
      <c r="A7699" s="10">
        <v>46209</v>
      </c>
      <c r="B7699" t="s">
        <v>201</v>
      </c>
      <c r="C7699" t="s">
        <v>203</v>
      </c>
      <c r="D7699">
        <v>2</v>
      </c>
      <c r="E7699">
        <v>0</v>
      </c>
      <c r="I7699">
        <v>0</v>
      </c>
      <c r="J7699">
        <v>0</v>
      </c>
      <c r="M7699" t="s">
        <v>7825</v>
      </c>
    </row>
    <row r="7700" spans="1:13">
      <c r="A7700" s="10">
        <v>46209</v>
      </c>
      <c r="B7700" t="s">
        <v>201</v>
      </c>
      <c r="C7700" t="s">
        <v>100</v>
      </c>
      <c r="D7700">
        <v>0</v>
      </c>
      <c r="E7700">
        <v>0</v>
      </c>
      <c r="I7700">
        <v>0</v>
      </c>
      <c r="J7700">
        <v>0</v>
      </c>
      <c r="M7700" t="s">
        <v>7826</v>
      </c>
    </row>
    <row r="7701" spans="1:13">
      <c r="A7701" s="10">
        <v>46209</v>
      </c>
      <c r="B7701" t="s">
        <v>201</v>
      </c>
      <c r="C7701" t="s">
        <v>101</v>
      </c>
      <c r="D7701">
        <v>0</v>
      </c>
      <c r="E7701">
        <v>549</v>
      </c>
      <c r="I7701">
        <v>0</v>
      </c>
      <c r="J7701">
        <v>501</v>
      </c>
      <c r="M7701" t="s">
        <v>7827</v>
      </c>
    </row>
    <row r="7702" spans="1:13">
      <c r="A7702" s="10">
        <v>46209</v>
      </c>
      <c r="B7702" t="s">
        <v>201</v>
      </c>
      <c r="C7702" t="s">
        <v>103</v>
      </c>
      <c r="D7702">
        <v>0</v>
      </c>
      <c r="E7702">
        <v>3</v>
      </c>
      <c r="H7702">
        <v>6</v>
      </c>
      <c r="I7702">
        <v>0</v>
      </c>
      <c r="J7702">
        <v>3</v>
      </c>
      <c r="M7702" t="s">
        <v>7828</v>
      </c>
    </row>
    <row r="7703" spans="1:13">
      <c r="A7703" s="10">
        <v>46209</v>
      </c>
      <c r="B7703" t="s">
        <v>201</v>
      </c>
      <c r="C7703" t="s">
        <v>106</v>
      </c>
      <c r="D7703">
        <v>0</v>
      </c>
      <c r="E7703">
        <v>601</v>
      </c>
      <c r="I7703">
        <v>0</v>
      </c>
      <c r="J7703">
        <v>295</v>
      </c>
      <c r="M7703" t="s">
        <v>7829</v>
      </c>
    </row>
    <row r="7704" spans="1:13">
      <c r="A7704" s="10">
        <v>46209</v>
      </c>
      <c r="B7704" t="s">
        <v>201</v>
      </c>
      <c r="C7704" t="s">
        <v>108</v>
      </c>
      <c r="D7704">
        <v>1</v>
      </c>
      <c r="E7704">
        <v>366</v>
      </c>
      <c r="I7704">
        <v>1</v>
      </c>
      <c r="J7704">
        <v>322</v>
      </c>
      <c r="M7704" t="s">
        <v>7830</v>
      </c>
    </row>
    <row r="7705" spans="1:13">
      <c r="A7705" s="10">
        <v>46209</v>
      </c>
      <c r="B7705" t="s">
        <v>201</v>
      </c>
      <c r="C7705" t="s">
        <v>109</v>
      </c>
      <c r="D7705">
        <v>1</v>
      </c>
      <c r="E7705">
        <v>721</v>
      </c>
      <c r="I7705">
        <v>1</v>
      </c>
      <c r="J7705">
        <v>636</v>
      </c>
      <c r="M7705" t="s">
        <v>7831</v>
      </c>
    </row>
    <row r="7706" spans="1:13">
      <c r="A7706" s="10">
        <v>46209</v>
      </c>
      <c r="B7706" t="s">
        <v>201</v>
      </c>
      <c r="C7706" t="s">
        <v>112</v>
      </c>
      <c r="D7706">
        <v>1</v>
      </c>
      <c r="E7706">
        <v>27</v>
      </c>
      <c r="I7706">
        <v>1</v>
      </c>
      <c r="J7706">
        <v>24</v>
      </c>
      <c r="M7706" t="s">
        <v>7832</v>
      </c>
    </row>
    <row r="7707" spans="1:13">
      <c r="A7707" s="10">
        <v>46209</v>
      </c>
      <c r="B7707" t="s">
        <v>201</v>
      </c>
      <c r="C7707" t="s">
        <v>114</v>
      </c>
      <c r="D7707">
        <v>1</v>
      </c>
      <c r="E7707">
        <v>46</v>
      </c>
      <c r="I7707">
        <v>1</v>
      </c>
      <c r="J7707">
        <v>33</v>
      </c>
      <c r="M7707" t="s">
        <v>7833</v>
      </c>
    </row>
    <row r="7708" spans="1:13">
      <c r="A7708" s="10">
        <v>46209</v>
      </c>
      <c r="B7708" t="s">
        <v>201</v>
      </c>
      <c r="C7708" t="s">
        <v>115</v>
      </c>
      <c r="D7708">
        <v>0</v>
      </c>
      <c r="E7708">
        <v>51</v>
      </c>
      <c r="I7708">
        <v>0</v>
      </c>
      <c r="J7708">
        <v>46</v>
      </c>
      <c r="M7708" t="s">
        <v>7834</v>
      </c>
    </row>
    <row r="7709" spans="1:13">
      <c r="A7709" s="10">
        <v>46209</v>
      </c>
      <c r="B7709" t="s">
        <v>201</v>
      </c>
      <c r="C7709" t="s">
        <v>116</v>
      </c>
      <c r="D7709">
        <v>2</v>
      </c>
      <c r="E7709">
        <v>6</v>
      </c>
      <c r="I7709">
        <v>1</v>
      </c>
      <c r="J7709">
        <v>50</v>
      </c>
      <c r="M7709" t="s">
        <v>7835</v>
      </c>
    </row>
    <row r="7710" spans="1:13">
      <c r="A7710" s="10">
        <v>46209</v>
      </c>
      <c r="B7710" t="s">
        <v>201</v>
      </c>
      <c r="C7710" t="s">
        <v>119</v>
      </c>
      <c r="D7710">
        <v>4</v>
      </c>
      <c r="E7710">
        <v>0</v>
      </c>
      <c r="I7710">
        <v>4</v>
      </c>
      <c r="M7710" t="s">
        <v>7836</v>
      </c>
    </row>
    <row r="7711" spans="1:13">
      <c r="A7711" s="10">
        <v>46209</v>
      </c>
      <c r="B7711" t="s">
        <v>201</v>
      </c>
      <c r="C7711" t="s">
        <v>120</v>
      </c>
      <c r="D7711">
        <v>2</v>
      </c>
      <c r="E7711">
        <v>0</v>
      </c>
      <c r="I7711">
        <v>2</v>
      </c>
      <c r="M7711" t="s">
        <v>7837</v>
      </c>
    </row>
    <row r="7712" spans="1:13">
      <c r="A7712" s="10">
        <v>46209</v>
      </c>
      <c r="B7712" t="s">
        <v>201</v>
      </c>
      <c r="C7712" t="s">
        <v>121</v>
      </c>
      <c r="D7712">
        <v>2</v>
      </c>
      <c r="E7712">
        <v>0</v>
      </c>
      <c r="I7712">
        <v>2</v>
      </c>
      <c r="M7712" t="s">
        <v>7838</v>
      </c>
    </row>
    <row r="7713" spans="1:13">
      <c r="A7713" s="10">
        <v>46209</v>
      </c>
      <c r="B7713" t="s">
        <v>201</v>
      </c>
      <c r="C7713" t="s">
        <v>123</v>
      </c>
      <c r="D7713">
        <v>1</v>
      </c>
      <c r="E7713">
        <v>0</v>
      </c>
      <c r="I7713">
        <v>1</v>
      </c>
      <c r="M7713" t="s">
        <v>7839</v>
      </c>
    </row>
    <row r="7714" spans="1:13">
      <c r="A7714" s="10">
        <v>46209</v>
      </c>
      <c r="B7714" t="s">
        <v>201</v>
      </c>
      <c r="C7714" t="s">
        <v>124</v>
      </c>
      <c r="D7714">
        <v>1</v>
      </c>
      <c r="E7714">
        <v>0</v>
      </c>
      <c r="I7714">
        <v>1</v>
      </c>
      <c r="M7714" t="s">
        <v>7840</v>
      </c>
    </row>
    <row r="7715" spans="1:13">
      <c r="A7715" s="10">
        <v>46209</v>
      </c>
      <c r="B7715" t="s">
        <v>201</v>
      </c>
      <c r="C7715" t="s">
        <v>125</v>
      </c>
      <c r="D7715">
        <v>1</v>
      </c>
      <c r="E7715">
        <v>0</v>
      </c>
      <c r="I7715">
        <v>1</v>
      </c>
      <c r="M7715" t="s">
        <v>7841</v>
      </c>
    </row>
    <row r="7716" spans="1:13">
      <c r="A7716" s="10">
        <v>46209</v>
      </c>
      <c r="B7716" t="s">
        <v>201</v>
      </c>
      <c r="C7716" t="s">
        <v>126</v>
      </c>
      <c r="D7716">
        <v>2</v>
      </c>
      <c r="E7716">
        <v>0</v>
      </c>
      <c r="I7716">
        <v>2</v>
      </c>
      <c r="M7716" t="s">
        <v>7842</v>
      </c>
    </row>
    <row r="7717" spans="1:13">
      <c r="A7717" s="10">
        <v>46209</v>
      </c>
      <c r="B7717" t="s">
        <v>201</v>
      </c>
      <c r="C7717" t="s">
        <v>128</v>
      </c>
      <c r="D7717">
        <v>2</v>
      </c>
      <c r="E7717">
        <v>0</v>
      </c>
      <c r="I7717">
        <v>2</v>
      </c>
      <c r="M7717" t="s">
        <v>7843</v>
      </c>
    </row>
    <row r="7718" spans="1:13">
      <c r="A7718" s="10">
        <v>46209</v>
      </c>
      <c r="B7718" t="s">
        <v>201</v>
      </c>
      <c r="C7718" t="s">
        <v>130</v>
      </c>
      <c r="D7718">
        <v>2</v>
      </c>
      <c r="E7718">
        <v>0</v>
      </c>
      <c r="I7718">
        <v>2</v>
      </c>
      <c r="M7718" t="s">
        <v>7844</v>
      </c>
    </row>
    <row r="7719" spans="1:13">
      <c r="A7719" s="10">
        <v>46209</v>
      </c>
      <c r="B7719" t="s">
        <v>201</v>
      </c>
      <c r="C7719" t="s">
        <v>285</v>
      </c>
      <c r="D7719">
        <v>2</v>
      </c>
      <c r="E7719">
        <v>0</v>
      </c>
      <c r="I7719">
        <v>2</v>
      </c>
      <c r="M7719" t="s">
        <v>7845</v>
      </c>
    </row>
    <row r="7720" spans="1:13">
      <c r="A7720" s="10">
        <v>46209</v>
      </c>
      <c r="B7720" t="s">
        <v>201</v>
      </c>
      <c r="C7720" t="s">
        <v>287</v>
      </c>
      <c r="D7720">
        <v>6</v>
      </c>
      <c r="E7720">
        <v>0</v>
      </c>
      <c r="I7720">
        <v>6</v>
      </c>
      <c r="M7720" t="s">
        <v>7846</v>
      </c>
    </row>
    <row r="7721" spans="1:13">
      <c r="A7721" s="10">
        <v>46209</v>
      </c>
      <c r="B7721" t="s">
        <v>201</v>
      </c>
      <c r="C7721" t="s">
        <v>289</v>
      </c>
      <c r="D7721">
        <v>2</v>
      </c>
      <c r="E7721">
        <v>0</v>
      </c>
      <c r="I7721">
        <v>0</v>
      </c>
      <c r="M7721" t="s">
        <v>7847</v>
      </c>
    </row>
    <row r="7722" spans="1:13">
      <c r="A7722" s="10">
        <v>46209</v>
      </c>
      <c r="B7722" t="s">
        <v>201</v>
      </c>
      <c r="C7722" t="s">
        <v>291</v>
      </c>
      <c r="D7722">
        <v>1</v>
      </c>
      <c r="E7722">
        <v>0</v>
      </c>
      <c r="I7722">
        <v>0</v>
      </c>
      <c r="M7722" t="s">
        <v>7848</v>
      </c>
    </row>
    <row r="7723" spans="1:13">
      <c r="A7723" s="10">
        <v>46209</v>
      </c>
      <c r="B7723" t="s">
        <v>201</v>
      </c>
      <c r="C7723" t="s">
        <v>293</v>
      </c>
      <c r="D7723">
        <v>1</v>
      </c>
      <c r="E7723">
        <v>0</v>
      </c>
      <c r="I7723">
        <v>1</v>
      </c>
      <c r="M7723" t="s">
        <v>7849</v>
      </c>
    </row>
    <row r="7724" spans="1:13">
      <c r="A7724" s="10">
        <v>46209</v>
      </c>
      <c r="B7724" t="s">
        <v>201</v>
      </c>
      <c r="C7724" s="135" t="s">
        <v>138</v>
      </c>
      <c r="D7724">
        <v>0</v>
      </c>
      <c r="E7724">
        <v>24</v>
      </c>
      <c r="I7724">
        <v>0</v>
      </c>
      <c r="J7724">
        <v>29</v>
      </c>
      <c r="M7724" t="s">
        <v>7850</v>
      </c>
    </row>
    <row r="7725" spans="1:13">
      <c r="A7725" s="10">
        <v>46209</v>
      </c>
      <c r="B7725" t="s">
        <v>201</v>
      </c>
      <c r="C7725" s="135" t="s">
        <v>139</v>
      </c>
      <c r="D7725">
        <v>0</v>
      </c>
      <c r="E7725">
        <v>28</v>
      </c>
      <c r="I7725">
        <v>0</v>
      </c>
      <c r="J7725">
        <v>37</v>
      </c>
      <c r="M7725" t="s">
        <v>7851</v>
      </c>
    </row>
    <row r="7726" spans="1:13">
      <c r="A7726" s="10">
        <v>46209</v>
      </c>
      <c r="B7726" t="s">
        <v>201</v>
      </c>
      <c r="C7726" s="135" t="s">
        <v>140</v>
      </c>
      <c r="D7726">
        <v>0</v>
      </c>
      <c r="E7726">
        <v>47</v>
      </c>
      <c r="I7726">
        <v>0</v>
      </c>
      <c r="J7726">
        <v>47</v>
      </c>
      <c r="M7726" t="s">
        <v>7852</v>
      </c>
    </row>
    <row r="7727" spans="1:13">
      <c r="A7727" s="10">
        <v>46209</v>
      </c>
      <c r="B7727" t="s">
        <v>201</v>
      </c>
      <c r="C7727" s="135" t="s">
        <v>141</v>
      </c>
      <c r="D7727">
        <v>0</v>
      </c>
      <c r="E7727">
        <v>457</v>
      </c>
      <c r="I7727">
        <v>0</v>
      </c>
      <c r="J7727">
        <v>1</v>
      </c>
      <c r="M7727" t="s">
        <v>7853</v>
      </c>
    </row>
    <row r="7728" spans="1:13">
      <c r="A7728" s="10">
        <v>46209</v>
      </c>
      <c r="B7728" t="s">
        <v>201</v>
      </c>
      <c r="C7728" s="135" t="s">
        <v>143</v>
      </c>
      <c r="D7728">
        <v>0</v>
      </c>
      <c r="E7728">
        <v>29</v>
      </c>
      <c r="I7728">
        <v>0</v>
      </c>
      <c r="J7728">
        <v>25</v>
      </c>
      <c r="M7728" t="s">
        <v>7854</v>
      </c>
    </row>
    <row r="7729" spans="1:13">
      <c r="A7729" s="10">
        <v>46209</v>
      </c>
      <c r="B7729" t="s">
        <v>201</v>
      </c>
      <c r="C7729" s="135" t="s">
        <v>145</v>
      </c>
      <c r="D7729">
        <v>0</v>
      </c>
      <c r="E7729">
        <v>30</v>
      </c>
      <c r="I7729">
        <v>0</v>
      </c>
      <c r="J7729">
        <v>27</v>
      </c>
      <c r="M7729" t="s">
        <v>7855</v>
      </c>
    </row>
    <row r="7730" spans="1:13">
      <c r="A7730" s="10">
        <v>46209</v>
      </c>
      <c r="B7730" t="s">
        <v>201</v>
      </c>
      <c r="C7730" s="135" t="s">
        <v>147</v>
      </c>
      <c r="D7730">
        <v>0</v>
      </c>
      <c r="E7730">
        <v>41</v>
      </c>
      <c r="I7730">
        <v>0</v>
      </c>
      <c r="J7730">
        <v>40</v>
      </c>
      <c r="M7730" t="s">
        <v>7856</v>
      </c>
    </row>
    <row r="7731" spans="1:13">
      <c r="A7731" s="10">
        <v>46209</v>
      </c>
      <c r="B7731" t="s">
        <v>201</v>
      </c>
      <c r="C7731" t="s">
        <v>302</v>
      </c>
      <c r="D7731">
        <v>1</v>
      </c>
      <c r="E7731">
        <v>0</v>
      </c>
      <c r="I7731">
        <v>1</v>
      </c>
      <c r="M7731" t="s">
        <v>7857</v>
      </c>
    </row>
    <row r="7732" spans="1:13">
      <c r="A7732" s="10">
        <v>46209</v>
      </c>
      <c r="B7732" t="s">
        <v>201</v>
      </c>
      <c r="C7732" t="s">
        <v>150</v>
      </c>
      <c r="D7732">
        <v>3</v>
      </c>
      <c r="E7732">
        <v>0</v>
      </c>
      <c r="I7732">
        <v>3</v>
      </c>
      <c r="M7732" t="s">
        <v>7858</v>
      </c>
    </row>
    <row r="7733" spans="1:13">
      <c r="A7733" s="10">
        <v>46209</v>
      </c>
      <c r="B7733" t="s">
        <v>201</v>
      </c>
      <c r="C7733" t="s">
        <v>151</v>
      </c>
      <c r="D7733">
        <v>2</v>
      </c>
      <c r="E7733">
        <v>0</v>
      </c>
      <c r="I7733">
        <v>2</v>
      </c>
      <c r="M7733" t="s">
        <v>7859</v>
      </c>
    </row>
    <row r="7734" spans="1:13">
      <c r="A7734" s="10">
        <v>46209</v>
      </c>
      <c r="B7734" t="s">
        <v>201</v>
      </c>
      <c r="C7734" t="s">
        <v>152</v>
      </c>
      <c r="D7734">
        <v>2</v>
      </c>
      <c r="E7734">
        <v>0</v>
      </c>
      <c r="I7734">
        <v>2</v>
      </c>
      <c r="M7734" t="s">
        <v>7860</v>
      </c>
    </row>
    <row r="7735" spans="1:13">
      <c r="A7735" s="10">
        <v>46209</v>
      </c>
      <c r="B7735" t="s">
        <v>201</v>
      </c>
      <c r="C7735" t="s">
        <v>153</v>
      </c>
      <c r="D7735">
        <v>2</v>
      </c>
      <c r="E7735">
        <v>0</v>
      </c>
      <c r="I7735">
        <v>2</v>
      </c>
      <c r="M7735" t="s">
        <v>7861</v>
      </c>
    </row>
    <row r="7736" spans="1:13">
      <c r="A7736" s="10">
        <v>46209</v>
      </c>
      <c r="B7736" t="s">
        <v>201</v>
      </c>
      <c r="C7736" t="s">
        <v>308</v>
      </c>
      <c r="D7736">
        <v>0</v>
      </c>
      <c r="E7736">
        <v>4</v>
      </c>
      <c r="I7736">
        <v>0</v>
      </c>
      <c r="J7736">
        <v>3</v>
      </c>
      <c r="M7736" t="s">
        <v>7862</v>
      </c>
    </row>
    <row r="7737" spans="1:13">
      <c r="A7737" s="10">
        <v>46209</v>
      </c>
      <c r="B7737" t="s">
        <v>201</v>
      </c>
      <c r="C7737" t="s">
        <v>310</v>
      </c>
      <c r="D7737">
        <v>0</v>
      </c>
      <c r="E7737">
        <v>2</v>
      </c>
      <c r="I7737">
        <v>0</v>
      </c>
      <c r="J7737">
        <v>2</v>
      </c>
      <c r="M7737" t="s">
        <v>7863</v>
      </c>
    </row>
    <row r="7738" spans="1:13">
      <c r="A7738" s="10">
        <v>46209</v>
      </c>
      <c r="B7738" t="s">
        <v>201</v>
      </c>
      <c r="C7738" t="s">
        <v>312</v>
      </c>
      <c r="D7738">
        <v>0</v>
      </c>
      <c r="E7738">
        <v>3</v>
      </c>
      <c r="I7738">
        <v>0</v>
      </c>
      <c r="J7738">
        <v>2</v>
      </c>
      <c r="M7738" t="s">
        <v>7864</v>
      </c>
    </row>
    <row r="7739" spans="1:13">
      <c r="A7739" s="10">
        <v>46209</v>
      </c>
      <c r="B7739" t="s">
        <v>201</v>
      </c>
      <c r="C7739" t="s">
        <v>314</v>
      </c>
      <c r="D7739">
        <v>1</v>
      </c>
      <c r="E7739">
        <v>0</v>
      </c>
      <c r="I7739">
        <v>1</v>
      </c>
      <c r="M7739" t="s">
        <v>7865</v>
      </c>
    </row>
    <row r="7740" spans="1:13">
      <c r="A7740" s="10">
        <v>46209</v>
      </c>
      <c r="B7740" t="s">
        <v>201</v>
      </c>
      <c r="C7740" t="s">
        <v>316</v>
      </c>
      <c r="D7740">
        <v>1</v>
      </c>
      <c r="E7740">
        <v>0</v>
      </c>
      <c r="I7740">
        <v>1</v>
      </c>
      <c r="M7740" t="s">
        <v>7866</v>
      </c>
    </row>
    <row r="7741" spans="1:13">
      <c r="A7741" s="10">
        <v>46209</v>
      </c>
      <c r="B7741" t="s">
        <v>201</v>
      </c>
      <c r="C7741" t="s">
        <v>318</v>
      </c>
      <c r="D7741">
        <v>2</v>
      </c>
      <c r="E7741">
        <v>0</v>
      </c>
      <c r="I7741">
        <v>0</v>
      </c>
      <c r="M7741" t="s">
        <v>7867</v>
      </c>
    </row>
    <row r="7742" spans="1:13">
      <c r="A7742" s="10">
        <v>46209</v>
      </c>
      <c r="B7742" t="s">
        <v>201</v>
      </c>
      <c r="C7742" t="s">
        <v>320</v>
      </c>
      <c r="D7742">
        <v>2</v>
      </c>
      <c r="E7742">
        <v>0</v>
      </c>
      <c r="I7742">
        <v>1</v>
      </c>
      <c r="M7742" t="s">
        <v>7868</v>
      </c>
    </row>
    <row r="7743" spans="1:13">
      <c r="A7743" s="10">
        <v>46209</v>
      </c>
      <c r="B7743" t="s">
        <v>201</v>
      </c>
      <c r="C7743" t="s">
        <v>322</v>
      </c>
      <c r="D7743">
        <v>1</v>
      </c>
      <c r="E7743">
        <v>0</v>
      </c>
      <c r="I7743">
        <v>1</v>
      </c>
      <c r="M7743" t="s">
        <v>7869</v>
      </c>
    </row>
    <row r="7744" spans="1:13">
      <c r="A7744" s="10">
        <v>46209</v>
      </c>
      <c r="B7744" t="s">
        <v>201</v>
      </c>
      <c r="C7744" s="135" t="s">
        <v>168</v>
      </c>
      <c r="D7744">
        <v>1</v>
      </c>
      <c r="E7744">
        <v>0</v>
      </c>
      <c r="I7744">
        <v>1</v>
      </c>
      <c r="M7744" t="s">
        <v>7870</v>
      </c>
    </row>
    <row r="7745" spans="1:13">
      <c r="A7745" s="10">
        <v>46209</v>
      </c>
      <c r="B7745" t="s">
        <v>201</v>
      </c>
      <c r="C7745" s="135" t="s">
        <v>170</v>
      </c>
      <c r="D7745">
        <v>1</v>
      </c>
      <c r="E7745">
        <v>0</v>
      </c>
      <c r="I7745">
        <v>1</v>
      </c>
      <c r="M7745" t="s">
        <v>7871</v>
      </c>
    </row>
    <row r="7746" spans="1:13">
      <c r="A7746" s="10">
        <v>46209</v>
      </c>
      <c r="B7746" t="s">
        <v>201</v>
      </c>
      <c r="C7746" s="135" t="s">
        <v>171</v>
      </c>
      <c r="D7746">
        <v>2</v>
      </c>
      <c r="E7746">
        <v>0</v>
      </c>
      <c r="I7746">
        <v>2</v>
      </c>
      <c r="M7746" t="s">
        <v>7872</v>
      </c>
    </row>
    <row r="7747" spans="1:13">
      <c r="A7747" s="10">
        <v>46209</v>
      </c>
      <c r="B7747" t="s">
        <v>201</v>
      </c>
      <c r="C7747" s="135" t="s">
        <v>172</v>
      </c>
      <c r="D7747">
        <v>1</v>
      </c>
      <c r="E7747">
        <v>0</v>
      </c>
      <c r="I7747">
        <v>1</v>
      </c>
      <c r="M7747" t="s">
        <v>7873</v>
      </c>
    </row>
    <row r="7748" spans="1:13">
      <c r="A7748" s="10">
        <v>46209</v>
      </c>
      <c r="B7748" t="s">
        <v>201</v>
      </c>
      <c r="C7748" s="135" t="s">
        <v>173</v>
      </c>
      <c r="D7748">
        <v>0</v>
      </c>
      <c r="E7748">
        <v>0</v>
      </c>
      <c r="I7748">
        <v>0</v>
      </c>
      <c r="M7748" t="s">
        <v>7874</v>
      </c>
    </row>
    <row r="7749" spans="1:13">
      <c r="A7749" s="10">
        <v>46209</v>
      </c>
      <c r="B7749" t="s">
        <v>201</v>
      </c>
      <c r="C7749" t="s">
        <v>176</v>
      </c>
      <c r="D7749">
        <v>0</v>
      </c>
      <c r="E7749">
        <v>21</v>
      </c>
      <c r="I7749">
        <v>0</v>
      </c>
      <c r="J7749">
        <v>21</v>
      </c>
      <c r="M7749" t="s">
        <v>7875</v>
      </c>
    </row>
    <row r="7750" spans="1:13">
      <c r="A7750" s="10">
        <v>46209</v>
      </c>
      <c r="B7750" t="s">
        <v>201</v>
      </c>
      <c r="C7750" t="s">
        <v>178</v>
      </c>
      <c r="D7750">
        <v>0</v>
      </c>
      <c r="E7750">
        <v>21</v>
      </c>
      <c r="I7750">
        <v>0</v>
      </c>
      <c r="J7750">
        <v>21</v>
      </c>
      <c r="M7750" t="s">
        <v>7876</v>
      </c>
    </row>
    <row r="7751" spans="1:13">
      <c r="A7751" s="10">
        <v>46209</v>
      </c>
      <c r="B7751" t="s">
        <v>201</v>
      </c>
      <c r="C7751" t="s">
        <v>179</v>
      </c>
      <c r="D7751">
        <v>0</v>
      </c>
      <c r="E7751">
        <v>114</v>
      </c>
      <c r="I7751">
        <v>0</v>
      </c>
      <c r="J7751">
        <v>14</v>
      </c>
      <c r="M7751" t="s">
        <v>7877</v>
      </c>
    </row>
    <row r="7752" spans="1:13">
      <c r="A7752" s="10">
        <v>46209</v>
      </c>
      <c r="B7752" t="s">
        <v>201</v>
      </c>
      <c r="C7752" t="s">
        <v>180</v>
      </c>
      <c r="D7752">
        <v>0</v>
      </c>
      <c r="E7752">
        <v>15</v>
      </c>
      <c r="H7752">
        <v>1</v>
      </c>
      <c r="I7752">
        <v>0</v>
      </c>
      <c r="J7752">
        <v>14</v>
      </c>
      <c r="M7752" t="s">
        <v>7878</v>
      </c>
    </row>
    <row r="7753" spans="1:13">
      <c r="A7753" s="10">
        <v>46209</v>
      </c>
      <c r="B7753" t="s">
        <v>201</v>
      </c>
      <c r="C7753" s="135" t="s">
        <v>182</v>
      </c>
      <c r="D7753">
        <v>1</v>
      </c>
      <c r="E7753">
        <v>150</v>
      </c>
      <c r="I7753">
        <v>1</v>
      </c>
      <c r="J7753">
        <v>150</v>
      </c>
      <c r="M7753" t="s">
        <v>7879</v>
      </c>
    </row>
    <row r="7754" spans="1:13">
      <c r="A7754" s="10">
        <v>46209</v>
      </c>
      <c r="B7754" t="s">
        <v>201</v>
      </c>
      <c r="C7754" s="135" t="s">
        <v>184</v>
      </c>
      <c r="D7754">
        <v>2</v>
      </c>
      <c r="E7754">
        <v>38</v>
      </c>
      <c r="I7754">
        <v>2</v>
      </c>
      <c r="J7754">
        <v>35</v>
      </c>
      <c r="M7754" t="s">
        <v>7880</v>
      </c>
    </row>
    <row r="7755" spans="1:13">
      <c r="A7755" s="10">
        <v>46209</v>
      </c>
      <c r="B7755" t="s">
        <v>201</v>
      </c>
      <c r="C7755" s="135" t="s">
        <v>185</v>
      </c>
      <c r="D7755">
        <v>1</v>
      </c>
      <c r="E7755">
        <v>20</v>
      </c>
      <c r="I7755">
        <v>1</v>
      </c>
      <c r="J7755">
        <v>20</v>
      </c>
      <c r="M7755" t="s">
        <v>7881</v>
      </c>
    </row>
    <row r="7756" spans="1:13">
      <c r="A7756" s="10">
        <v>46209</v>
      </c>
      <c r="B7756" t="s">
        <v>201</v>
      </c>
      <c r="C7756" s="135" t="s">
        <v>186</v>
      </c>
      <c r="D7756">
        <v>1</v>
      </c>
      <c r="E7756">
        <v>490</v>
      </c>
      <c r="I7756">
        <v>1</v>
      </c>
      <c r="J7756">
        <v>490</v>
      </c>
      <c r="M7756" t="s">
        <v>7882</v>
      </c>
    </row>
    <row r="7757" spans="1:13">
      <c r="A7757" s="10">
        <v>46209</v>
      </c>
      <c r="B7757" t="s">
        <v>201</v>
      </c>
      <c r="C7757" t="s">
        <v>337</v>
      </c>
      <c r="D7757">
        <v>1</v>
      </c>
      <c r="E7757">
        <v>414</v>
      </c>
      <c r="I7757">
        <v>1</v>
      </c>
      <c r="J7757">
        <v>355</v>
      </c>
      <c r="M7757" t="s">
        <v>7883</v>
      </c>
    </row>
    <row r="7758" spans="1:13">
      <c r="A7758" s="10">
        <v>46209</v>
      </c>
      <c r="B7758" t="s">
        <v>201</v>
      </c>
      <c r="C7758" t="s">
        <v>339</v>
      </c>
      <c r="D7758">
        <v>0</v>
      </c>
      <c r="E7758">
        <v>0</v>
      </c>
      <c r="I7758">
        <v>0</v>
      </c>
      <c r="J7758">
        <v>0</v>
      </c>
      <c r="M7758" t="s">
        <v>7884</v>
      </c>
    </row>
    <row r="7759" spans="1:13">
      <c r="A7759" s="10">
        <v>46209</v>
      </c>
      <c r="B7759" t="s">
        <v>201</v>
      </c>
      <c r="C7759" s="135" t="s">
        <v>191</v>
      </c>
      <c r="D7759">
        <v>1</v>
      </c>
      <c r="E7759">
        <v>266</v>
      </c>
      <c r="I7759">
        <v>1</v>
      </c>
      <c r="J7759">
        <v>266</v>
      </c>
      <c r="M7759" t="s">
        <v>7885</v>
      </c>
    </row>
    <row r="7760" spans="1:13">
      <c r="A7760" s="10">
        <v>46209</v>
      </c>
      <c r="B7760" t="s">
        <v>201</v>
      </c>
      <c r="C7760" s="135" t="s">
        <v>193</v>
      </c>
      <c r="D7760">
        <v>1</v>
      </c>
      <c r="E7760">
        <v>139</v>
      </c>
      <c r="I7760">
        <v>1</v>
      </c>
      <c r="J7760">
        <v>212</v>
      </c>
      <c r="M7760" t="s">
        <v>7886</v>
      </c>
    </row>
    <row r="7761" spans="1:13">
      <c r="A7761" s="10">
        <v>46209</v>
      </c>
      <c r="B7761" t="s">
        <v>201</v>
      </c>
      <c r="C7761" s="135" t="s">
        <v>194</v>
      </c>
      <c r="D7761">
        <v>1</v>
      </c>
      <c r="E7761">
        <v>38</v>
      </c>
      <c r="I7761">
        <v>1</v>
      </c>
      <c r="J7761">
        <v>38</v>
      </c>
      <c r="M7761" t="s">
        <v>7887</v>
      </c>
    </row>
    <row r="7762" spans="1:13">
      <c r="A7762" s="10">
        <v>46209</v>
      </c>
      <c r="B7762" t="s">
        <v>201</v>
      </c>
      <c r="C7762" s="135" t="s">
        <v>196</v>
      </c>
      <c r="D7762">
        <v>0</v>
      </c>
      <c r="E7762">
        <v>690</v>
      </c>
      <c r="I7762">
        <v>0</v>
      </c>
      <c r="J7762">
        <v>690</v>
      </c>
      <c r="M7762" t="s">
        <v>7888</v>
      </c>
    </row>
    <row r="7763" spans="1:13">
      <c r="A7763" s="10">
        <v>46209</v>
      </c>
      <c r="B7763" t="s">
        <v>201</v>
      </c>
      <c r="C7763" s="135" t="s">
        <v>199</v>
      </c>
      <c r="D7763">
        <v>0</v>
      </c>
      <c r="E7763">
        <v>319</v>
      </c>
      <c r="I7763">
        <v>0</v>
      </c>
      <c r="J7763">
        <v>281</v>
      </c>
      <c r="M7763" t="s">
        <v>7889</v>
      </c>
    </row>
    <row r="7764" spans="1:13">
      <c r="A7764" s="10">
        <v>46209</v>
      </c>
      <c r="B7764" t="s">
        <v>201</v>
      </c>
      <c r="C7764" s="135" t="s">
        <v>200</v>
      </c>
      <c r="D7764">
        <v>0</v>
      </c>
      <c r="E7764">
        <v>366</v>
      </c>
      <c r="I7764">
        <v>0</v>
      </c>
      <c r="J7764">
        <v>336</v>
      </c>
      <c r="M7764" t="s">
        <v>7890</v>
      </c>
    </row>
    <row r="7765" spans="1:13">
      <c r="A7765" s="10">
        <v>46209</v>
      </c>
      <c r="B7765" t="s">
        <v>201</v>
      </c>
      <c r="C7765" s="135" t="s">
        <v>202</v>
      </c>
      <c r="D7765">
        <v>0</v>
      </c>
      <c r="E7765">
        <v>368</v>
      </c>
      <c r="I7765">
        <v>0</v>
      </c>
      <c r="J7765">
        <v>348</v>
      </c>
      <c r="M7765" t="s">
        <v>7891</v>
      </c>
    </row>
    <row r="7766" spans="1:13">
      <c r="A7766" s="10">
        <v>46210</v>
      </c>
      <c r="B7766" t="s">
        <v>201</v>
      </c>
      <c r="C7766" t="s">
        <v>23</v>
      </c>
      <c r="D7766">
        <v>4</v>
      </c>
      <c r="E7766">
        <v>700</v>
      </c>
      <c r="I7766">
        <v>4</v>
      </c>
      <c r="J7766">
        <v>540</v>
      </c>
      <c r="M7766" t="s">
        <v>7892</v>
      </c>
    </row>
    <row r="7767" spans="1:13">
      <c r="A7767" s="10">
        <v>46210</v>
      </c>
      <c r="B7767" t="s">
        <v>201</v>
      </c>
      <c r="C7767" t="s">
        <v>26</v>
      </c>
      <c r="D7767">
        <v>2</v>
      </c>
      <c r="E7767">
        <v>832</v>
      </c>
      <c r="I7767">
        <v>2</v>
      </c>
      <c r="J7767">
        <v>552</v>
      </c>
      <c r="M7767" t="s">
        <v>7893</v>
      </c>
    </row>
    <row r="7768" spans="1:13">
      <c r="A7768" s="10">
        <v>46210</v>
      </c>
      <c r="B7768" t="s">
        <v>201</v>
      </c>
      <c r="C7768" t="s">
        <v>27</v>
      </c>
      <c r="D7768">
        <v>1</v>
      </c>
      <c r="E7768">
        <v>1360</v>
      </c>
      <c r="I7768">
        <v>1</v>
      </c>
      <c r="J7768">
        <v>1326</v>
      </c>
      <c r="M7768" t="s">
        <v>7894</v>
      </c>
    </row>
    <row r="7769" spans="1:13">
      <c r="A7769" s="10">
        <v>46210</v>
      </c>
      <c r="B7769" t="s">
        <v>201</v>
      </c>
      <c r="C7769" t="s">
        <v>28</v>
      </c>
      <c r="D7769">
        <v>0</v>
      </c>
      <c r="E7769">
        <v>0</v>
      </c>
      <c r="I7769">
        <v>0</v>
      </c>
      <c r="J7769">
        <v>0</v>
      </c>
      <c r="M7769" t="s">
        <v>7895</v>
      </c>
    </row>
    <row r="7770" spans="1:13">
      <c r="A7770" s="10">
        <v>46210</v>
      </c>
      <c r="B7770" t="s">
        <v>201</v>
      </c>
      <c r="C7770" t="s">
        <v>29</v>
      </c>
      <c r="D7770">
        <v>0</v>
      </c>
      <c r="E7770">
        <v>1010</v>
      </c>
      <c r="I7770">
        <v>0</v>
      </c>
      <c r="J7770">
        <v>983</v>
      </c>
      <c r="M7770" t="s">
        <v>7896</v>
      </c>
    </row>
    <row r="7771" spans="1:13">
      <c r="A7771" s="10">
        <v>46210</v>
      </c>
      <c r="B7771" t="s">
        <v>201</v>
      </c>
      <c r="C7771" t="s">
        <v>30</v>
      </c>
      <c r="D7771">
        <v>0</v>
      </c>
      <c r="E7771">
        <v>591</v>
      </c>
      <c r="I7771">
        <v>0</v>
      </c>
      <c r="J7771">
        <v>355</v>
      </c>
      <c r="M7771" t="s">
        <v>7897</v>
      </c>
    </row>
    <row r="7772" spans="1:13">
      <c r="A7772" s="10">
        <v>46210</v>
      </c>
      <c r="B7772" t="s">
        <v>201</v>
      </c>
      <c r="C7772" t="s">
        <v>31</v>
      </c>
      <c r="D7772">
        <v>0</v>
      </c>
      <c r="E7772">
        <v>674</v>
      </c>
      <c r="I7772">
        <v>0</v>
      </c>
      <c r="J7772">
        <v>514</v>
      </c>
      <c r="M7772" t="s">
        <v>7898</v>
      </c>
    </row>
    <row r="7773" spans="1:13">
      <c r="A7773" s="10">
        <v>46210</v>
      </c>
      <c r="B7773" t="s">
        <v>201</v>
      </c>
      <c r="C7773" t="s">
        <v>32</v>
      </c>
      <c r="D7773">
        <v>2</v>
      </c>
      <c r="E7773">
        <v>782</v>
      </c>
      <c r="I7773">
        <v>2</v>
      </c>
      <c r="J7773">
        <v>782</v>
      </c>
      <c r="M7773" t="s">
        <v>7899</v>
      </c>
    </row>
    <row r="7774" spans="1:13">
      <c r="A7774" s="10">
        <v>46210</v>
      </c>
      <c r="B7774" t="s">
        <v>201</v>
      </c>
      <c r="C7774" t="s">
        <v>223</v>
      </c>
      <c r="D7774">
        <v>4</v>
      </c>
      <c r="E7774">
        <v>744</v>
      </c>
      <c r="I7774">
        <v>3</v>
      </c>
      <c r="J7774">
        <v>1000</v>
      </c>
      <c r="M7774" t="s">
        <v>7900</v>
      </c>
    </row>
    <row r="7775" spans="1:13">
      <c r="A7775" s="10">
        <v>46210</v>
      </c>
      <c r="B7775" t="s">
        <v>201</v>
      </c>
      <c r="C7775" t="s">
        <v>35</v>
      </c>
      <c r="D7775">
        <v>0</v>
      </c>
      <c r="E7775">
        <v>0</v>
      </c>
      <c r="I7775">
        <v>0</v>
      </c>
      <c r="M7775" t="s">
        <v>7901</v>
      </c>
    </row>
    <row r="7776" spans="1:13">
      <c r="A7776" s="10">
        <v>46210</v>
      </c>
      <c r="B7776" t="s">
        <v>201</v>
      </c>
      <c r="C7776" t="s">
        <v>37</v>
      </c>
      <c r="D7776">
        <v>1</v>
      </c>
      <c r="E7776">
        <v>0</v>
      </c>
      <c r="I7776">
        <v>1</v>
      </c>
      <c r="M7776" t="s">
        <v>7902</v>
      </c>
    </row>
    <row r="7777" spans="1:13">
      <c r="A7777" s="10">
        <v>46210</v>
      </c>
      <c r="B7777" t="s">
        <v>201</v>
      </c>
      <c r="C7777" t="s">
        <v>39</v>
      </c>
      <c r="D7777">
        <v>31</v>
      </c>
      <c r="E7777">
        <v>0</v>
      </c>
      <c r="H7777">
        <v>2</v>
      </c>
      <c r="I7777">
        <v>20</v>
      </c>
      <c r="M7777" t="s">
        <v>7903</v>
      </c>
    </row>
    <row r="7778" spans="1:13">
      <c r="A7778" s="10">
        <v>46210</v>
      </c>
      <c r="B7778" t="s">
        <v>201</v>
      </c>
      <c r="C7778" t="s">
        <v>41</v>
      </c>
      <c r="D7778">
        <v>13</v>
      </c>
      <c r="E7778">
        <v>0</v>
      </c>
      <c r="I7778">
        <v>13</v>
      </c>
      <c r="M7778" t="s">
        <v>7904</v>
      </c>
    </row>
    <row r="7779" spans="1:13">
      <c r="A7779" s="10">
        <v>46210</v>
      </c>
      <c r="B7779" t="s">
        <v>201</v>
      </c>
      <c r="C7779" s="135" t="s">
        <v>44</v>
      </c>
      <c r="D7779">
        <v>4</v>
      </c>
      <c r="E7779">
        <v>6737</v>
      </c>
      <c r="I7779">
        <v>4</v>
      </c>
      <c r="J7779">
        <v>6020</v>
      </c>
      <c r="M7779" t="s">
        <v>7905</v>
      </c>
    </row>
    <row r="7780" spans="1:13">
      <c r="A7780" s="10">
        <v>46210</v>
      </c>
      <c r="B7780" t="s">
        <v>201</v>
      </c>
      <c r="C7780" t="s">
        <v>230</v>
      </c>
      <c r="D7780">
        <v>1</v>
      </c>
      <c r="E7780">
        <v>244</v>
      </c>
      <c r="I7780">
        <v>1</v>
      </c>
      <c r="J7780">
        <v>244</v>
      </c>
      <c r="M7780" t="s">
        <v>7906</v>
      </c>
    </row>
    <row r="7781" spans="1:13">
      <c r="A7781" s="10">
        <v>46210</v>
      </c>
      <c r="B7781" t="s">
        <v>201</v>
      </c>
      <c r="C7781" t="s">
        <v>232</v>
      </c>
      <c r="D7781">
        <v>5</v>
      </c>
      <c r="E7781">
        <v>0</v>
      </c>
      <c r="I7781">
        <v>5</v>
      </c>
      <c r="M7781" t="s">
        <v>7907</v>
      </c>
    </row>
    <row r="7782" spans="1:13">
      <c r="A7782" s="10">
        <v>46210</v>
      </c>
      <c r="B7782" t="s">
        <v>201</v>
      </c>
      <c r="C7782" t="s">
        <v>234</v>
      </c>
      <c r="D7782">
        <v>52</v>
      </c>
      <c r="E7782">
        <v>0</v>
      </c>
      <c r="H7782">
        <v>3</v>
      </c>
      <c r="I7782">
        <v>49</v>
      </c>
      <c r="M7782" t="s">
        <v>7908</v>
      </c>
    </row>
    <row r="7783" spans="1:13">
      <c r="A7783" s="10">
        <v>46210</v>
      </c>
      <c r="B7783" t="s">
        <v>201</v>
      </c>
      <c r="C7783" t="s">
        <v>54</v>
      </c>
      <c r="D7783">
        <v>0</v>
      </c>
      <c r="E7783">
        <v>0</v>
      </c>
      <c r="I7783">
        <v>0</v>
      </c>
      <c r="M7783" t="s">
        <v>7909</v>
      </c>
    </row>
    <row r="7784" spans="1:13">
      <c r="A7784" s="10">
        <v>46210</v>
      </c>
      <c r="B7784" t="s">
        <v>201</v>
      </c>
      <c r="C7784" t="s">
        <v>237</v>
      </c>
      <c r="D7784">
        <v>10</v>
      </c>
      <c r="E7784">
        <v>0</v>
      </c>
      <c r="H7784">
        <v>1</v>
      </c>
      <c r="I7784">
        <v>9</v>
      </c>
      <c r="M7784" t="s">
        <v>7910</v>
      </c>
    </row>
    <row r="7785" spans="1:13">
      <c r="A7785" s="10">
        <v>46210</v>
      </c>
      <c r="B7785" t="s">
        <v>201</v>
      </c>
      <c r="C7785" s="135" t="s">
        <v>58</v>
      </c>
      <c r="D7785">
        <v>7</v>
      </c>
      <c r="E7785">
        <v>0</v>
      </c>
      <c r="H7785">
        <v>5</v>
      </c>
      <c r="I7785">
        <v>2</v>
      </c>
      <c r="M7785" t="s">
        <v>7911</v>
      </c>
    </row>
    <row r="7786" spans="1:13">
      <c r="A7786" s="10">
        <v>46210</v>
      </c>
      <c r="B7786" t="s">
        <v>201</v>
      </c>
      <c r="C7786" s="135" t="s">
        <v>60</v>
      </c>
      <c r="D7786">
        <v>5</v>
      </c>
      <c r="E7786">
        <v>0</v>
      </c>
      <c r="H7786">
        <v>3</v>
      </c>
      <c r="I7786">
        <v>2</v>
      </c>
      <c r="M7786" t="s">
        <v>7912</v>
      </c>
    </row>
    <row r="7787" spans="1:13">
      <c r="A7787" s="10">
        <v>46210</v>
      </c>
      <c r="B7787" t="s">
        <v>201</v>
      </c>
      <c r="C7787" s="135" t="s">
        <v>61</v>
      </c>
      <c r="D7787">
        <v>2</v>
      </c>
      <c r="E7787">
        <v>0</v>
      </c>
      <c r="I7787">
        <v>2</v>
      </c>
      <c r="M7787" t="s">
        <v>7913</v>
      </c>
    </row>
    <row r="7788" spans="1:13">
      <c r="A7788" s="10">
        <v>46210</v>
      </c>
      <c r="B7788" t="s">
        <v>201</v>
      </c>
      <c r="C7788" s="135" t="s">
        <v>62</v>
      </c>
      <c r="D7788">
        <v>0</v>
      </c>
      <c r="E7788">
        <v>0</v>
      </c>
      <c r="I7788">
        <v>0</v>
      </c>
      <c r="M7788" t="s">
        <v>7914</v>
      </c>
    </row>
    <row r="7789" spans="1:13">
      <c r="A7789" s="10">
        <v>46210</v>
      </c>
      <c r="B7789" t="s">
        <v>201</v>
      </c>
      <c r="C7789" s="135" t="s">
        <v>63</v>
      </c>
      <c r="D7789">
        <v>0</v>
      </c>
      <c r="E7789">
        <v>0</v>
      </c>
      <c r="I7789">
        <v>0</v>
      </c>
      <c r="M7789" t="s">
        <v>7915</v>
      </c>
    </row>
    <row r="7790" spans="1:13">
      <c r="A7790" s="10">
        <v>46210</v>
      </c>
      <c r="B7790" t="s">
        <v>201</v>
      </c>
      <c r="C7790" s="135" t="s">
        <v>64</v>
      </c>
      <c r="D7790">
        <v>4</v>
      </c>
      <c r="E7790">
        <v>0</v>
      </c>
      <c r="I7790">
        <v>4</v>
      </c>
      <c r="M7790" t="s">
        <v>7916</v>
      </c>
    </row>
    <row r="7791" spans="1:13">
      <c r="A7791" s="10">
        <v>46210</v>
      </c>
      <c r="B7791" t="s">
        <v>201</v>
      </c>
      <c r="C7791" t="s">
        <v>66</v>
      </c>
      <c r="D7791">
        <v>4</v>
      </c>
      <c r="E7791">
        <v>0</v>
      </c>
      <c r="I7791">
        <v>4</v>
      </c>
      <c r="M7791" t="s">
        <v>7917</v>
      </c>
    </row>
    <row r="7792" spans="1:13">
      <c r="A7792" s="10">
        <v>46210</v>
      </c>
      <c r="B7792" t="s">
        <v>201</v>
      </c>
      <c r="C7792" t="s">
        <v>67</v>
      </c>
      <c r="D7792">
        <v>3</v>
      </c>
      <c r="E7792">
        <v>0</v>
      </c>
      <c r="I7792">
        <v>2</v>
      </c>
      <c r="M7792" t="s">
        <v>7918</v>
      </c>
    </row>
    <row r="7793" spans="1:13">
      <c r="A7793" s="10">
        <v>46210</v>
      </c>
      <c r="B7793" t="s">
        <v>201</v>
      </c>
      <c r="C7793" t="s">
        <v>68</v>
      </c>
      <c r="D7793">
        <v>0</v>
      </c>
      <c r="E7793">
        <v>0</v>
      </c>
      <c r="I7793">
        <v>0</v>
      </c>
      <c r="M7793" t="s">
        <v>7919</v>
      </c>
    </row>
    <row r="7794" spans="1:13">
      <c r="A7794" s="10">
        <v>46210</v>
      </c>
      <c r="B7794" t="s">
        <v>201</v>
      </c>
      <c r="C7794" t="s">
        <v>71</v>
      </c>
      <c r="D7794">
        <v>1</v>
      </c>
      <c r="E7794">
        <v>478</v>
      </c>
      <c r="I7794">
        <v>1</v>
      </c>
      <c r="J7794">
        <v>466</v>
      </c>
      <c r="M7794" t="s">
        <v>7920</v>
      </c>
    </row>
    <row r="7795" spans="1:13">
      <c r="A7795" s="10">
        <v>46210</v>
      </c>
      <c r="B7795" t="s">
        <v>201</v>
      </c>
      <c r="C7795" t="s">
        <v>73</v>
      </c>
      <c r="D7795">
        <v>2</v>
      </c>
      <c r="E7795">
        <v>289</v>
      </c>
      <c r="I7795">
        <v>2</v>
      </c>
      <c r="J7795">
        <v>289</v>
      </c>
      <c r="M7795" t="s">
        <v>7921</v>
      </c>
    </row>
    <row r="7796" spans="1:13">
      <c r="A7796" s="10">
        <v>46210</v>
      </c>
      <c r="B7796" t="s">
        <v>201</v>
      </c>
      <c r="C7796" t="s">
        <v>75</v>
      </c>
      <c r="D7796">
        <v>0</v>
      </c>
      <c r="E7796">
        <v>400</v>
      </c>
      <c r="I7796">
        <v>0</v>
      </c>
      <c r="J7796">
        <v>400</v>
      </c>
      <c r="M7796" t="s">
        <v>7922</v>
      </c>
    </row>
    <row r="7797" spans="1:13">
      <c r="A7797" s="10">
        <v>46210</v>
      </c>
      <c r="B7797" t="s">
        <v>201</v>
      </c>
      <c r="C7797" t="s">
        <v>77</v>
      </c>
      <c r="D7797">
        <v>0</v>
      </c>
      <c r="E7797">
        <v>1102</v>
      </c>
      <c r="I7797">
        <v>0</v>
      </c>
      <c r="J7797">
        <v>1102</v>
      </c>
      <c r="M7797" t="s">
        <v>7923</v>
      </c>
    </row>
    <row r="7798" spans="1:13">
      <c r="A7798" s="10">
        <v>46210</v>
      </c>
      <c r="B7798" t="s">
        <v>201</v>
      </c>
      <c r="C7798" t="s">
        <v>79</v>
      </c>
      <c r="D7798">
        <v>1</v>
      </c>
      <c r="E7798">
        <v>929</v>
      </c>
      <c r="I7798">
        <v>1</v>
      </c>
      <c r="J7798">
        <v>929</v>
      </c>
      <c r="M7798" t="s">
        <v>7924</v>
      </c>
    </row>
    <row r="7799" spans="1:13">
      <c r="A7799" s="10">
        <v>46210</v>
      </c>
      <c r="B7799" t="s">
        <v>201</v>
      </c>
      <c r="C7799" t="s">
        <v>81</v>
      </c>
      <c r="D7799">
        <v>1</v>
      </c>
      <c r="E7799">
        <v>548</v>
      </c>
      <c r="I7799">
        <v>1</v>
      </c>
      <c r="J7799">
        <v>548</v>
      </c>
      <c r="M7799" t="s">
        <v>7925</v>
      </c>
    </row>
    <row r="7800" spans="1:13">
      <c r="A7800" s="10">
        <v>46210</v>
      </c>
      <c r="B7800" t="s">
        <v>201</v>
      </c>
      <c r="C7800" t="s">
        <v>83</v>
      </c>
      <c r="D7800">
        <v>1</v>
      </c>
      <c r="E7800">
        <v>342</v>
      </c>
      <c r="I7800">
        <v>1</v>
      </c>
      <c r="J7800">
        <v>342</v>
      </c>
      <c r="M7800" t="s">
        <v>7926</v>
      </c>
    </row>
    <row r="7801" spans="1:13">
      <c r="A7801" s="10">
        <v>46210</v>
      </c>
      <c r="B7801" t="s">
        <v>201</v>
      </c>
      <c r="C7801" t="s">
        <v>84</v>
      </c>
      <c r="D7801">
        <v>2</v>
      </c>
      <c r="E7801">
        <v>232</v>
      </c>
      <c r="I7801">
        <v>2</v>
      </c>
      <c r="J7801">
        <v>232</v>
      </c>
      <c r="M7801" t="s">
        <v>7927</v>
      </c>
    </row>
    <row r="7802" spans="1:13">
      <c r="A7802" s="10">
        <v>46210</v>
      </c>
      <c r="B7802" t="s">
        <v>201</v>
      </c>
      <c r="C7802" t="s">
        <v>85</v>
      </c>
      <c r="D7802">
        <v>0</v>
      </c>
      <c r="E7802">
        <v>131</v>
      </c>
      <c r="I7802">
        <v>0</v>
      </c>
      <c r="J7802">
        <v>131</v>
      </c>
      <c r="M7802" t="s">
        <v>7928</v>
      </c>
    </row>
    <row r="7803" spans="1:13">
      <c r="A7803" s="10">
        <v>46210</v>
      </c>
      <c r="B7803" t="s">
        <v>201</v>
      </c>
      <c r="C7803" t="s">
        <v>87</v>
      </c>
      <c r="D7803">
        <v>2</v>
      </c>
      <c r="E7803">
        <v>365</v>
      </c>
      <c r="I7803">
        <v>2</v>
      </c>
      <c r="J7803">
        <v>1437</v>
      </c>
      <c r="M7803" t="s">
        <v>7929</v>
      </c>
    </row>
    <row r="7804" spans="1:13">
      <c r="A7804" s="10">
        <v>46210</v>
      </c>
      <c r="B7804" t="s">
        <v>201</v>
      </c>
      <c r="C7804" t="s">
        <v>88</v>
      </c>
      <c r="D7804">
        <v>1</v>
      </c>
      <c r="E7804">
        <v>243</v>
      </c>
      <c r="I7804">
        <v>1</v>
      </c>
      <c r="J7804">
        <v>1671</v>
      </c>
      <c r="M7804" t="s">
        <v>7930</v>
      </c>
    </row>
    <row r="7805" spans="1:13">
      <c r="A7805" s="10">
        <v>46210</v>
      </c>
      <c r="B7805" t="s">
        <v>201</v>
      </c>
      <c r="C7805" t="s">
        <v>89</v>
      </c>
      <c r="D7805">
        <v>1</v>
      </c>
      <c r="E7805">
        <v>174</v>
      </c>
      <c r="I7805">
        <v>1</v>
      </c>
      <c r="J7805">
        <v>174</v>
      </c>
      <c r="M7805" t="s">
        <v>7931</v>
      </c>
    </row>
    <row r="7806" spans="1:13">
      <c r="A7806" s="10">
        <v>46210</v>
      </c>
      <c r="B7806" t="s">
        <v>201</v>
      </c>
      <c r="C7806" t="s">
        <v>90</v>
      </c>
      <c r="D7806">
        <v>0</v>
      </c>
      <c r="E7806">
        <v>1064</v>
      </c>
      <c r="I7806">
        <v>0</v>
      </c>
      <c r="J7806">
        <v>1037</v>
      </c>
      <c r="M7806" t="s">
        <v>7932</v>
      </c>
    </row>
    <row r="7807" spans="1:13">
      <c r="A7807" s="10">
        <v>46210</v>
      </c>
      <c r="B7807" t="s">
        <v>201</v>
      </c>
      <c r="C7807" t="s">
        <v>92</v>
      </c>
      <c r="D7807">
        <v>1</v>
      </c>
      <c r="E7807">
        <v>578</v>
      </c>
      <c r="I7807">
        <v>1</v>
      </c>
      <c r="J7807">
        <v>562</v>
      </c>
      <c r="M7807" t="s">
        <v>7933</v>
      </c>
    </row>
    <row r="7808" spans="1:13">
      <c r="A7808" s="10">
        <v>46210</v>
      </c>
      <c r="B7808" t="s">
        <v>201</v>
      </c>
      <c r="C7808" t="s">
        <v>94</v>
      </c>
      <c r="D7808">
        <v>0</v>
      </c>
      <c r="E7808">
        <v>461</v>
      </c>
      <c r="I7808">
        <v>0</v>
      </c>
      <c r="J7808">
        <v>334</v>
      </c>
      <c r="M7808" t="s">
        <v>7934</v>
      </c>
    </row>
    <row r="7809" spans="1:13">
      <c r="A7809" s="10">
        <v>46210</v>
      </c>
      <c r="B7809" t="s">
        <v>201</v>
      </c>
      <c r="C7809" t="s">
        <v>96</v>
      </c>
      <c r="D7809">
        <v>0</v>
      </c>
      <c r="E7809">
        <v>0</v>
      </c>
      <c r="I7809">
        <v>0</v>
      </c>
      <c r="J7809">
        <v>0</v>
      </c>
      <c r="M7809" t="s">
        <v>7935</v>
      </c>
    </row>
    <row r="7810" spans="1:13">
      <c r="A7810" s="10">
        <v>46210</v>
      </c>
      <c r="B7810" t="s">
        <v>201</v>
      </c>
      <c r="C7810" t="s">
        <v>98</v>
      </c>
      <c r="D7810">
        <v>0</v>
      </c>
      <c r="E7810">
        <v>241</v>
      </c>
      <c r="I7810">
        <v>0</v>
      </c>
      <c r="J7810">
        <v>191</v>
      </c>
      <c r="M7810" t="s">
        <v>7936</v>
      </c>
    </row>
    <row r="7811" spans="1:13">
      <c r="A7811" s="10">
        <v>46210</v>
      </c>
      <c r="B7811" t="s">
        <v>201</v>
      </c>
      <c r="C7811" t="s">
        <v>203</v>
      </c>
      <c r="D7811">
        <v>0</v>
      </c>
      <c r="E7811">
        <v>0</v>
      </c>
      <c r="I7811">
        <v>2</v>
      </c>
      <c r="J7811">
        <v>0</v>
      </c>
      <c r="M7811" t="s">
        <v>7937</v>
      </c>
    </row>
    <row r="7812" spans="1:13">
      <c r="A7812" s="10">
        <v>46210</v>
      </c>
      <c r="B7812" t="s">
        <v>201</v>
      </c>
      <c r="C7812" t="s">
        <v>100</v>
      </c>
      <c r="D7812">
        <v>0</v>
      </c>
      <c r="E7812">
        <v>0</v>
      </c>
      <c r="I7812">
        <v>0</v>
      </c>
      <c r="J7812">
        <v>0</v>
      </c>
      <c r="M7812" t="s">
        <v>7938</v>
      </c>
    </row>
    <row r="7813" spans="1:13">
      <c r="A7813" s="10">
        <v>46210</v>
      </c>
      <c r="B7813" t="s">
        <v>201</v>
      </c>
      <c r="C7813" t="s">
        <v>101</v>
      </c>
      <c r="D7813">
        <v>0</v>
      </c>
      <c r="E7813">
        <v>501</v>
      </c>
      <c r="I7813">
        <v>0</v>
      </c>
      <c r="J7813">
        <v>490</v>
      </c>
      <c r="M7813" t="s">
        <v>7939</v>
      </c>
    </row>
    <row r="7814" spans="1:13">
      <c r="A7814" s="10">
        <v>46210</v>
      </c>
      <c r="B7814" t="s">
        <v>201</v>
      </c>
      <c r="C7814" t="s">
        <v>103</v>
      </c>
      <c r="D7814">
        <v>0</v>
      </c>
      <c r="E7814">
        <v>3</v>
      </c>
      <c r="I7814">
        <v>0</v>
      </c>
      <c r="J7814">
        <v>4</v>
      </c>
      <c r="M7814" t="s">
        <v>7940</v>
      </c>
    </row>
    <row r="7815" spans="1:13">
      <c r="A7815" s="10">
        <v>46210</v>
      </c>
      <c r="B7815" t="s">
        <v>201</v>
      </c>
      <c r="C7815" t="s">
        <v>106</v>
      </c>
      <c r="D7815">
        <v>0</v>
      </c>
      <c r="E7815">
        <v>295</v>
      </c>
      <c r="I7815">
        <v>0</v>
      </c>
      <c r="J7815">
        <v>233</v>
      </c>
      <c r="M7815" t="s">
        <v>7941</v>
      </c>
    </row>
    <row r="7816" spans="1:13">
      <c r="A7816" s="10">
        <v>46210</v>
      </c>
      <c r="B7816" t="s">
        <v>201</v>
      </c>
      <c r="C7816" t="s">
        <v>108</v>
      </c>
      <c r="D7816">
        <v>1</v>
      </c>
      <c r="E7816">
        <v>322</v>
      </c>
      <c r="I7816">
        <v>1</v>
      </c>
      <c r="J7816">
        <v>296</v>
      </c>
      <c r="M7816" t="s">
        <v>7942</v>
      </c>
    </row>
    <row r="7817" spans="1:13">
      <c r="A7817" s="10">
        <v>46210</v>
      </c>
      <c r="B7817" t="s">
        <v>201</v>
      </c>
      <c r="C7817" t="s">
        <v>109</v>
      </c>
      <c r="D7817">
        <v>1</v>
      </c>
      <c r="E7817">
        <v>636</v>
      </c>
      <c r="I7817">
        <v>1</v>
      </c>
      <c r="J7817">
        <v>625</v>
      </c>
      <c r="M7817" t="s">
        <v>7943</v>
      </c>
    </row>
    <row r="7818" spans="1:13">
      <c r="A7818" s="10">
        <v>46210</v>
      </c>
      <c r="B7818" t="s">
        <v>201</v>
      </c>
      <c r="C7818" t="s">
        <v>112</v>
      </c>
      <c r="D7818">
        <v>1</v>
      </c>
      <c r="E7818">
        <v>24</v>
      </c>
      <c r="I7818">
        <v>1</v>
      </c>
      <c r="J7818">
        <v>23</v>
      </c>
      <c r="M7818" t="s">
        <v>7944</v>
      </c>
    </row>
    <row r="7819" spans="1:13">
      <c r="A7819" s="10">
        <v>46210</v>
      </c>
      <c r="B7819" t="s">
        <v>201</v>
      </c>
      <c r="C7819" t="s">
        <v>114</v>
      </c>
      <c r="D7819">
        <v>1</v>
      </c>
      <c r="E7819">
        <v>33</v>
      </c>
      <c r="I7819">
        <v>1</v>
      </c>
      <c r="J7819">
        <v>23</v>
      </c>
      <c r="M7819" t="s">
        <v>7945</v>
      </c>
    </row>
    <row r="7820" spans="1:13">
      <c r="A7820" s="10">
        <v>46210</v>
      </c>
      <c r="B7820" t="s">
        <v>201</v>
      </c>
      <c r="C7820" t="s">
        <v>115</v>
      </c>
      <c r="D7820">
        <v>0</v>
      </c>
      <c r="E7820">
        <v>46</v>
      </c>
      <c r="I7820">
        <v>0</v>
      </c>
      <c r="J7820">
        <v>45</v>
      </c>
      <c r="M7820" t="s">
        <v>7946</v>
      </c>
    </row>
    <row r="7821" spans="1:13">
      <c r="A7821" s="10">
        <v>46210</v>
      </c>
      <c r="B7821" t="s">
        <v>201</v>
      </c>
      <c r="C7821" t="s">
        <v>116</v>
      </c>
      <c r="D7821">
        <v>1</v>
      </c>
      <c r="E7821">
        <v>50</v>
      </c>
      <c r="I7821">
        <v>1</v>
      </c>
      <c r="J7821">
        <v>45</v>
      </c>
      <c r="M7821" t="s">
        <v>7947</v>
      </c>
    </row>
    <row r="7822" spans="1:13">
      <c r="A7822" s="10">
        <v>46210</v>
      </c>
      <c r="B7822" t="s">
        <v>201</v>
      </c>
      <c r="C7822" t="s">
        <v>119</v>
      </c>
      <c r="D7822">
        <v>4</v>
      </c>
      <c r="E7822">
        <v>0</v>
      </c>
      <c r="I7822">
        <v>4</v>
      </c>
      <c r="M7822" t="s">
        <v>7948</v>
      </c>
    </row>
    <row r="7823" spans="1:13">
      <c r="A7823" s="10">
        <v>46210</v>
      </c>
      <c r="B7823" t="s">
        <v>201</v>
      </c>
      <c r="C7823" t="s">
        <v>120</v>
      </c>
      <c r="D7823">
        <v>2</v>
      </c>
      <c r="E7823">
        <v>0</v>
      </c>
      <c r="I7823">
        <v>1</v>
      </c>
      <c r="M7823" t="s">
        <v>7949</v>
      </c>
    </row>
    <row r="7824" spans="1:13">
      <c r="A7824" s="10">
        <v>46210</v>
      </c>
      <c r="B7824" t="s">
        <v>201</v>
      </c>
      <c r="C7824" t="s">
        <v>121</v>
      </c>
      <c r="D7824">
        <v>2</v>
      </c>
      <c r="E7824">
        <v>0</v>
      </c>
      <c r="I7824">
        <v>2</v>
      </c>
      <c r="M7824" t="s">
        <v>7950</v>
      </c>
    </row>
    <row r="7825" spans="1:13">
      <c r="A7825" s="10">
        <v>46210</v>
      </c>
      <c r="B7825" t="s">
        <v>201</v>
      </c>
      <c r="C7825" t="s">
        <v>123</v>
      </c>
      <c r="D7825">
        <v>1</v>
      </c>
      <c r="E7825">
        <v>0</v>
      </c>
      <c r="I7825">
        <v>1</v>
      </c>
      <c r="M7825" t="s">
        <v>7951</v>
      </c>
    </row>
    <row r="7826" spans="1:13">
      <c r="A7826" s="10">
        <v>46210</v>
      </c>
      <c r="B7826" t="s">
        <v>201</v>
      </c>
      <c r="C7826" t="s">
        <v>124</v>
      </c>
      <c r="D7826">
        <v>1</v>
      </c>
      <c r="E7826">
        <v>0</v>
      </c>
      <c r="I7826">
        <v>1</v>
      </c>
      <c r="M7826" t="s">
        <v>7952</v>
      </c>
    </row>
    <row r="7827" spans="1:13">
      <c r="A7827" s="10">
        <v>46210</v>
      </c>
      <c r="B7827" t="s">
        <v>201</v>
      </c>
      <c r="C7827" t="s">
        <v>125</v>
      </c>
      <c r="D7827">
        <v>1</v>
      </c>
      <c r="E7827">
        <v>0</v>
      </c>
      <c r="I7827">
        <v>1</v>
      </c>
      <c r="M7827" t="s">
        <v>7953</v>
      </c>
    </row>
    <row r="7828" spans="1:13">
      <c r="A7828" s="10">
        <v>46210</v>
      </c>
      <c r="B7828" t="s">
        <v>201</v>
      </c>
      <c r="C7828" t="s">
        <v>126</v>
      </c>
      <c r="D7828">
        <v>2</v>
      </c>
      <c r="E7828">
        <v>0</v>
      </c>
      <c r="I7828">
        <v>2</v>
      </c>
      <c r="M7828" t="s">
        <v>7954</v>
      </c>
    </row>
    <row r="7829" spans="1:13">
      <c r="A7829" s="10">
        <v>46210</v>
      </c>
      <c r="B7829" t="s">
        <v>201</v>
      </c>
      <c r="C7829" t="s">
        <v>128</v>
      </c>
      <c r="D7829">
        <v>2</v>
      </c>
      <c r="E7829">
        <v>0</v>
      </c>
      <c r="I7829">
        <v>2</v>
      </c>
      <c r="M7829" t="s">
        <v>7955</v>
      </c>
    </row>
    <row r="7830" spans="1:13">
      <c r="A7830" s="10">
        <v>46210</v>
      </c>
      <c r="B7830" t="s">
        <v>201</v>
      </c>
      <c r="C7830" t="s">
        <v>130</v>
      </c>
      <c r="D7830">
        <v>2</v>
      </c>
      <c r="E7830">
        <v>0</v>
      </c>
      <c r="I7830">
        <v>2</v>
      </c>
      <c r="M7830" t="s">
        <v>7956</v>
      </c>
    </row>
    <row r="7831" spans="1:13">
      <c r="A7831" s="10">
        <v>46210</v>
      </c>
      <c r="B7831" t="s">
        <v>201</v>
      </c>
      <c r="C7831" t="s">
        <v>285</v>
      </c>
      <c r="D7831">
        <v>2</v>
      </c>
      <c r="E7831">
        <v>0</v>
      </c>
      <c r="I7831">
        <v>2</v>
      </c>
      <c r="M7831" t="s">
        <v>7957</v>
      </c>
    </row>
    <row r="7832" spans="1:13">
      <c r="A7832" s="10">
        <v>46210</v>
      </c>
      <c r="B7832" t="s">
        <v>201</v>
      </c>
      <c r="C7832" t="s">
        <v>287</v>
      </c>
      <c r="D7832">
        <v>6</v>
      </c>
      <c r="E7832">
        <v>0</v>
      </c>
      <c r="I7832">
        <v>5</v>
      </c>
      <c r="M7832" t="s">
        <v>7958</v>
      </c>
    </row>
    <row r="7833" spans="1:13">
      <c r="A7833" s="10">
        <v>46210</v>
      </c>
      <c r="B7833" t="s">
        <v>201</v>
      </c>
      <c r="C7833" t="s">
        <v>289</v>
      </c>
      <c r="D7833">
        <v>0</v>
      </c>
      <c r="E7833">
        <v>0</v>
      </c>
      <c r="I7833">
        <v>0</v>
      </c>
      <c r="M7833" t="s">
        <v>7959</v>
      </c>
    </row>
    <row r="7834" spans="1:13">
      <c r="A7834" s="10">
        <v>46210</v>
      </c>
      <c r="B7834" t="s">
        <v>201</v>
      </c>
      <c r="C7834" t="s">
        <v>291</v>
      </c>
      <c r="D7834">
        <v>0</v>
      </c>
      <c r="E7834">
        <v>0</v>
      </c>
      <c r="I7834">
        <v>0</v>
      </c>
      <c r="M7834" t="s">
        <v>7960</v>
      </c>
    </row>
    <row r="7835" spans="1:13">
      <c r="A7835" s="10">
        <v>46210</v>
      </c>
      <c r="B7835" t="s">
        <v>201</v>
      </c>
      <c r="C7835" t="s">
        <v>293</v>
      </c>
      <c r="D7835">
        <v>1</v>
      </c>
      <c r="E7835">
        <v>0</v>
      </c>
      <c r="I7835">
        <v>1</v>
      </c>
      <c r="M7835" t="s">
        <v>7961</v>
      </c>
    </row>
    <row r="7836" spans="1:13">
      <c r="A7836" s="10">
        <v>46210</v>
      </c>
      <c r="B7836" t="s">
        <v>201</v>
      </c>
      <c r="C7836" s="135" t="s">
        <v>138</v>
      </c>
      <c r="D7836">
        <v>0</v>
      </c>
      <c r="E7836">
        <v>29</v>
      </c>
      <c r="I7836">
        <v>0</v>
      </c>
      <c r="J7836">
        <v>27</v>
      </c>
      <c r="M7836" t="s">
        <v>7962</v>
      </c>
    </row>
    <row r="7837" spans="1:13">
      <c r="A7837" s="10">
        <v>46210</v>
      </c>
      <c r="B7837" t="s">
        <v>201</v>
      </c>
      <c r="C7837" s="135" t="s">
        <v>139</v>
      </c>
      <c r="D7837">
        <v>0</v>
      </c>
      <c r="E7837">
        <v>37</v>
      </c>
      <c r="I7837">
        <v>0</v>
      </c>
      <c r="J7837">
        <v>32</v>
      </c>
      <c r="M7837" t="s">
        <v>7963</v>
      </c>
    </row>
    <row r="7838" spans="1:13">
      <c r="A7838" s="10">
        <v>46210</v>
      </c>
      <c r="B7838" t="s">
        <v>201</v>
      </c>
      <c r="C7838" s="135" t="s">
        <v>140</v>
      </c>
      <c r="D7838">
        <v>0</v>
      </c>
      <c r="E7838">
        <v>47</v>
      </c>
      <c r="I7838">
        <v>0</v>
      </c>
      <c r="J7838">
        <v>47</v>
      </c>
      <c r="M7838" t="s">
        <v>7964</v>
      </c>
    </row>
    <row r="7839" spans="1:13">
      <c r="A7839" s="10">
        <v>46210</v>
      </c>
      <c r="B7839" t="s">
        <v>201</v>
      </c>
      <c r="C7839" s="135" t="s">
        <v>141</v>
      </c>
      <c r="D7839">
        <v>0</v>
      </c>
      <c r="E7839">
        <v>1</v>
      </c>
      <c r="I7839">
        <v>0</v>
      </c>
      <c r="J7839">
        <v>453</v>
      </c>
      <c r="M7839" t="s">
        <v>7965</v>
      </c>
    </row>
    <row r="7840" spans="1:13">
      <c r="A7840" s="10">
        <v>46210</v>
      </c>
      <c r="B7840" t="s">
        <v>201</v>
      </c>
      <c r="C7840" s="135" t="s">
        <v>143</v>
      </c>
      <c r="D7840">
        <v>0</v>
      </c>
      <c r="E7840">
        <v>25</v>
      </c>
      <c r="I7840">
        <v>0</v>
      </c>
      <c r="J7840">
        <v>22</v>
      </c>
      <c r="M7840" t="s">
        <v>7966</v>
      </c>
    </row>
    <row r="7841" spans="1:13">
      <c r="A7841" s="10">
        <v>46210</v>
      </c>
      <c r="B7841" t="s">
        <v>201</v>
      </c>
      <c r="C7841" s="135" t="s">
        <v>145</v>
      </c>
      <c r="D7841">
        <v>0</v>
      </c>
      <c r="E7841">
        <v>27</v>
      </c>
      <c r="I7841">
        <v>0</v>
      </c>
      <c r="J7841">
        <v>25</v>
      </c>
      <c r="M7841" t="s">
        <v>7967</v>
      </c>
    </row>
    <row r="7842" spans="1:13">
      <c r="A7842" s="10">
        <v>46210</v>
      </c>
      <c r="B7842" t="s">
        <v>201</v>
      </c>
      <c r="C7842" s="135" t="s">
        <v>147</v>
      </c>
      <c r="D7842">
        <v>0</v>
      </c>
      <c r="E7842">
        <v>40</v>
      </c>
      <c r="I7842">
        <v>0</v>
      </c>
      <c r="J7842">
        <v>40</v>
      </c>
      <c r="M7842" t="s">
        <v>7968</v>
      </c>
    </row>
    <row r="7843" spans="1:13">
      <c r="A7843" s="10">
        <v>46210</v>
      </c>
      <c r="B7843" t="s">
        <v>201</v>
      </c>
      <c r="C7843" t="s">
        <v>302</v>
      </c>
      <c r="D7843">
        <v>1</v>
      </c>
      <c r="E7843">
        <v>0</v>
      </c>
      <c r="I7843">
        <v>1</v>
      </c>
      <c r="M7843" t="s">
        <v>7969</v>
      </c>
    </row>
    <row r="7844" spans="1:13">
      <c r="A7844" s="10">
        <v>46210</v>
      </c>
      <c r="B7844" t="s">
        <v>201</v>
      </c>
      <c r="C7844" t="s">
        <v>150</v>
      </c>
      <c r="D7844">
        <v>3</v>
      </c>
      <c r="E7844">
        <v>0</v>
      </c>
      <c r="I7844">
        <v>3</v>
      </c>
      <c r="M7844" t="s">
        <v>7970</v>
      </c>
    </row>
    <row r="7845" spans="1:13">
      <c r="A7845" s="10">
        <v>46210</v>
      </c>
      <c r="B7845" t="s">
        <v>201</v>
      </c>
      <c r="C7845" t="s">
        <v>151</v>
      </c>
      <c r="D7845">
        <v>2</v>
      </c>
      <c r="E7845">
        <v>0</v>
      </c>
      <c r="I7845">
        <v>2</v>
      </c>
      <c r="M7845" t="s">
        <v>7971</v>
      </c>
    </row>
    <row r="7846" spans="1:13">
      <c r="A7846" s="10">
        <v>46210</v>
      </c>
      <c r="B7846" t="s">
        <v>201</v>
      </c>
      <c r="C7846" t="s">
        <v>152</v>
      </c>
      <c r="D7846">
        <v>2</v>
      </c>
      <c r="E7846">
        <v>0</v>
      </c>
      <c r="I7846">
        <v>2</v>
      </c>
      <c r="M7846" t="s">
        <v>7972</v>
      </c>
    </row>
    <row r="7847" spans="1:13">
      <c r="A7847" s="10">
        <v>46210</v>
      </c>
      <c r="B7847" t="s">
        <v>201</v>
      </c>
      <c r="C7847" t="s">
        <v>153</v>
      </c>
      <c r="D7847">
        <v>2</v>
      </c>
      <c r="E7847">
        <v>0</v>
      </c>
      <c r="I7847">
        <v>2</v>
      </c>
      <c r="M7847" t="s">
        <v>7973</v>
      </c>
    </row>
    <row r="7848" spans="1:13">
      <c r="A7848" s="10">
        <v>46210</v>
      </c>
      <c r="B7848" t="s">
        <v>201</v>
      </c>
      <c r="C7848" t="s">
        <v>308</v>
      </c>
      <c r="D7848">
        <v>0</v>
      </c>
      <c r="E7848">
        <v>3</v>
      </c>
      <c r="I7848">
        <v>0</v>
      </c>
      <c r="J7848">
        <v>3</v>
      </c>
      <c r="M7848" t="s">
        <v>7974</v>
      </c>
    </row>
    <row r="7849" spans="1:13">
      <c r="A7849" s="10">
        <v>46210</v>
      </c>
      <c r="B7849" t="s">
        <v>201</v>
      </c>
      <c r="C7849" t="s">
        <v>310</v>
      </c>
      <c r="D7849">
        <v>0</v>
      </c>
      <c r="E7849">
        <v>2</v>
      </c>
      <c r="I7849">
        <v>0</v>
      </c>
      <c r="J7849">
        <v>2</v>
      </c>
      <c r="M7849" t="s">
        <v>7975</v>
      </c>
    </row>
    <row r="7850" spans="1:13">
      <c r="A7850" s="10">
        <v>46210</v>
      </c>
      <c r="B7850" t="s">
        <v>201</v>
      </c>
      <c r="C7850" t="s">
        <v>312</v>
      </c>
      <c r="D7850">
        <v>0</v>
      </c>
      <c r="E7850">
        <v>2</v>
      </c>
      <c r="I7850">
        <v>0</v>
      </c>
      <c r="J7850">
        <v>2</v>
      </c>
      <c r="M7850" t="s">
        <v>7976</v>
      </c>
    </row>
    <row r="7851" spans="1:13">
      <c r="A7851" s="10">
        <v>46210</v>
      </c>
      <c r="B7851" t="s">
        <v>201</v>
      </c>
      <c r="C7851" t="s">
        <v>314</v>
      </c>
      <c r="D7851">
        <v>1</v>
      </c>
      <c r="E7851">
        <v>0</v>
      </c>
      <c r="I7851">
        <v>1</v>
      </c>
      <c r="M7851" t="s">
        <v>7977</v>
      </c>
    </row>
    <row r="7852" spans="1:13">
      <c r="A7852" s="10">
        <v>46210</v>
      </c>
      <c r="B7852" t="s">
        <v>201</v>
      </c>
      <c r="C7852" t="s">
        <v>316</v>
      </c>
      <c r="D7852">
        <v>1</v>
      </c>
      <c r="E7852">
        <v>0</v>
      </c>
      <c r="H7852">
        <v>0</v>
      </c>
      <c r="I7852">
        <v>1</v>
      </c>
      <c r="M7852" t="s">
        <v>7978</v>
      </c>
    </row>
    <row r="7853" spans="1:13">
      <c r="A7853" s="10">
        <v>46210</v>
      </c>
      <c r="B7853" t="s">
        <v>201</v>
      </c>
      <c r="C7853" t="s">
        <v>318</v>
      </c>
      <c r="D7853">
        <v>0</v>
      </c>
      <c r="E7853">
        <v>0</v>
      </c>
      <c r="I7853">
        <v>0</v>
      </c>
      <c r="M7853" t="s">
        <v>7979</v>
      </c>
    </row>
    <row r="7854" spans="1:13">
      <c r="A7854" s="10">
        <v>46210</v>
      </c>
      <c r="B7854" t="s">
        <v>201</v>
      </c>
      <c r="C7854" t="s">
        <v>320</v>
      </c>
      <c r="D7854">
        <v>1</v>
      </c>
      <c r="E7854">
        <v>0</v>
      </c>
      <c r="I7854">
        <v>1</v>
      </c>
      <c r="M7854" t="s">
        <v>7980</v>
      </c>
    </row>
    <row r="7855" spans="1:13">
      <c r="A7855" s="10">
        <v>46210</v>
      </c>
      <c r="B7855" t="s">
        <v>201</v>
      </c>
      <c r="C7855" t="s">
        <v>322</v>
      </c>
      <c r="D7855">
        <v>1</v>
      </c>
      <c r="E7855">
        <v>0</v>
      </c>
      <c r="I7855">
        <v>1</v>
      </c>
      <c r="M7855" t="s">
        <v>7981</v>
      </c>
    </row>
    <row r="7856" spans="1:13">
      <c r="A7856" s="10">
        <v>46210</v>
      </c>
      <c r="B7856" t="s">
        <v>201</v>
      </c>
      <c r="C7856" s="135" t="s">
        <v>168</v>
      </c>
      <c r="D7856">
        <v>1</v>
      </c>
      <c r="E7856">
        <v>0</v>
      </c>
      <c r="I7856">
        <v>1</v>
      </c>
      <c r="M7856" t="s">
        <v>7982</v>
      </c>
    </row>
    <row r="7857" spans="1:13">
      <c r="A7857" s="10">
        <v>46210</v>
      </c>
      <c r="B7857" t="s">
        <v>201</v>
      </c>
      <c r="C7857" s="135" t="s">
        <v>170</v>
      </c>
      <c r="D7857">
        <v>1</v>
      </c>
      <c r="E7857">
        <v>0</v>
      </c>
      <c r="I7857">
        <v>1</v>
      </c>
      <c r="M7857" t="s">
        <v>7983</v>
      </c>
    </row>
    <row r="7858" spans="1:13">
      <c r="A7858" s="10">
        <v>46210</v>
      </c>
      <c r="B7858" t="s">
        <v>201</v>
      </c>
      <c r="C7858" s="135" t="s">
        <v>171</v>
      </c>
      <c r="D7858">
        <v>2</v>
      </c>
      <c r="E7858">
        <v>0</v>
      </c>
      <c r="I7858">
        <v>2</v>
      </c>
      <c r="M7858" t="s">
        <v>7984</v>
      </c>
    </row>
    <row r="7859" spans="1:13">
      <c r="A7859" s="10">
        <v>46210</v>
      </c>
      <c r="B7859" t="s">
        <v>201</v>
      </c>
      <c r="C7859" s="135" t="s">
        <v>172</v>
      </c>
      <c r="D7859">
        <v>1</v>
      </c>
      <c r="E7859">
        <v>0</v>
      </c>
      <c r="I7859">
        <v>1</v>
      </c>
      <c r="M7859" t="s">
        <v>7985</v>
      </c>
    </row>
    <row r="7860" spans="1:13">
      <c r="A7860" s="10">
        <v>46210</v>
      </c>
      <c r="B7860" t="s">
        <v>201</v>
      </c>
      <c r="C7860" s="135" t="s">
        <v>173</v>
      </c>
      <c r="D7860">
        <v>0</v>
      </c>
      <c r="E7860">
        <v>0</v>
      </c>
      <c r="I7860">
        <v>0</v>
      </c>
      <c r="M7860" t="s">
        <v>7986</v>
      </c>
    </row>
    <row r="7861" spans="1:13">
      <c r="A7861" s="10">
        <v>46210</v>
      </c>
      <c r="B7861" t="s">
        <v>201</v>
      </c>
      <c r="C7861" t="s">
        <v>176</v>
      </c>
      <c r="D7861">
        <v>0</v>
      </c>
      <c r="E7861">
        <v>21</v>
      </c>
      <c r="I7861">
        <v>0</v>
      </c>
      <c r="J7861">
        <v>21</v>
      </c>
      <c r="M7861" t="s">
        <v>7987</v>
      </c>
    </row>
    <row r="7862" spans="1:13">
      <c r="A7862" s="10">
        <v>46210</v>
      </c>
      <c r="B7862" t="s">
        <v>201</v>
      </c>
      <c r="C7862" t="s">
        <v>178</v>
      </c>
      <c r="D7862">
        <v>0</v>
      </c>
      <c r="E7862">
        <v>21</v>
      </c>
      <c r="I7862">
        <v>0</v>
      </c>
      <c r="J7862">
        <v>21</v>
      </c>
      <c r="M7862" t="s">
        <v>7988</v>
      </c>
    </row>
    <row r="7863" spans="1:13">
      <c r="A7863" s="10">
        <v>46210</v>
      </c>
      <c r="B7863" t="s">
        <v>201</v>
      </c>
      <c r="C7863" t="s">
        <v>179</v>
      </c>
      <c r="D7863">
        <v>0</v>
      </c>
      <c r="E7863">
        <v>14</v>
      </c>
      <c r="I7863">
        <v>0</v>
      </c>
      <c r="J7863">
        <v>14</v>
      </c>
      <c r="M7863" t="s">
        <v>7989</v>
      </c>
    </row>
    <row r="7864" spans="1:13">
      <c r="A7864" s="10">
        <v>46210</v>
      </c>
      <c r="B7864" t="s">
        <v>201</v>
      </c>
      <c r="C7864" t="s">
        <v>180</v>
      </c>
      <c r="D7864">
        <v>0</v>
      </c>
      <c r="E7864">
        <v>14</v>
      </c>
      <c r="H7864">
        <v>2</v>
      </c>
      <c r="I7864">
        <v>0</v>
      </c>
      <c r="J7864">
        <v>12</v>
      </c>
      <c r="M7864" t="s">
        <v>7990</v>
      </c>
    </row>
    <row r="7865" spans="1:13">
      <c r="A7865" s="10">
        <v>46210</v>
      </c>
      <c r="B7865" t="s">
        <v>201</v>
      </c>
      <c r="C7865" s="135" t="s">
        <v>182</v>
      </c>
      <c r="D7865">
        <v>1</v>
      </c>
      <c r="E7865">
        <v>150</v>
      </c>
      <c r="I7865">
        <v>1</v>
      </c>
      <c r="J7865">
        <v>150</v>
      </c>
      <c r="M7865" t="s">
        <v>7991</v>
      </c>
    </row>
    <row r="7866" spans="1:13">
      <c r="A7866" s="10">
        <v>46210</v>
      </c>
      <c r="B7866" t="s">
        <v>201</v>
      </c>
      <c r="C7866" s="135" t="s">
        <v>184</v>
      </c>
      <c r="D7866">
        <v>2</v>
      </c>
      <c r="E7866">
        <v>35</v>
      </c>
      <c r="I7866">
        <v>2</v>
      </c>
      <c r="J7866">
        <v>28</v>
      </c>
      <c r="M7866" t="s">
        <v>7992</v>
      </c>
    </row>
    <row r="7867" spans="1:13">
      <c r="A7867" s="10">
        <v>46210</v>
      </c>
      <c r="B7867" t="s">
        <v>201</v>
      </c>
      <c r="C7867" s="135" t="s">
        <v>185</v>
      </c>
      <c r="D7867">
        <v>1</v>
      </c>
      <c r="E7867">
        <v>20</v>
      </c>
      <c r="I7867">
        <v>1</v>
      </c>
      <c r="J7867">
        <v>20</v>
      </c>
      <c r="M7867" t="s">
        <v>7993</v>
      </c>
    </row>
    <row r="7868" spans="1:13">
      <c r="A7868" s="10">
        <v>46210</v>
      </c>
      <c r="B7868" t="s">
        <v>201</v>
      </c>
      <c r="C7868" s="135" t="s">
        <v>186</v>
      </c>
      <c r="D7868">
        <v>1</v>
      </c>
      <c r="E7868">
        <v>490</v>
      </c>
      <c r="I7868">
        <v>1</v>
      </c>
      <c r="J7868">
        <v>490</v>
      </c>
      <c r="M7868" t="s">
        <v>7994</v>
      </c>
    </row>
    <row r="7869" spans="1:13">
      <c r="A7869" s="10">
        <v>46210</v>
      </c>
      <c r="B7869" t="s">
        <v>201</v>
      </c>
      <c r="C7869" t="s">
        <v>337</v>
      </c>
      <c r="D7869">
        <v>1</v>
      </c>
      <c r="E7869">
        <v>355</v>
      </c>
      <c r="I7869">
        <v>1</v>
      </c>
      <c r="J7869">
        <v>309</v>
      </c>
      <c r="M7869" t="s">
        <v>7995</v>
      </c>
    </row>
    <row r="7870" spans="1:13">
      <c r="A7870" s="10">
        <v>46210</v>
      </c>
      <c r="B7870" t="s">
        <v>201</v>
      </c>
      <c r="C7870" t="s">
        <v>339</v>
      </c>
      <c r="D7870">
        <v>0</v>
      </c>
      <c r="E7870">
        <v>0</v>
      </c>
      <c r="I7870">
        <v>0</v>
      </c>
      <c r="J7870">
        <v>0</v>
      </c>
      <c r="M7870" t="s">
        <v>7996</v>
      </c>
    </row>
    <row r="7871" spans="1:13">
      <c r="A7871" s="10">
        <v>46210</v>
      </c>
      <c r="B7871" t="s">
        <v>201</v>
      </c>
      <c r="C7871" s="135" t="s">
        <v>191</v>
      </c>
      <c r="D7871">
        <v>1</v>
      </c>
      <c r="E7871">
        <v>266</v>
      </c>
      <c r="I7871">
        <v>1</v>
      </c>
      <c r="J7871">
        <v>266</v>
      </c>
      <c r="M7871" t="s">
        <v>7997</v>
      </c>
    </row>
    <row r="7872" spans="1:13">
      <c r="A7872" s="10">
        <v>46210</v>
      </c>
      <c r="B7872" t="s">
        <v>201</v>
      </c>
      <c r="C7872" s="135" t="s">
        <v>193</v>
      </c>
      <c r="D7872">
        <v>1</v>
      </c>
      <c r="E7872">
        <v>212</v>
      </c>
      <c r="I7872">
        <v>1</v>
      </c>
      <c r="J7872">
        <v>212</v>
      </c>
      <c r="M7872" t="s">
        <v>7998</v>
      </c>
    </row>
    <row r="7873" spans="1:13">
      <c r="A7873" s="10">
        <v>46210</v>
      </c>
      <c r="B7873" t="s">
        <v>201</v>
      </c>
      <c r="C7873" s="135" t="s">
        <v>194</v>
      </c>
      <c r="D7873">
        <v>1</v>
      </c>
      <c r="E7873">
        <v>38</v>
      </c>
      <c r="I7873">
        <v>1</v>
      </c>
      <c r="J7873">
        <v>38</v>
      </c>
      <c r="M7873" t="s">
        <v>7999</v>
      </c>
    </row>
    <row r="7874" spans="1:13">
      <c r="A7874" s="10">
        <v>46210</v>
      </c>
      <c r="B7874" t="s">
        <v>201</v>
      </c>
      <c r="C7874" s="135" t="s">
        <v>196</v>
      </c>
      <c r="D7874">
        <v>0</v>
      </c>
      <c r="E7874">
        <v>690</v>
      </c>
      <c r="I7874">
        <v>0</v>
      </c>
      <c r="J7874">
        <v>690</v>
      </c>
      <c r="M7874" t="s">
        <v>8000</v>
      </c>
    </row>
    <row r="7875" spans="1:13">
      <c r="A7875" s="10">
        <v>46210</v>
      </c>
      <c r="B7875" t="s">
        <v>201</v>
      </c>
      <c r="C7875" s="135" t="s">
        <v>199</v>
      </c>
      <c r="D7875">
        <v>0</v>
      </c>
      <c r="E7875">
        <v>281</v>
      </c>
      <c r="I7875">
        <v>0</v>
      </c>
      <c r="J7875">
        <v>281</v>
      </c>
      <c r="M7875" t="s">
        <v>8001</v>
      </c>
    </row>
    <row r="7876" spans="1:13">
      <c r="A7876" s="10">
        <v>46210</v>
      </c>
      <c r="B7876" t="s">
        <v>201</v>
      </c>
      <c r="C7876" s="135" t="s">
        <v>200</v>
      </c>
      <c r="D7876">
        <v>0</v>
      </c>
      <c r="E7876">
        <v>336</v>
      </c>
      <c r="I7876">
        <v>0</v>
      </c>
      <c r="J7876">
        <v>336</v>
      </c>
      <c r="M7876" t="s">
        <v>8002</v>
      </c>
    </row>
    <row r="7877" spans="1:13">
      <c r="A7877" s="10">
        <v>46210</v>
      </c>
      <c r="B7877" t="s">
        <v>201</v>
      </c>
      <c r="C7877" s="135" t="s">
        <v>202</v>
      </c>
      <c r="D7877">
        <v>0</v>
      </c>
      <c r="E7877">
        <v>348</v>
      </c>
      <c r="I7877">
        <v>0</v>
      </c>
      <c r="J7877">
        <v>348</v>
      </c>
      <c r="M7877" t="s">
        <v>8003</v>
      </c>
    </row>
    <row r="7878" spans="1:13">
      <c r="A7878" s="10">
        <v>46211</v>
      </c>
      <c r="B7878" t="s">
        <v>201</v>
      </c>
      <c r="C7878" t="s">
        <v>23</v>
      </c>
      <c r="D7878">
        <v>4</v>
      </c>
      <c r="E7878">
        <v>540</v>
      </c>
      <c r="F7878">
        <v>4</v>
      </c>
      <c r="I7878">
        <v>6</v>
      </c>
      <c r="J7878">
        <v>1312</v>
      </c>
      <c r="M7878" t="s">
        <v>8004</v>
      </c>
    </row>
    <row r="7879" spans="1:13">
      <c r="A7879" s="10">
        <v>46211</v>
      </c>
      <c r="B7879" t="s">
        <v>201</v>
      </c>
      <c r="C7879" t="s">
        <v>26</v>
      </c>
      <c r="D7879">
        <v>2</v>
      </c>
      <c r="E7879">
        <v>552</v>
      </c>
      <c r="I7879">
        <v>2</v>
      </c>
      <c r="J7879">
        <v>530</v>
      </c>
      <c r="M7879" t="s">
        <v>8005</v>
      </c>
    </row>
    <row r="7880" spans="1:13">
      <c r="A7880" s="10">
        <v>46211</v>
      </c>
      <c r="B7880" t="s">
        <v>201</v>
      </c>
      <c r="C7880" t="s">
        <v>27</v>
      </c>
      <c r="D7880">
        <v>1</v>
      </c>
      <c r="E7880">
        <v>1326</v>
      </c>
      <c r="I7880">
        <v>1</v>
      </c>
      <c r="J7880">
        <v>1225</v>
      </c>
      <c r="M7880" t="s">
        <v>8006</v>
      </c>
    </row>
    <row r="7881" spans="1:13">
      <c r="A7881" s="10">
        <v>46211</v>
      </c>
      <c r="B7881" t="s">
        <v>201</v>
      </c>
      <c r="C7881" t="s">
        <v>28</v>
      </c>
      <c r="D7881">
        <v>0</v>
      </c>
      <c r="E7881">
        <v>0</v>
      </c>
      <c r="I7881">
        <v>0</v>
      </c>
      <c r="J7881">
        <v>0</v>
      </c>
      <c r="M7881" t="s">
        <v>8007</v>
      </c>
    </row>
    <row r="7882" spans="1:13">
      <c r="A7882" s="10">
        <v>46211</v>
      </c>
      <c r="B7882" t="s">
        <v>201</v>
      </c>
      <c r="C7882" t="s">
        <v>29</v>
      </c>
      <c r="D7882">
        <v>0</v>
      </c>
      <c r="E7882">
        <v>983</v>
      </c>
      <c r="I7882">
        <v>0</v>
      </c>
      <c r="J7882">
        <v>870</v>
      </c>
      <c r="M7882" t="s">
        <v>8008</v>
      </c>
    </row>
    <row r="7883" spans="1:13">
      <c r="A7883" s="10">
        <v>46211</v>
      </c>
      <c r="B7883" t="s">
        <v>201</v>
      </c>
      <c r="C7883" t="s">
        <v>30</v>
      </c>
      <c r="D7883">
        <v>0</v>
      </c>
      <c r="E7883">
        <v>355</v>
      </c>
      <c r="I7883">
        <v>0</v>
      </c>
      <c r="J7883">
        <v>341</v>
      </c>
      <c r="M7883" t="s">
        <v>8009</v>
      </c>
    </row>
    <row r="7884" spans="1:13">
      <c r="A7884" s="10">
        <v>46211</v>
      </c>
      <c r="B7884" t="s">
        <v>201</v>
      </c>
      <c r="C7884" t="s">
        <v>31</v>
      </c>
      <c r="D7884">
        <v>0</v>
      </c>
      <c r="E7884">
        <v>514</v>
      </c>
      <c r="F7884">
        <v>1</v>
      </c>
      <c r="G7884">
        <v>300</v>
      </c>
      <c r="I7884">
        <v>1</v>
      </c>
      <c r="J7884">
        <v>648</v>
      </c>
      <c r="M7884" t="s">
        <v>8010</v>
      </c>
    </row>
    <row r="7885" spans="1:13">
      <c r="A7885" s="10">
        <v>46211</v>
      </c>
      <c r="B7885" t="s">
        <v>201</v>
      </c>
      <c r="C7885" t="s">
        <v>32</v>
      </c>
      <c r="D7885">
        <v>2</v>
      </c>
      <c r="E7885">
        <v>782</v>
      </c>
      <c r="F7885">
        <v>1</v>
      </c>
      <c r="I7885">
        <v>3</v>
      </c>
      <c r="J7885">
        <v>582</v>
      </c>
      <c r="M7885" t="s">
        <v>8011</v>
      </c>
    </row>
    <row r="7886" spans="1:13">
      <c r="A7886" s="10">
        <v>46211</v>
      </c>
      <c r="B7886" t="s">
        <v>201</v>
      </c>
      <c r="C7886" t="s">
        <v>223</v>
      </c>
      <c r="D7886">
        <v>3</v>
      </c>
      <c r="E7886">
        <v>1000</v>
      </c>
      <c r="F7886">
        <v>2</v>
      </c>
      <c r="I7886">
        <v>5</v>
      </c>
      <c r="J7886">
        <v>619</v>
      </c>
      <c r="M7886" t="s">
        <v>8012</v>
      </c>
    </row>
    <row r="7887" spans="1:13">
      <c r="A7887" s="10">
        <v>46211</v>
      </c>
      <c r="B7887" t="s">
        <v>201</v>
      </c>
      <c r="C7887" t="s">
        <v>35</v>
      </c>
      <c r="D7887">
        <v>0</v>
      </c>
      <c r="E7887">
        <v>0</v>
      </c>
      <c r="F7887">
        <v>12</v>
      </c>
      <c r="H7887">
        <v>2</v>
      </c>
      <c r="I7887">
        <v>10</v>
      </c>
      <c r="M7887" t="s">
        <v>8013</v>
      </c>
    </row>
    <row r="7888" spans="1:13">
      <c r="A7888" s="10">
        <v>46211</v>
      </c>
      <c r="B7888" t="s">
        <v>201</v>
      </c>
      <c r="C7888" t="s">
        <v>37</v>
      </c>
      <c r="D7888">
        <v>1</v>
      </c>
      <c r="E7888">
        <v>0</v>
      </c>
      <c r="F7888">
        <v>4</v>
      </c>
      <c r="I7888">
        <v>5</v>
      </c>
      <c r="M7888" t="s">
        <v>8014</v>
      </c>
    </row>
    <row r="7889" spans="1:13">
      <c r="A7889" s="10">
        <v>46211</v>
      </c>
      <c r="B7889" t="s">
        <v>201</v>
      </c>
      <c r="C7889" t="s">
        <v>39</v>
      </c>
      <c r="D7889">
        <v>20</v>
      </c>
      <c r="E7889">
        <v>0</v>
      </c>
      <c r="I7889">
        <v>29</v>
      </c>
      <c r="M7889" t="s">
        <v>8015</v>
      </c>
    </row>
    <row r="7890" spans="1:13">
      <c r="A7890" s="10">
        <v>46211</v>
      </c>
      <c r="B7890" t="s">
        <v>201</v>
      </c>
      <c r="C7890" t="s">
        <v>41</v>
      </c>
      <c r="D7890">
        <v>13</v>
      </c>
      <c r="E7890">
        <v>0</v>
      </c>
      <c r="F7890">
        <v>10</v>
      </c>
      <c r="H7890">
        <v>2</v>
      </c>
      <c r="I7890">
        <v>21</v>
      </c>
      <c r="M7890" t="s">
        <v>8016</v>
      </c>
    </row>
    <row r="7891" spans="1:13">
      <c r="A7891" s="10">
        <v>46211</v>
      </c>
      <c r="B7891" t="s">
        <v>201</v>
      </c>
      <c r="C7891" s="135" t="s">
        <v>44</v>
      </c>
      <c r="D7891">
        <v>4</v>
      </c>
      <c r="E7891">
        <v>6020</v>
      </c>
      <c r="F7891">
        <v>1</v>
      </c>
      <c r="G7891">
        <v>2100</v>
      </c>
      <c r="I7891">
        <v>3</v>
      </c>
      <c r="J7891">
        <v>9029</v>
      </c>
      <c r="M7891" t="s">
        <v>8017</v>
      </c>
    </row>
    <row r="7892" spans="1:13">
      <c r="A7892" s="10">
        <v>46211</v>
      </c>
      <c r="B7892" t="s">
        <v>201</v>
      </c>
      <c r="C7892" t="s">
        <v>230</v>
      </c>
      <c r="D7892">
        <v>1</v>
      </c>
      <c r="E7892">
        <v>244</v>
      </c>
      <c r="I7892">
        <v>1</v>
      </c>
      <c r="J7892">
        <v>244</v>
      </c>
      <c r="M7892" t="s">
        <v>8018</v>
      </c>
    </row>
    <row r="7893" spans="1:13">
      <c r="A7893" s="10">
        <v>46211</v>
      </c>
      <c r="B7893" t="s">
        <v>201</v>
      </c>
      <c r="C7893" t="s">
        <v>232</v>
      </c>
      <c r="D7893">
        <v>5</v>
      </c>
      <c r="E7893">
        <v>0</v>
      </c>
      <c r="I7893">
        <v>5</v>
      </c>
      <c r="M7893" t="s">
        <v>8019</v>
      </c>
    </row>
    <row r="7894" spans="1:13">
      <c r="A7894" s="10">
        <v>46211</v>
      </c>
      <c r="B7894" t="s">
        <v>201</v>
      </c>
      <c r="C7894" t="s">
        <v>234</v>
      </c>
      <c r="D7894">
        <v>49</v>
      </c>
      <c r="E7894">
        <v>0</v>
      </c>
      <c r="F7894">
        <v>50</v>
      </c>
      <c r="H7894">
        <v>3</v>
      </c>
      <c r="I7894">
        <v>96</v>
      </c>
      <c r="M7894" t="s">
        <v>8020</v>
      </c>
    </row>
    <row r="7895" spans="1:13">
      <c r="A7895" s="10">
        <v>46211</v>
      </c>
      <c r="B7895" t="s">
        <v>201</v>
      </c>
      <c r="C7895" t="s">
        <v>54</v>
      </c>
      <c r="D7895">
        <v>0</v>
      </c>
      <c r="E7895">
        <v>0</v>
      </c>
      <c r="I7895">
        <v>0</v>
      </c>
      <c r="M7895" t="s">
        <v>8021</v>
      </c>
    </row>
    <row r="7896" spans="1:13">
      <c r="A7896" s="10">
        <v>46211</v>
      </c>
      <c r="B7896" t="s">
        <v>201</v>
      </c>
      <c r="C7896" t="s">
        <v>237</v>
      </c>
      <c r="D7896">
        <v>9</v>
      </c>
      <c r="E7896">
        <v>0</v>
      </c>
      <c r="I7896">
        <v>9</v>
      </c>
      <c r="M7896" t="s">
        <v>8022</v>
      </c>
    </row>
    <row r="7897" spans="1:13">
      <c r="A7897" s="10">
        <v>46211</v>
      </c>
      <c r="B7897" t="s">
        <v>201</v>
      </c>
      <c r="C7897" s="135" t="s">
        <v>58</v>
      </c>
      <c r="D7897">
        <v>2</v>
      </c>
      <c r="E7897">
        <v>0</v>
      </c>
      <c r="F7897">
        <v>6</v>
      </c>
      <c r="I7897">
        <v>6</v>
      </c>
      <c r="M7897" t="s">
        <v>8023</v>
      </c>
    </row>
    <row r="7898" spans="1:13">
      <c r="A7898" s="10">
        <v>46211</v>
      </c>
      <c r="B7898" t="s">
        <v>201</v>
      </c>
      <c r="C7898" s="135" t="s">
        <v>60</v>
      </c>
      <c r="D7898">
        <v>2</v>
      </c>
      <c r="E7898">
        <v>0</v>
      </c>
      <c r="F7898">
        <v>6</v>
      </c>
      <c r="I7898">
        <v>7</v>
      </c>
      <c r="M7898" t="s">
        <v>8024</v>
      </c>
    </row>
    <row r="7899" spans="1:13">
      <c r="A7899" s="10">
        <v>46211</v>
      </c>
      <c r="B7899" t="s">
        <v>201</v>
      </c>
      <c r="C7899" s="135" t="s">
        <v>61</v>
      </c>
      <c r="D7899">
        <v>2</v>
      </c>
      <c r="E7899">
        <v>0</v>
      </c>
      <c r="F7899">
        <v>10</v>
      </c>
      <c r="I7899">
        <v>7</v>
      </c>
      <c r="M7899" t="s">
        <v>8025</v>
      </c>
    </row>
    <row r="7900" spans="1:13">
      <c r="A7900" s="10">
        <v>46211</v>
      </c>
      <c r="B7900" t="s">
        <v>201</v>
      </c>
      <c r="C7900" s="135" t="s">
        <v>62</v>
      </c>
      <c r="D7900">
        <v>0</v>
      </c>
      <c r="E7900">
        <v>0</v>
      </c>
      <c r="F7900">
        <v>10</v>
      </c>
      <c r="I7900">
        <v>10</v>
      </c>
      <c r="M7900" t="s">
        <v>8026</v>
      </c>
    </row>
    <row r="7901" spans="1:13">
      <c r="A7901" s="10">
        <v>46211</v>
      </c>
      <c r="B7901" t="s">
        <v>201</v>
      </c>
      <c r="C7901" s="135" t="s">
        <v>63</v>
      </c>
      <c r="D7901">
        <v>0</v>
      </c>
      <c r="E7901">
        <v>0</v>
      </c>
      <c r="F7901">
        <v>10</v>
      </c>
      <c r="I7901">
        <v>9</v>
      </c>
      <c r="M7901" t="s">
        <v>8027</v>
      </c>
    </row>
    <row r="7902" spans="1:13">
      <c r="A7902" s="10">
        <v>46211</v>
      </c>
      <c r="B7902" t="s">
        <v>201</v>
      </c>
      <c r="C7902" s="135" t="s">
        <v>64</v>
      </c>
      <c r="D7902">
        <v>4</v>
      </c>
      <c r="E7902">
        <v>0</v>
      </c>
      <c r="F7902">
        <v>6</v>
      </c>
      <c r="I7902">
        <v>9</v>
      </c>
      <c r="M7902" t="s">
        <v>8028</v>
      </c>
    </row>
    <row r="7903" spans="1:13">
      <c r="A7903" s="10">
        <v>46211</v>
      </c>
      <c r="B7903" t="s">
        <v>201</v>
      </c>
      <c r="C7903" t="s">
        <v>66</v>
      </c>
      <c r="D7903">
        <v>4</v>
      </c>
      <c r="E7903">
        <v>0</v>
      </c>
      <c r="I7903">
        <v>4</v>
      </c>
      <c r="M7903" t="s">
        <v>8029</v>
      </c>
    </row>
    <row r="7904" spans="1:13">
      <c r="A7904" s="10">
        <v>46211</v>
      </c>
      <c r="B7904" t="s">
        <v>201</v>
      </c>
      <c r="C7904" t="s">
        <v>67</v>
      </c>
      <c r="D7904">
        <v>2</v>
      </c>
      <c r="E7904">
        <v>0</v>
      </c>
      <c r="F7904">
        <v>2</v>
      </c>
      <c r="I7904">
        <v>4</v>
      </c>
      <c r="M7904" t="s">
        <v>8030</v>
      </c>
    </row>
    <row r="7905" spans="1:13">
      <c r="A7905" s="10">
        <v>46211</v>
      </c>
      <c r="B7905" t="s">
        <v>201</v>
      </c>
      <c r="C7905" t="s">
        <v>68</v>
      </c>
      <c r="D7905">
        <v>0</v>
      </c>
      <c r="E7905">
        <v>0</v>
      </c>
      <c r="I7905">
        <v>0</v>
      </c>
      <c r="M7905" t="s">
        <v>8031</v>
      </c>
    </row>
    <row r="7906" spans="1:13">
      <c r="A7906" s="10">
        <v>46211</v>
      </c>
      <c r="B7906" t="s">
        <v>201</v>
      </c>
      <c r="C7906" t="s">
        <v>71</v>
      </c>
      <c r="D7906">
        <v>1</v>
      </c>
      <c r="E7906">
        <v>466</v>
      </c>
      <c r="I7906">
        <v>1</v>
      </c>
      <c r="J7906">
        <v>437</v>
      </c>
      <c r="M7906" t="s">
        <v>8032</v>
      </c>
    </row>
    <row r="7907" spans="1:13">
      <c r="A7907" s="10">
        <v>46211</v>
      </c>
      <c r="B7907" t="s">
        <v>201</v>
      </c>
      <c r="C7907" t="s">
        <v>73</v>
      </c>
      <c r="D7907">
        <v>2</v>
      </c>
      <c r="E7907">
        <v>289</v>
      </c>
      <c r="I7907">
        <v>2</v>
      </c>
      <c r="J7907">
        <v>256</v>
      </c>
      <c r="M7907" t="s">
        <v>8033</v>
      </c>
    </row>
    <row r="7908" spans="1:13">
      <c r="A7908" s="10">
        <v>46211</v>
      </c>
      <c r="B7908" t="s">
        <v>201</v>
      </c>
      <c r="C7908" t="s">
        <v>75</v>
      </c>
      <c r="D7908">
        <v>0</v>
      </c>
      <c r="E7908">
        <v>400</v>
      </c>
      <c r="I7908">
        <v>0</v>
      </c>
      <c r="J7908">
        <v>386</v>
      </c>
      <c r="M7908" t="s">
        <v>8034</v>
      </c>
    </row>
    <row r="7909" spans="1:13">
      <c r="A7909" s="10">
        <v>46211</v>
      </c>
      <c r="B7909" t="s">
        <v>201</v>
      </c>
      <c r="C7909" t="s">
        <v>77</v>
      </c>
      <c r="D7909">
        <v>0</v>
      </c>
      <c r="E7909">
        <v>1102</v>
      </c>
      <c r="I7909">
        <v>0</v>
      </c>
      <c r="J7909">
        <v>1068</v>
      </c>
      <c r="M7909" t="s">
        <v>8035</v>
      </c>
    </row>
    <row r="7910" spans="1:13">
      <c r="A7910" s="10">
        <v>46211</v>
      </c>
      <c r="B7910" t="s">
        <v>201</v>
      </c>
      <c r="C7910" t="s">
        <v>79</v>
      </c>
      <c r="D7910">
        <v>1</v>
      </c>
      <c r="E7910">
        <v>929</v>
      </c>
      <c r="I7910">
        <v>1</v>
      </c>
      <c r="J7910">
        <v>826</v>
      </c>
      <c r="M7910" t="s">
        <v>8036</v>
      </c>
    </row>
    <row r="7911" spans="1:13">
      <c r="A7911" s="10">
        <v>46211</v>
      </c>
      <c r="B7911" t="s">
        <v>201</v>
      </c>
      <c r="C7911" t="s">
        <v>81</v>
      </c>
      <c r="D7911">
        <v>1</v>
      </c>
      <c r="E7911">
        <v>548</v>
      </c>
      <c r="I7911">
        <v>1</v>
      </c>
      <c r="J7911">
        <v>527</v>
      </c>
      <c r="M7911" t="s">
        <v>8037</v>
      </c>
    </row>
    <row r="7912" spans="1:13">
      <c r="A7912" s="10">
        <v>46211</v>
      </c>
      <c r="B7912" t="s">
        <v>201</v>
      </c>
      <c r="C7912" t="s">
        <v>83</v>
      </c>
      <c r="D7912">
        <v>1</v>
      </c>
      <c r="E7912">
        <v>342</v>
      </c>
      <c r="I7912">
        <v>1</v>
      </c>
      <c r="J7912">
        <v>342</v>
      </c>
      <c r="M7912" t="s">
        <v>8038</v>
      </c>
    </row>
    <row r="7913" spans="1:13">
      <c r="A7913" s="10">
        <v>46211</v>
      </c>
      <c r="B7913" t="s">
        <v>201</v>
      </c>
      <c r="C7913" t="s">
        <v>84</v>
      </c>
      <c r="D7913">
        <v>2</v>
      </c>
      <c r="E7913">
        <v>232</v>
      </c>
      <c r="I7913">
        <v>2</v>
      </c>
      <c r="J7913">
        <v>232</v>
      </c>
      <c r="M7913" t="s">
        <v>8039</v>
      </c>
    </row>
    <row r="7914" spans="1:13">
      <c r="A7914" s="10">
        <v>46211</v>
      </c>
      <c r="B7914" t="s">
        <v>201</v>
      </c>
      <c r="C7914" t="s">
        <v>85</v>
      </c>
      <c r="D7914">
        <v>0</v>
      </c>
      <c r="E7914">
        <v>131</v>
      </c>
      <c r="I7914">
        <v>0</v>
      </c>
      <c r="J7914">
        <v>131</v>
      </c>
      <c r="M7914" t="s">
        <v>8040</v>
      </c>
    </row>
    <row r="7915" spans="1:13">
      <c r="A7915" s="10">
        <v>46211</v>
      </c>
      <c r="B7915" t="s">
        <v>201</v>
      </c>
      <c r="C7915" t="s">
        <v>87</v>
      </c>
      <c r="D7915">
        <v>2</v>
      </c>
      <c r="E7915">
        <v>1437</v>
      </c>
      <c r="I7915">
        <v>2</v>
      </c>
      <c r="J7915">
        <v>319</v>
      </c>
      <c r="M7915" t="s">
        <v>8041</v>
      </c>
    </row>
    <row r="7916" spans="1:13">
      <c r="A7916" s="10">
        <v>46211</v>
      </c>
      <c r="B7916" t="s">
        <v>201</v>
      </c>
      <c r="C7916" t="s">
        <v>88</v>
      </c>
      <c r="D7916">
        <v>1</v>
      </c>
      <c r="E7916">
        <v>1671</v>
      </c>
      <c r="I7916">
        <v>1</v>
      </c>
      <c r="J7916">
        <v>236</v>
      </c>
      <c r="M7916" t="s">
        <v>8042</v>
      </c>
    </row>
    <row r="7917" spans="1:13">
      <c r="A7917" s="10">
        <v>46211</v>
      </c>
      <c r="B7917" t="s">
        <v>201</v>
      </c>
      <c r="C7917" t="s">
        <v>89</v>
      </c>
      <c r="D7917">
        <v>1</v>
      </c>
      <c r="E7917">
        <v>174</v>
      </c>
      <c r="I7917">
        <v>1</v>
      </c>
      <c r="J7917">
        <v>166</v>
      </c>
      <c r="M7917" t="s">
        <v>8043</v>
      </c>
    </row>
    <row r="7918" spans="1:13">
      <c r="A7918" s="10">
        <v>46211</v>
      </c>
      <c r="B7918" t="s">
        <v>201</v>
      </c>
      <c r="C7918" t="s">
        <v>90</v>
      </c>
      <c r="D7918">
        <v>0</v>
      </c>
      <c r="E7918">
        <v>1037</v>
      </c>
      <c r="F7918">
        <v>1</v>
      </c>
      <c r="I7918">
        <v>1</v>
      </c>
      <c r="J7918">
        <v>964</v>
      </c>
      <c r="M7918" t="s">
        <v>8044</v>
      </c>
    </row>
    <row r="7919" spans="1:13">
      <c r="A7919" s="10">
        <v>46211</v>
      </c>
      <c r="B7919" t="s">
        <v>201</v>
      </c>
      <c r="C7919" t="s">
        <v>92</v>
      </c>
      <c r="D7919">
        <v>1</v>
      </c>
      <c r="E7919">
        <v>562</v>
      </c>
      <c r="I7919">
        <v>1</v>
      </c>
      <c r="J7919">
        <v>500</v>
      </c>
      <c r="M7919" t="s">
        <v>8045</v>
      </c>
    </row>
    <row r="7920" spans="1:13">
      <c r="A7920" s="10">
        <v>46211</v>
      </c>
      <c r="B7920" t="s">
        <v>201</v>
      </c>
      <c r="C7920" t="s">
        <v>94</v>
      </c>
      <c r="D7920">
        <v>0</v>
      </c>
      <c r="E7920">
        <v>334</v>
      </c>
      <c r="F7920">
        <v>3</v>
      </c>
      <c r="I7920">
        <v>2</v>
      </c>
      <c r="J7920">
        <v>338</v>
      </c>
      <c r="M7920" t="s">
        <v>8046</v>
      </c>
    </row>
    <row r="7921" spans="1:13">
      <c r="A7921" s="10">
        <v>46211</v>
      </c>
      <c r="B7921" t="s">
        <v>201</v>
      </c>
      <c r="C7921" t="s">
        <v>96</v>
      </c>
      <c r="D7921">
        <v>0</v>
      </c>
      <c r="E7921">
        <v>0</v>
      </c>
      <c r="I7921">
        <v>0</v>
      </c>
      <c r="J7921">
        <v>0</v>
      </c>
      <c r="M7921" t="s">
        <v>8047</v>
      </c>
    </row>
    <row r="7922" spans="1:13">
      <c r="A7922" s="10">
        <v>46211</v>
      </c>
      <c r="B7922" t="s">
        <v>201</v>
      </c>
      <c r="C7922" t="s">
        <v>98</v>
      </c>
      <c r="D7922">
        <v>0</v>
      </c>
      <c r="E7922">
        <v>191</v>
      </c>
      <c r="I7922">
        <v>0</v>
      </c>
      <c r="J7922">
        <v>348</v>
      </c>
      <c r="M7922" t="s">
        <v>8048</v>
      </c>
    </row>
    <row r="7923" spans="1:13">
      <c r="A7923" s="10">
        <v>46211</v>
      </c>
      <c r="B7923" t="s">
        <v>201</v>
      </c>
      <c r="C7923" t="s">
        <v>203</v>
      </c>
      <c r="D7923">
        <v>2</v>
      </c>
      <c r="E7923">
        <v>0</v>
      </c>
      <c r="F7923">
        <v>2</v>
      </c>
      <c r="I7923">
        <v>3</v>
      </c>
      <c r="J7923">
        <v>0</v>
      </c>
      <c r="M7923" t="s">
        <v>8049</v>
      </c>
    </row>
    <row r="7924" spans="1:13">
      <c r="A7924" s="10">
        <v>46211</v>
      </c>
      <c r="B7924" t="s">
        <v>201</v>
      </c>
      <c r="C7924" t="s">
        <v>100</v>
      </c>
      <c r="D7924">
        <v>0</v>
      </c>
      <c r="E7924">
        <v>0</v>
      </c>
      <c r="I7924">
        <v>0</v>
      </c>
      <c r="J7924">
        <v>0</v>
      </c>
      <c r="M7924" t="s">
        <v>8050</v>
      </c>
    </row>
    <row r="7925" spans="1:13">
      <c r="A7925" s="10">
        <v>46211</v>
      </c>
      <c r="B7925" t="s">
        <v>201</v>
      </c>
      <c r="C7925" t="s">
        <v>101</v>
      </c>
      <c r="D7925">
        <v>0</v>
      </c>
      <c r="E7925">
        <v>490</v>
      </c>
      <c r="F7925">
        <v>1</v>
      </c>
      <c r="I7925">
        <v>1</v>
      </c>
      <c r="J7925">
        <v>385</v>
      </c>
      <c r="M7925" t="s">
        <v>8051</v>
      </c>
    </row>
    <row r="7926" spans="1:13">
      <c r="A7926" s="10">
        <v>46211</v>
      </c>
      <c r="B7926" t="s">
        <v>201</v>
      </c>
      <c r="C7926" t="s">
        <v>103</v>
      </c>
      <c r="D7926">
        <v>0</v>
      </c>
      <c r="E7926">
        <v>4</v>
      </c>
      <c r="G7926">
        <v>5</v>
      </c>
      <c r="I7926">
        <v>0</v>
      </c>
      <c r="J7926">
        <v>4</v>
      </c>
      <c r="M7926" t="s">
        <v>8052</v>
      </c>
    </row>
    <row r="7927" spans="1:13">
      <c r="A7927" s="10">
        <v>46211</v>
      </c>
      <c r="B7927" t="s">
        <v>201</v>
      </c>
      <c r="C7927" t="s">
        <v>106</v>
      </c>
      <c r="D7927">
        <v>0</v>
      </c>
      <c r="E7927">
        <v>233</v>
      </c>
      <c r="F7927">
        <v>1</v>
      </c>
      <c r="I7927">
        <v>1</v>
      </c>
      <c r="J7927">
        <v>192</v>
      </c>
      <c r="M7927" t="s">
        <v>8053</v>
      </c>
    </row>
    <row r="7928" spans="1:13">
      <c r="A7928" s="10">
        <v>46211</v>
      </c>
      <c r="B7928" t="s">
        <v>201</v>
      </c>
      <c r="C7928" t="s">
        <v>108</v>
      </c>
      <c r="D7928">
        <v>1</v>
      </c>
      <c r="E7928">
        <v>296</v>
      </c>
      <c r="I7928">
        <v>1</v>
      </c>
      <c r="J7928">
        <v>254</v>
      </c>
      <c r="M7928" t="s">
        <v>8054</v>
      </c>
    </row>
    <row r="7929" spans="1:13">
      <c r="A7929" s="10">
        <v>46211</v>
      </c>
      <c r="B7929" t="s">
        <v>201</v>
      </c>
      <c r="C7929" t="s">
        <v>109</v>
      </c>
      <c r="D7929">
        <v>1</v>
      </c>
      <c r="E7929">
        <v>625</v>
      </c>
      <c r="I7929">
        <v>1</v>
      </c>
      <c r="J7929">
        <v>566</v>
      </c>
      <c r="M7929" t="s">
        <v>8055</v>
      </c>
    </row>
    <row r="7930" spans="1:13">
      <c r="A7930" s="10">
        <v>46211</v>
      </c>
      <c r="B7930" t="s">
        <v>201</v>
      </c>
      <c r="C7930" t="s">
        <v>112</v>
      </c>
      <c r="D7930">
        <v>1</v>
      </c>
      <c r="E7930">
        <v>23</v>
      </c>
      <c r="I7930">
        <v>1</v>
      </c>
      <c r="J7930">
        <v>22</v>
      </c>
      <c r="M7930" t="s">
        <v>8056</v>
      </c>
    </row>
    <row r="7931" spans="1:13">
      <c r="A7931" s="10">
        <v>46211</v>
      </c>
      <c r="B7931" t="s">
        <v>201</v>
      </c>
      <c r="C7931" t="s">
        <v>114</v>
      </c>
      <c r="D7931">
        <v>1</v>
      </c>
      <c r="E7931">
        <v>23</v>
      </c>
      <c r="F7931">
        <v>1</v>
      </c>
      <c r="I7931">
        <v>2</v>
      </c>
      <c r="J7931">
        <v>13</v>
      </c>
      <c r="M7931" t="s">
        <v>8057</v>
      </c>
    </row>
    <row r="7932" spans="1:13">
      <c r="A7932" s="10">
        <v>46211</v>
      </c>
      <c r="B7932" t="s">
        <v>201</v>
      </c>
      <c r="C7932" t="s">
        <v>115</v>
      </c>
      <c r="D7932">
        <v>0</v>
      </c>
      <c r="E7932">
        <v>45</v>
      </c>
      <c r="F7932">
        <v>1</v>
      </c>
      <c r="I7932">
        <v>1</v>
      </c>
      <c r="J7932">
        <v>40</v>
      </c>
      <c r="M7932" t="s">
        <v>8058</v>
      </c>
    </row>
    <row r="7933" spans="1:13">
      <c r="A7933" s="10">
        <v>46211</v>
      </c>
      <c r="B7933" t="s">
        <v>201</v>
      </c>
      <c r="C7933" t="s">
        <v>116</v>
      </c>
      <c r="D7933">
        <v>1</v>
      </c>
      <c r="E7933">
        <v>45</v>
      </c>
      <c r="F7933">
        <v>1</v>
      </c>
      <c r="I7933">
        <v>2</v>
      </c>
      <c r="J7933">
        <v>41</v>
      </c>
      <c r="M7933" t="s">
        <v>8059</v>
      </c>
    </row>
    <row r="7934" spans="1:13">
      <c r="A7934" s="10">
        <v>46211</v>
      </c>
      <c r="B7934" t="s">
        <v>201</v>
      </c>
      <c r="C7934" t="s">
        <v>119</v>
      </c>
      <c r="D7934">
        <v>4</v>
      </c>
      <c r="E7934">
        <v>0</v>
      </c>
      <c r="I7934">
        <v>4</v>
      </c>
      <c r="M7934" t="s">
        <v>8060</v>
      </c>
    </row>
    <row r="7935" spans="1:13">
      <c r="A7935" s="10">
        <v>46211</v>
      </c>
      <c r="B7935" t="s">
        <v>201</v>
      </c>
      <c r="C7935" t="s">
        <v>120</v>
      </c>
      <c r="D7935">
        <v>1</v>
      </c>
      <c r="E7935">
        <v>0</v>
      </c>
      <c r="I7935">
        <v>1</v>
      </c>
      <c r="M7935" t="s">
        <v>8061</v>
      </c>
    </row>
    <row r="7936" spans="1:13">
      <c r="A7936" s="10">
        <v>46211</v>
      </c>
      <c r="B7936" t="s">
        <v>201</v>
      </c>
      <c r="C7936" t="s">
        <v>121</v>
      </c>
      <c r="D7936">
        <v>2</v>
      </c>
      <c r="E7936">
        <v>0</v>
      </c>
      <c r="I7936">
        <v>2</v>
      </c>
      <c r="M7936" t="s">
        <v>8062</v>
      </c>
    </row>
    <row r="7937" spans="1:13">
      <c r="A7937" s="10">
        <v>46211</v>
      </c>
      <c r="B7937" t="s">
        <v>201</v>
      </c>
      <c r="C7937" t="s">
        <v>123</v>
      </c>
      <c r="D7937">
        <v>1</v>
      </c>
      <c r="E7937">
        <v>0</v>
      </c>
      <c r="F7937">
        <v>1</v>
      </c>
      <c r="I7937">
        <v>2</v>
      </c>
      <c r="M7937" t="s">
        <v>8063</v>
      </c>
    </row>
    <row r="7938" spans="1:13">
      <c r="A7938" s="10">
        <v>46211</v>
      </c>
      <c r="B7938" t="s">
        <v>201</v>
      </c>
      <c r="C7938" t="s">
        <v>124</v>
      </c>
      <c r="D7938">
        <v>1</v>
      </c>
      <c r="E7938">
        <v>0</v>
      </c>
      <c r="F7938">
        <v>1</v>
      </c>
      <c r="I7938">
        <v>2</v>
      </c>
      <c r="M7938" t="s">
        <v>8064</v>
      </c>
    </row>
    <row r="7939" spans="1:13">
      <c r="A7939" s="10">
        <v>46211</v>
      </c>
      <c r="B7939" t="s">
        <v>201</v>
      </c>
      <c r="C7939" t="s">
        <v>125</v>
      </c>
      <c r="D7939">
        <v>1</v>
      </c>
      <c r="E7939">
        <v>0</v>
      </c>
      <c r="F7939">
        <v>1</v>
      </c>
      <c r="I7939">
        <v>2</v>
      </c>
      <c r="M7939" t="s">
        <v>8065</v>
      </c>
    </row>
    <row r="7940" spans="1:13">
      <c r="A7940" s="10">
        <v>46211</v>
      </c>
      <c r="B7940" t="s">
        <v>201</v>
      </c>
      <c r="C7940" t="s">
        <v>126</v>
      </c>
      <c r="D7940">
        <v>2</v>
      </c>
      <c r="E7940">
        <v>0</v>
      </c>
      <c r="I7940">
        <v>2</v>
      </c>
      <c r="M7940" t="s">
        <v>8066</v>
      </c>
    </row>
    <row r="7941" spans="1:13">
      <c r="A7941" s="10">
        <v>46211</v>
      </c>
      <c r="B7941" t="s">
        <v>201</v>
      </c>
      <c r="C7941" t="s">
        <v>128</v>
      </c>
      <c r="D7941">
        <v>2</v>
      </c>
      <c r="E7941">
        <v>0</v>
      </c>
      <c r="I7941">
        <v>2</v>
      </c>
      <c r="M7941" t="s">
        <v>8067</v>
      </c>
    </row>
    <row r="7942" spans="1:13">
      <c r="A7942" s="10">
        <v>46211</v>
      </c>
      <c r="B7942" t="s">
        <v>201</v>
      </c>
      <c r="C7942" t="s">
        <v>130</v>
      </c>
      <c r="D7942">
        <v>2</v>
      </c>
      <c r="E7942">
        <v>0</v>
      </c>
      <c r="F7942">
        <v>3</v>
      </c>
      <c r="I7942">
        <v>5</v>
      </c>
      <c r="M7942" t="s">
        <v>8068</v>
      </c>
    </row>
    <row r="7943" spans="1:13">
      <c r="A7943" s="10">
        <v>46211</v>
      </c>
      <c r="B7943" t="s">
        <v>201</v>
      </c>
      <c r="C7943" t="s">
        <v>285</v>
      </c>
      <c r="D7943">
        <v>2</v>
      </c>
      <c r="E7943">
        <v>0</v>
      </c>
      <c r="I7943">
        <v>2</v>
      </c>
      <c r="M7943" t="s">
        <v>8069</v>
      </c>
    </row>
    <row r="7944" spans="1:13">
      <c r="A7944" s="10">
        <v>46211</v>
      </c>
      <c r="B7944" t="s">
        <v>201</v>
      </c>
      <c r="C7944" t="s">
        <v>287</v>
      </c>
      <c r="D7944">
        <v>5</v>
      </c>
      <c r="E7944">
        <v>0</v>
      </c>
      <c r="I7944">
        <v>5</v>
      </c>
      <c r="M7944" t="s">
        <v>8070</v>
      </c>
    </row>
    <row r="7945" spans="1:13">
      <c r="A7945" s="10">
        <v>46211</v>
      </c>
      <c r="B7945" t="s">
        <v>201</v>
      </c>
      <c r="C7945" t="s">
        <v>289</v>
      </c>
      <c r="D7945">
        <v>0</v>
      </c>
      <c r="E7945">
        <v>0</v>
      </c>
      <c r="F7945">
        <v>2</v>
      </c>
      <c r="I7945">
        <v>2</v>
      </c>
      <c r="M7945" t="s">
        <v>8071</v>
      </c>
    </row>
    <row r="7946" spans="1:13">
      <c r="A7946" s="10">
        <v>46211</v>
      </c>
      <c r="B7946" t="s">
        <v>201</v>
      </c>
      <c r="C7946" t="s">
        <v>291</v>
      </c>
      <c r="D7946">
        <v>0</v>
      </c>
      <c r="E7946">
        <v>0</v>
      </c>
      <c r="I7946">
        <v>0</v>
      </c>
      <c r="M7946" t="s">
        <v>8072</v>
      </c>
    </row>
    <row r="7947" spans="1:13">
      <c r="A7947" s="10">
        <v>46211</v>
      </c>
      <c r="B7947" t="s">
        <v>201</v>
      </c>
      <c r="C7947" t="s">
        <v>293</v>
      </c>
      <c r="D7947">
        <v>1</v>
      </c>
      <c r="E7947">
        <v>0</v>
      </c>
      <c r="F7947">
        <v>2</v>
      </c>
      <c r="I7947">
        <v>3</v>
      </c>
      <c r="M7947" t="s">
        <v>8073</v>
      </c>
    </row>
    <row r="7948" spans="1:13">
      <c r="A7948" s="10">
        <v>46211</v>
      </c>
      <c r="B7948" t="s">
        <v>201</v>
      </c>
      <c r="C7948" s="135" t="s">
        <v>138</v>
      </c>
      <c r="D7948">
        <v>0</v>
      </c>
      <c r="E7948">
        <v>27</v>
      </c>
      <c r="G7948">
        <v>25</v>
      </c>
      <c r="I7948">
        <v>0</v>
      </c>
      <c r="J7948">
        <v>51</v>
      </c>
      <c r="M7948" t="s">
        <v>8074</v>
      </c>
    </row>
    <row r="7949" spans="1:13">
      <c r="A7949" s="10">
        <v>46211</v>
      </c>
      <c r="B7949" t="s">
        <v>201</v>
      </c>
      <c r="C7949" s="135" t="s">
        <v>139</v>
      </c>
      <c r="D7949">
        <v>0</v>
      </c>
      <c r="E7949">
        <v>32</v>
      </c>
      <c r="I7949">
        <v>0</v>
      </c>
      <c r="J7949">
        <v>31</v>
      </c>
      <c r="M7949" t="s">
        <v>8075</v>
      </c>
    </row>
    <row r="7950" spans="1:13">
      <c r="A7950" s="10">
        <v>46211</v>
      </c>
      <c r="B7950" t="s">
        <v>201</v>
      </c>
      <c r="C7950" s="135" t="s">
        <v>140</v>
      </c>
      <c r="D7950">
        <v>0</v>
      </c>
      <c r="E7950">
        <v>47</v>
      </c>
      <c r="I7950">
        <v>0</v>
      </c>
      <c r="J7950">
        <v>47</v>
      </c>
      <c r="M7950" t="s">
        <v>8076</v>
      </c>
    </row>
    <row r="7951" spans="1:13">
      <c r="A7951" s="10">
        <v>46211</v>
      </c>
      <c r="B7951" t="s">
        <v>201</v>
      </c>
      <c r="C7951" s="135" t="s">
        <v>141</v>
      </c>
      <c r="D7951">
        <v>0</v>
      </c>
      <c r="E7951">
        <v>453</v>
      </c>
      <c r="I7951">
        <v>0</v>
      </c>
      <c r="J7951">
        <v>1</v>
      </c>
      <c r="M7951" t="s">
        <v>8077</v>
      </c>
    </row>
    <row r="7952" spans="1:13">
      <c r="A7952" s="10">
        <v>46211</v>
      </c>
      <c r="B7952" t="s">
        <v>201</v>
      </c>
      <c r="C7952" s="135" t="s">
        <v>143</v>
      </c>
      <c r="D7952">
        <v>0</v>
      </c>
      <c r="E7952">
        <v>22</v>
      </c>
      <c r="G7952">
        <v>30</v>
      </c>
      <c r="I7952">
        <v>0</v>
      </c>
      <c r="J7952">
        <v>49</v>
      </c>
      <c r="M7952" t="s">
        <v>8078</v>
      </c>
    </row>
    <row r="7953" spans="1:13">
      <c r="A7953" s="10">
        <v>46211</v>
      </c>
      <c r="B7953" t="s">
        <v>201</v>
      </c>
      <c r="C7953" s="135" t="s">
        <v>145</v>
      </c>
      <c r="D7953">
        <v>0</v>
      </c>
      <c r="E7953">
        <v>25</v>
      </c>
      <c r="G7953">
        <v>20</v>
      </c>
      <c r="I7953">
        <v>0</v>
      </c>
      <c r="J7953">
        <v>44</v>
      </c>
      <c r="M7953" t="s">
        <v>8079</v>
      </c>
    </row>
    <row r="7954" spans="1:13">
      <c r="A7954" s="10">
        <v>46211</v>
      </c>
      <c r="B7954" t="s">
        <v>201</v>
      </c>
      <c r="C7954" s="135" t="s">
        <v>147</v>
      </c>
      <c r="D7954">
        <v>0</v>
      </c>
      <c r="E7954">
        <v>40</v>
      </c>
      <c r="I7954">
        <v>0</v>
      </c>
      <c r="J7954">
        <v>40</v>
      </c>
      <c r="M7954" t="s">
        <v>8080</v>
      </c>
    </row>
    <row r="7955" spans="1:13">
      <c r="A7955" s="10">
        <v>46211</v>
      </c>
      <c r="B7955" t="s">
        <v>201</v>
      </c>
      <c r="C7955" t="s">
        <v>302</v>
      </c>
      <c r="D7955">
        <v>1</v>
      </c>
      <c r="E7955">
        <v>0</v>
      </c>
      <c r="I7955">
        <v>1</v>
      </c>
      <c r="M7955" t="s">
        <v>8081</v>
      </c>
    </row>
    <row r="7956" spans="1:13">
      <c r="A7956" s="10">
        <v>46211</v>
      </c>
      <c r="B7956" t="s">
        <v>201</v>
      </c>
      <c r="C7956" t="s">
        <v>150</v>
      </c>
      <c r="D7956">
        <v>3</v>
      </c>
      <c r="E7956">
        <v>0</v>
      </c>
      <c r="I7956">
        <v>3</v>
      </c>
      <c r="M7956" t="s">
        <v>8082</v>
      </c>
    </row>
    <row r="7957" spans="1:13">
      <c r="A7957" s="10">
        <v>46211</v>
      </c>
      <c r="B7957" t="s">
        <v>201</v>
      </c>
      <c r="C7957" t="s">
        <v>151</v>
      </c>
      <c r="D7957">
        <v>2</v>
      </c>
      <c r="E7957">
        <v>0</v>
      </c>
      <c r="I7957">
        <v>2</v>
      </c>
      <c r="M7957" t="s">
        <v>8083</v>
      </c>
    </row>
    <row r="7958" spans="1:13">
      <c r="A7958" s="10">
        <v>46211</v>
      </c>
      <c r="B7958" t="s">
        <v>201</v>
      </c>
      <c r="C7958" t="s">
        <v>152</v>
      </c>
      <c r="D7958">
        <v>2</v>
      </c>
      <c r="E7958">
        <v>0</v>
      </c>
      <c r="I7958">
        <v>2</v>
      </c>
      <c r="M7958" t="s">
        <v>8084</v>
      </c>
    </row>
    <row r="7959" spans="1:13">
      <c r="A7959" s="10">
        <v>46211</v>
      </c>
      <c r="B7959" t="s">
        <v>201</v>
      </c>
      <c r="C7959" t="s">
        <v>153</v>
      </c>
      <c r="D7959">
        <v>2</v>
      </c>
      <c r="E7959">
        <v>0</v>
      </c>
      <c r="I7959">
        <v>2</v>
      </c>
      <c r="M7959" t="s">
        <v>8085</v>
      </c>
    </row>
    <row r="7960" spans="1:13">
      <c r="A7960" s="10">
        <v>46211</v>
      </c>
      <c r="B7960" t="s">
        <v>201</v>
      </c>
      <c r="C7960" t="s">
        <v>308</v>
      </c>
      <c r="D7960">
        <v>0</v>
      </c>
      <c r="E7960">
        <v>3</v>
      </c>
      <c r="G7960">
        <v>1</v>
      </c>
      <c r="I7960">
        <v>0</v>
      </c>
      <c r="J7960">
        <v>4</v>
      </c>
      <c r="M7960" t="s">
        <v>8086</v>
      </c>
    </row>
    <row r="7961" spans="1:13">
      <c r="A7961" s="10">
        <v>46211</v>
      </c>
      <c r="B7961" t="s">
        <v>201</v>
      </c>
      <c r="C7961" t="s">
        <v>310</v>
      </c>
      <c r="D7961">
        <v>0</v>
      </c>
      <c r="E7961">
        <v>2</v>
      </c>
      <c r="I7961">
        <v>0</v>
      </c>
      <c r="J7961">
        <v>2</v>
      </c>
      <c r="M7961" t="s">
        <v>8087</v>
      </c>
    </row>
    <row r="7962" spans="1:13">
      <c r="A7962" s="10">
        <v>46211</v>
      </c>
      <c r="B7962" t="s">
        <v>201</v>
      </c>
      <c r="C7962" t="s">
        <v>312</v>
      </c>
      <c r="D7962">
        <v>0</v>
      </c>
      <c r="E7962">
        <v>2</v>
      </c>
      <c r="G7962">
        <v>4</v>
      </c>
      <c r="I7962">
        <v>0</v>
      </c>
      <c r="J7962">
        <v>6</v>
      </c>
      <c r="M7962" t="s">
        <v>8088</v>
      </c>
    </row>
    <row r="7963" spans="1:13">
      <c r="A7963" s="10">
        <v>46211</v>
      </c>
      <c r="B7963" t="s">
        <v>201</v>
      </c>
      <c r="C7963" t="s">
        <v>314</v>
      </c>
      <c r="D7963">
        <v>1</v>
      </c>
      <c r="E7963">
        <v>0</v>
      </c>
      <c r="I7963">
        <v>1</v>
      </c>
      <c r="M7963" t="s">
        <v>8089</v>
      </c>
    </row>
    <row r="7964" spans="1:13">
      <c r="A7964" s="10">
        <v>46211</v>
      </c>
      <c r="B7964" t="s">
        <v>201</v>
      </c>
      <c r="C7964" t="s">
        <v>316</v>
      </c>
      <c r="D7964">
        <v>1</v>
      </c>
      <c r="E7964">
        <v>0</v>
      </c>
      <c r="I7964">
        <v>1</v>
      </c>
      <c r="M7964" t="s">
        <v>8090</v>
      </c>
    </row>
    <row r="7965" spans="1:13">
      <c r="A7965" s="10">
        <v>46211</v>
      </c>
      <c r="B7965" t="s">
        <v>201</v>
      </c>
      <c r="C7965" t="s">
        <v>318</v>
      </c>
      <c r="D7965">
        <v>0</v>
      </c>
      <c r="E7965">
        <v>0</v>
      </c>
      <c r="F7965">
        <v>4</v>
      </c>
      <c r="I7965">
        <v>4</v>
      </c>
      <c r="M7965" t="s">
        <v>8091</v>
      </c>
    </row>
    <row r="7966" spans="1:13">
      <c r="A7966" s="10">
        <v>46211</v>
      </c>
      <c r="B7966" t="s">
        <v>201</v>
      </c>
      <c r="C7966" t="s">
        <v>320</v>
      </c>
      <c r="D7966">
        <v>1</v>
      </c>
      <c r="E7966">
        <v>0</v>
      </c>
      <c r="F7966">
        <v>2</v>
      </c>
      <c r="I7966">
        <v>2</v>
      </c>
      <c r="M7966" t="s">
        <v>8092</v>
      </c>
    </row>
    <row r="7967" spans="1:13">
      <c r="A7967" s="10">
        <v>46211</v>
      </c>
      <c r="B7967" t="s">
        <v>201</v>
      </c>
      <c r="C7967" t="s">
        <v>322</v>
      </c>
      <c r="D7967">
        <v>1</v>
      </c>
      <c r="E7967">
        <v>0</v>
      </c>
      <c r="I7967">
        <v>1</v>
      </c>
      <c r="M7967" t="s">
        <v>8093</v>
      </c>
    </row>
    <row r="7968" spans="1:13">
      <c r="A7968" s="10">
        <v>46211</v>
      </c>
      <c r="B7968" t="s">
        <v>201</v>
      </c>
      <c r="C7968" s="135" t="s">
        <v>168</v>
      </c>
      <c r="D7968">
        <v>1</v>
      </c>
      <c r="E7968">
        <v>0</v>
      </c>
      <c r="I7968">
        <v>1</v>
      </c>
      <c r="M7968" t="s">
        <v>8094</v>
      </c>
    </row>
    <row r="7969" spans="1:13">
      <c r="A7969" s="10">
        <v>46211</v>
      </c>
      <c r="B7969" t="s">
        <v>201</v>
      </c>
      <c r="C7969" s="135" t="s">
        <v>170</v>
      </c>
      <c r="D7969">
        <v>1</v>
      </c>
      <c r="E7969">
        <v>0</v>
      </c>
      <c r="I7969">
        <v>1</v>
      </c>
      <c r="M7969" t="s">
        <v>8095</v>
      </c>
    </row>
    <row r="7970" spans="1:13">
      <c r="A7970" s="10">
        <v>46211</v>
      </c>
      <c r="B7970" t="s">
        <v>201</v>
      </c>
      <c r="C7970" s="135" t="s">
        <v>171</v>
      </c>
      <c r="D7970">
        <v>2</v>
      </c>
      <c r="E7970">
        <v>0</v>
      </c>
      <c r="I7970">
        <v>2</v>
      </c>
      <c r="M7970" t="s">
        <v>8096</v>
      </c>
    </row>
    <row r="7971" spans="1:13">
      <c r="A7971" s="10">
        <v>46211</v>
      </c>
      <c r="B7971" t="s">
        <v>201</v>
      </c>
      <c r="C7971" s="135" t="s">
        <v>172</v>
      </c>
      <c r="D7971">
        <v>1</v>
      </c>
      <c r="E7971">
        <v>0</v>
      </c>
      <c r="I7971">
        <v>1</v>
      </c>
      <c r="M7971" t="s">
        <v>8097</v>
      </c>
    </row>
    <row r="7972" spans="1:13">
      <c r="A7972" s="10">
        <v>46211</v>
      </c>
      <c r="B7972" t="s">
        <v>201</v>
      </c>
      <c r="C7972" s="135" t="s">
        <v>173</v>
      </c>
      <c r="D7972">
        <v>0</v>
      </c>
      <c r="E7972">
        <v>0</v>
      </c>
      <c r="I7972">
        <v>0</v>
      </c>
      <c r="M7972" t="s">
        <v>8098</v>
      </c>
    </row>
    <row r="7973" spans="1:13">
      <c r="A7973" s="10">
        <v>46211</v>
      </c>
      <c r="B7973" t="s">
        <v>201</v>
      </c>
      <c r="C7973" t="s">
        <v>176</v>
      </c>
      <c r="D7973">
        <v>0</v>
      </c>
      <c r="E7973">
        <v>21</v>
      </c>
      <c r="I7973">
        <v>0</v>
      </c>
      <c r="J7973">
        <v>21</v>
      </c>
      <c r="M7973" t="s">
        <v>8099</v>
      </c>
    </row>
    <row r="7974" spans="1:13">
      <c r="A7974" s="10">
        <v>46211</v>
      </c>
      <c r="B7974" t="s">
        <v>201</v>
      </c>
      <c r="C7974" t="s">
        <v>178</v>
      </c>
      <c r="D7974">
        <v>0</v>
      </c>
      <c r="E7974">
        <v>21</v>
      </c>
      <c r="I7974">
        <v>0</v>
      </c>
      <c r="J7974">
        <v>21</v>
      </c>
      <c r="M7974" t="s">
        <v>8100</v>
      </c>
    </row>
    <row r="7975" spans="1:13">
      <c r="A7975" s="10">
        <v>46211</v>
      </c>
      <c r="B7975" t="s">
        <v>201</v>
      </c>
      <c r="C7975" t="s">
        <v>179</v>
      </c>
      <c r="D7975">
        <v>0</v>
      </c>
      <c r="E7975">
        <v>14</v>
      </c>
      <c r="I7975">
        <v>0</v>
      </c>
      <c r="J7975">
        <v>14</v>
      </c>
      <c r="M7975" t="s">
        <v>8101</v>
      </c>
    </row>
    <row r="7976" spans="1:13">
      <c r="A7976" s="10">
        <v>46211</v>
      </c>
      <c r="B7976" t="s">
        <v>201</v>
      </c>
      <c r="C7976" t="s">
        <v>180</v>
      </c>
      <c r="D7976">
        <v>0</v>
      </c>
      <c r="E7976">
        <v>12</v>
      </c>
      <c r="G7976">
        <v>10</v>
      </c>
      <c r="H7976">
        <v>1</v>
      </c>
      <c r="I7976">
        <v>0</v>
      </c>
      <c r="J7976">
        <v>21</v>
      </c>
      <c r="M7976" t="s">
        <v>8102</v>
      </c>
    </row>
    <row r="7977" spans="1:13">
      <c r="A7977" s="10">
        <v>46211</v>
      </c>
      <c r="B7977" t="s">
        <v>201</v>
      </c>
      <c r="C7977" s="135" t="s">
        <v>182</v>
      </c>
      <c r="D7977">
        <v>1</v>
      </c>
      <c r="E7977">
        <v>150</v>
      </c>
      <c r="I7977">
        <v>1</v>
      </c>
      <c r="J7977">
        <v>150</v>
      </c>
      <c r="M7977" t="s">
        <v>8103</v>
      </c>
    </row>
    <row r="7978" spans="1:13">
      <c r="A7978" s="10">
        <v>46211</v>
      </c>
      <c r="B7978" t="s">
        <v>201</v>
      </c>
      <c r="C7978" s="135" t="s">
        <v>184</v>
      </c>
      <c r="D7978">
        <v>2</v>
      </c>
      <c r="E7978">
        <v>28</v>
      </c>
      <c r="I7978">
        <v>2</v>
      </c>
      <c r="J7978">
        <v>25</v>
      </c>
      <c r="M7978" t="s">
        <v>8104</v>
      </c>
    </row>
    <row r="7979" spans="1:13">
      <c r="A7979" s="10">
        <v>46211</v>
      </c>
      <c r="B7979" t="s">
        <v>201</v>
      </c>
      <c r="C7979" s="135" t="s">
        <v>185</v>
      </c>
      <c r="D7979">
        <v>1</v>
      </c>
      <c r="E7979">
        <v>20</v>
      </c>
      <c r="I7979">
        <v>1</v>
      </c>
      <c r="J7979">
        <v>20</v>
      </c>
      <c r="M7979" t="s">
        <v>8105</v>
      </c>
    </row>
    <row r="7980" spans="1:13">
      <c r="A7980" s="10">
        <v>46211</v>
      </c>
      <c r="B7980" t="s">
        <v>201</v>
      </c>
      <c r="C7980" s="135" t="s">
        <v>186</v>
      </c>
      <c r="D7980">
        <v>1</v>
      </c>
      <c r="E7980">
        <v>490</v>
      </c>
      <c r="I7980">
        <v>1</v>
      </c>
      <c r="J7980">
        <v>490</v>
      </c>
      <c r="M7980" t="s">
        <v>8106</v>
      </c>
    </row>
    <row r="7981" spans="1:13">
      <c r="A7981" s="10">
        <v>46211</v>
      </c>
      <c r="B7981" t="s">
        <v>201</v>
      </c>
      <c r="C7981" t="s">
        <v>337</v>
      </c>
      <c r="D7981">
        <v>1</v>
      </c>
      <c r="E7981">
        <v>309</v>
      </c>
      <c r="H7981">
        <v>1</v>
      </c>
      <c r="I7981">
        <v>2</v>
      </c>
      <c r="J7981">
        <v>299</v>
      </c>
      <c r="M7981" t="s">
        <v>8107</v>
      </c>
    </row>
    <row r="7982" spans="1:13">
      <c r="A7982" s="10">
        <v>46211</v>
      </c>
      <c r="B7982" t="s">
        <v>201</v>
      </c>
      <c r="C7982" t="s">
        <v>339</v>
      </c>
      <c r="D7982">
        <v>0</v>
      </c>
      <c r="E7982">
        <v>0</v>
      </c>
      <c r="I7982">
        <v>0</v>
      </c>
      <c r="J7982">
        <v>0</v>
      </c>
      <c r="M7982" t="s">
        <v>8108</v>
      </c>
    </row>
    <row r="7983" spans="1:13">
      <c r="A7983" s="10">
        <v>46211</v>
      </c>
      <c r="B7983" t="s">
        <v>201</v>
      </c>
      <c r="C7983" s="135" t="s">
        <v>191</v>
      </c>
      <c r="D7983">
        <v>1</v>
      </c>
      <c r="E7983">
        <v>266</v>
      </c>
      <c r="I7983">
        <v>1</v>
      </c>
      <c r="J7983">
        <v>243</v>
      </c>
      <c r="M7983" t="s">
        <v>8109</v>
      </c>
    </row>
    <row r="7984" spans="1:13">
      <c r="A7984" s="10">
        <v>46211</v>
      </c>
      <c r="B7984" t="s">
        <v>201</v>
      </c>
      <c r="C7984" s="135" t="s">
        <v>193</v>
      </c>
      <c r="D7984">
        <v>1</v>
      </c>
      <c r="E7984">
        <v>212</v>
      </c>
      <c r="I7984">
        <v>1</v>
      </c>
      <c r="J7984">
        <v>171</v>
      </c>
      <c r="M7984" t="s">
        <v>8110</v>
      </c>
    </row>
    <row r="7985" spans="1:13">
      <c r="A7985" s="10">
        <v>46211</v>
      </c>
      <c r="B7985" t="s">
        <v>201</v>
      </c>
      <c r="C7985" s="135" t="s">
        <v>194</v>
      </c>
      <c r="D7985">
        <v>1</v>
      </c>
      <c r="E7985">
        <v>38</v>
      </c>
      <c r="I7985">
        <v>1</v>
      </c>
      <c r="J7985">
        <v>38</v>
      </c>
      <c r="M7985" t="s">
        <v>8111</v>
      </c>
    </row>
    <row r="7986" spans="1:13">
      <c r="A7986" s="10">
        <v>46211</v>
      </c>
      <c r="B7986" t="s">
        <v>201</v>
      </c>
      <c r="C7986" s="135" t="s">
        <v>196</v>
      </c>
      <c r="D7986">
        <v>0</v>
      </c>
      <c r="E7986">
        <v>690</v>
      </c>
      <c r="I7986">
        <v>0</v>
      </c>
      <c r="J7986">
        <v>690</v>
      </c>
      <c r="M7986" t="s">
        <v>8112</v>
      </c>
    </row>
    <row r="7987" spans="1:13">
      <c r="A7987" s="10">
        <v>46211</v>
      </c>
      <c r="B7987" t="s">
        <v>201</v>
      </c>
      <c r="C7987" s="135" t="s">
        <v>199</v>
      </c>
      <c r="D7987">
        <v>0</v>
      </c>
      <c r="E7987">
        <v>281</v>
      </c>
      <c r="I7987">
        <v>0</v>
      </c>
      <c r="J7987">
        <v>183</v>
      </c>
      <c r="M7987" t="s">
        <v>8113</v>
      </c>
    </row>
    <row r="7988" spans="1:13">
      <c r="A7988" s="10">
        <v>46211</v>
      </c>
      <c r="B7988" t="s">
        <v>201</v>
      </c>
      <c r="C7988" s="135" t="s">
        <v>200</v>
      </c>
      <c r="D7988">
        <v>0</v>
      </c>
      <c r="E7988">
        <v>336</v>
      </c>
      <c r="I7988">
        <v>0</v>
      </c>
      <c r="J7988">
        <v>256</v>
      </c>
      <c r="M7988" t="s">
        <v>8114</v>
      </c>
    </row>
    <row r="7989" spans="1:13">
      <c r="A7989" s="10">
        <v>46211</v>
      </c>
      <c r="B7989" t="s">
        <v>201</v>
      </c>
      <c r="C7989" s="135" t="s">
        <v>202</v>
      </c>
      <c r="D7989">
        <v>0</v>
      </c>
      <c r="E7989">
        <v>348</v>
      </c>
      <c r="I7989">
        <v>0</v>
      </c>
      <c r="J7989">
        <v>303</v>
      </c>
      <c r="M7989" t="s">
        <v>8115</v>
      </c>
    </row>
    <row r="7990" spans="1:13">
      <c r="A7990" s="10">
        <v>46212</v>
      </c>
      <c r="B7990" t="s">
        <v>201</v>
      </c>
      <c r="C7990" t="s">
        <v>23</v>
      </c>
      <c r="D7990">
        <v>6</v>
      </c>
      <c r="E7990">
        <v>1312</v>
      </c>
      <c r="I7990">
        <v>5</v>
      </c>
      <c r="J7990">
        <v>558</v>
      </c>
      <c r="M7990" t="s">
        <v>8116</v>
      </c>
    </row>
    <row r="7991" spans="1:13">
      <c r="A7991" s="10">
        <v>46212</v>
      </c>
      <c r="B7991" t="s">
        <v>201</v>
      </c>
      <c r="C7991" t="s">
        <v>26</v>
      </c>
      <c r="D7991">
        <v>2</v>
      </c>
      <c r="E7991">
        <v>530</v>
      </c>
      <c r="I7991">
        <v>2</v>
      </c>
      <c r="J7991">
        <v>433</v>
      </c>
      <c r="M7991" t="s">
        <v>8117</v>
      </c>
    </row>
    <row r="7992" spans="1:13">
      <c r="A7992" s="10">
        <v>46212</v>
      </c>
      <c r="B7992" t="s">
        <v>201</v>
      </c>
      <c r="C7992" t="s">
        <v>27</v>
      </c>
      <c r="D7992">
        <v>1</v>
      </c>
      <c r="E7992">
        <v>1225</v>
      </c>
      <c r="I7992">
        <v>1</v>
      </c>
      <c r="J7992">
        <v>286</v>
      </c>
      <c r="M7992" t="s">
        <v>8118</v>
      </c>
    </row>
    <row r="7993" spans="1:13">
      <c r="A7993" s="10">
        <v>46212</v>
      </c>
      <c r="B7993" t="s">
        <v>201</v>
      </c>
      <c r="C7993" t="s">
        <v>28</v>
      </c>
      <c r="D7993">
        <v>0</v>
      </c>
      <c r="E7993">
        <v>0</v>
      </c>
      <c r="I7993">
        <v>0</v>
      </c>
      <c r="J7993">
        <v>0</v>
      </c>
      <c r="M7993" t="s">
        <v>8119</v>
      </c>
    </row>
    <row r="7994" spans="1:13">
      <c r="A7994" s="10">
        <v>46212</v>
      </c>
      <c r="B7994" t="s">
        <v>201</v>
      </c>
      <c r="C7994" t="s">
        <v>29</v>
      </c>
      <c r="D7994">
        <v>0</v>
      </c>
      <c r="E7994">
        <v>870</v>
      </c>
      <c r="I7994">
        <v>0</v>
      </c>
      <c r="J7994">
        <v>848</v>
      </c>
      <c r="M7994" t="s">
        <v>8120</v>
      </c>
    </row>
    <row r="7995" spans="1:13">
      <c r="A7995" s="10">
        <v>46212</v>
      </c>
      <c r="B7995" t="s">
        <v>201</v>
      </c>
      <c r="C7995" t="s">
        <v>30</v>
      </c>
      <c r="D7995">
        <v>0</v>
      </c>
      <c r="E7995">
        <v>341</v>
      </c>
      <c r="I7995">
        <v>0</v>
      </c>
      <c r="J7995">
        <v>175</v>
      </c>
      <c r="M7995" t="s">
        <v>8121</v>
      </c>
    </row>
    <row r="7996" spans="1:13">
      <c r="A7996" s="10">
        <v>46212</v>
      </c>
      <c r="B7996" t="s">
        <v>201</v>
      </c>
      <c r="C7996" t="s">
        <v>31</v>
      </c>
      <c r="D7996">
        <v>1</v>
      </c>
      <c r="E7996">
        <v>648</v>
      </c>
      <c r="I7996">
        <v>1</v>
      </c>
      <c r="J7996">
        <v>411</v>
      </c>
      <c r="M7996" t="s">
        <v>8122</v>
      </c>
    </row>
    <row r="7997" spans="1:13">
      <c r="A7997" s="10">
        <v>46212</v>
      </c>
      <c r="B7997" t="s">
        <v>201</v>
      </c>
      <c r="C7997" t="s">
        <v>32</v>
      </c>
      <c r="D7997">
        <v>3</v>
      </c>
      <c r="E7997">
        <v>582</v>
      </c>
      <c r="I7997">
        <v>3</v>
      </c>
      <c r="J7997">
        <v>234</v>
      </c>
      <c r="M7997" t="s">
        <v>8123</v>
      </c>
    </row>
    <row r="7998" spans="1:13">
      <c r="A7998" s="10">
        <v>46212</v>
      </c>
      <c r="B7998" t="s">
        <v>201</v>
      </c>
      <c r="C7998" t="s">
        <v>223</v>
      </c>
      <c r="D7998">
        <v>5</v>
      </c>
      <c r="E7998">
        <v>619</v>
      </c>
      <c r="I7998">
        <v>5</v>
      </c>
      <c r="J7998">
        <v>96</v>
      </c>
      <c r="M7998" t="s">
        <v>8124</v>
      </c>
    </row>
    <row r="7999" spans="1:13">
      <c r="A7999" s="10">
        <v>46212</v>
      </c>
      <c r="B7999" t="s">
        <v>201</v>
      </c>
      <c r="C7999" t="s">
        <v>35</v>
      </c>
      <c r="D7999">
        <v>10</v>
      </c>
      <c r="E7999">
        <v>0</v>
      </c>
      <c r="H7999">
        <v>3</v>
      </c>
      <c r="I7999">
        <v>7</v>
      </c>
      <c r="M7999" t="s">
        <v>8125</v>
      </c>
    </row>
    <row r="8000" spans="1:13">
      <c r="A8000" s="10">
        <v>46212</v>
      </c>
      <c r="B8000" t="s">
        <v>201</v>
      </c>
      <c r="C8000" t="s">
        <v>37</v>
      </c>
      <c r="D8000">
        <v>5</v>
      </c>
      <c r="E8000">
        <v>0</v>
      </c>
      <c r="H8000">
        <v>1</v>
      </c>
      <c r="I8000">
        <v>4</v>
      </c>
      <c r="M8000" t="s">
        <v>8126</v>
      </c>
    </row>
    <row r="8001" spans="1:13">
      <c r="A8001" s="10">
        <v>46212</v>
      </c>
      <c r="B8001" t="s">
        <v>201</v>
      </c>
      <c r="C8001" t="s">
        <v>39</v>
      </c>
      <c r="D8001">
        <v>29</v>
      </c>
      <c r="E8001">
        <v>0</v>
      </c>
      <c r="H8001">
        <v>2</v>
      </c>
      <c r="I8001">
        <v>27</v>
      </c>
      <c r="M8001" t="s">
        <v>8127</v>
      </c>
    </row>
    <row r="8002" spans="1:13">
      <c r="A8002" s="10">
        <v>46212</v>
      </c>
      <c r="B8002" t="s">
        <v>201</v>
      </c>
      <c r="C8002" t="s">
        <v>41</v>
      </c>
      <c r="D8002">
        <v>21</v>
      </c>
      <c r="E8002">
        <v>0</v>
      </c>
      <c r="I8002">
        <v>21</v>
      </c>
      <c r="M8002" t="s">
        <v>8128</v>
      </c>
    </row>
    <row r="8003" spans="1:13">
      <c r="A8003" s="10">
        <v>46212</v>
      </c>
      <c r="B8003" t="s">
        <v>201</v>
      </c>
      <c r="C8003" s="135" t="s">
        <v>44</v>
      </c>
      <c r="D8003">
        <v>3</v>
      </c>
      <c r="E8003">
        <v>9029</v>
      </c>
      <c r="I8003">
        <v>3</v>
      </c>
      <c r="J8003">
        <v>7808</v>
      </c>
      <c r="M8003" t="s">
        <v>8129</v>
      </c>
    </row>
    <row r="8004" spans="1:13">
      <c r="A8004" s="10">
        <v>46212</v>
      </c>
      <c r="B8004" t="s">
        <v>201</v>
      </c>
      <c r="C8004" t="s">
        <v>230</v>
      </c>
      <c r="D8004">
        <v>1</v>
      </c>
      <c r="E8004">
        <v>244</v>
      </c>
      <c r="I8004">
        <v>1</v>
      </c>
      <c r="J8004">
        <v>238</v>
      </c>
      <c r="M8004" t="s">
        <v>8130</v>
      </c>
    </row>
    <row r="8005" spans="1:13">
      <c r="A8005" s="10">
        <v>46212</v>
      </c>
      <c r="B8005" t="s">
        <v>201</v>
      </c>
      <c r="C8005" t="s">
        <v>232</v>
      </c>
      <c r="D8005">
        <v>5</v>
      </c>
      <c r="E8005">
        <v>0</v>
      </c>
      <c r="I8005">
        <v>5</v>
      </c>
      <c r="M8005" t="s">
        <v>8131</v>
      </c>
    </row>
    <row r="8006" spans="1:13">
      <c r="A8006" s="10">
        <v>46212</v>
      </c>
      <c r="B8006" t="s">
        <v>201</v>
      </c>
      <c r="C8006" t="s">
        <v>234</v>
      </c>
      <c r="D8006">
        <v>96</v>
      </c>
      <c r="E8006">
        <v>0</v>
      </c>
      <c r="H8006">
        <v>4</v>
      </c>
      <c r="I8006">
        <v>92</v>
      </c>
      <c r="M8006" t="s">
        <v>8132</v>
      </c>
    </row>
    <row r="8007" spans="1:13">
      <c r="A8007" s="10">
        <v>46212</v>
      </c>
      <c r="B8007" t="s">
        <v>201</v>
      </c>
      <c r="C8007" t="s">
        <v>54</v>
      </c>
      <c r="D8007">
        <v>0</v>
      </c>
      <c r="E8007">
        <v>0</v>
      </c>
      <c r="I8007">
        <v>0</v>
      </c>
      <c r="M8007" t="s">
        <v>8133</v>
      </c>
    </row>
    <row r="8008" spans="1:13">
      <c r="A8008" s="10">
        <v>46212</v>
      </c>
      <c r="B8008" t="s">
        <v>201</v>
      </c>
      <c r="C8008" t="s">
        <v>237</v>
      </c>
      <c r="D8008">
        <v>9</v>
      </c>
      <c r="E8008">
        <v>0</v>
      </c>
      <c r="I8008">
        <v>9</v>
      </c>
      <c r="M8008" t="s">
        <v>8134</v>
      </c>
    </row>
    <row r="8009" spans="1:13">
      <c r="A8009" s="10">
        <v>46212</v>
      </c>
      <c r="B8009" t="s">
        <v>201</v>
      </c>
      <c r="C8009" s="135" t="s">
        <v>58</v>
      </c>
      <c r="D8009">
        <v>6</v>
      </c>
      <c r="E8009">
        <v>0</v>
      </c>
      <c r="H8009">
        <v>3</v>
      </c>
      <c r="I8009">
        <v>3</v>
      </c>
      <c r="M8009" t="s">
        <v>8135</v>
      </c>
    </row>
    <row r="8010" spans="1:13">
      <c r="A8010" s="10">
        <v>46212</v>
      </c>
      <c r="B8010" t="s">
        <v>201</v>
      </c>
      <c r="C8010" s="135" t="s">
        <v>60</v>
      </c>
      <c r="D8010">
        <v>7</v>
      </c>
      <c r="E8010">
        <v>0</v>
      </c>
      <c r="H8010">
        <v>1</v>
      </c>
      <c r="I8010">
        <v>6</v>
      </c>
      <c r="M8010" t="s">
        <v>8136</v>
      </c>
    </row>
    <row r="8011" spans="1:13">
      <c r="A8011" s="10">
        <v>46212</v>
      </c>
      <c r="B8011" t="s">
        <v>201</v>
      </c>
      <c r="C8011" s="135" t="s">
        <v>61</v>
      </c>
      <c r="D8011">
        <v>7</v>
      </c>
      <c r="E8011">
        <v>0</v>
      </c>
      <c r="H8011">
        <v>2</v>
      </c>
      <c r="I8011">
        <v>5</v>
      </c>
      <c r="M8011" t="s">
        <v>8137</v>
      </c>
    </row>
    <row r="8012" spans="1:13">
      <c r="A8012" s="10">
        <v>46212</v>
      </c>
      <c r="B8012" t="s">
        <v>201</v>
      </c>
      <c r="C8012" s="135" t="s">
        <v>62</v>
      </c>
      <c r="D8012">
        <v>10</v>
      </c>
      <c r="E8012">
        <v>0</v>
      </c>
      <c r="H8012">
        <v>1</v>
      </c>
      <c r="I8012">
        <v>9</v>
      </c>
      <c r="M8012" t="s">
        <v>8138</v>
      </c>
    </row>
    <row r="8013" spans="1:13">
      <c r="A8013" s="10">
        <v>46212</v>
      </c>
      <c r="B8013" t="s">
        <v>201</v>
      </c>
      <c r="C8013" s="135" t="s">
        <v>63</v>
      </c>
      <c r="D8013">
        <v>9</v>
      </c>
      <c r="E8013">
        <v>0</v>
      </c>
      <c r="H8013">
        <v>4</v>
      </c>
      <c r="I8013">
        <v>5</v>
      </c>
      <c r="M8013" t="s">
        <v>8139</v>
      </c>
    </row>
    <row r="8014" spans="1:13">
      <c r="A8014" s="10">
        <v>46212</v>
      </c>
      <c r="B8014" t="s">
        <v>201</v>
      </c>
      <c r="C8014" s="135" t="s">
        <v>64</v>
      </c>
      <c r="D8014">
        <v>9</v>
      </c>
      <c r="E8014">
        <v>0</v>
      </c>
      <c r="H8014">
        <v>2</v>
      </c>
      <c r="I8014">
        <v>7</v>
      </c>
      <c r="M8014" t="s">
        <v>8140</v>
      </c>
    </row>
    <row r="8015" spans="1:13">
      <c r="A8015" s="10">
        <v>46212</v>
      </c>
      <c r="B8015" t="s">
        <v>201</v>
      </c>
      <c r="C8015" t="s">
        <v>66</v>
      </c>
      <c r="D8015">
        <v>4</v>
      </c>
      <c r="E8015">
        <v>0</v>
      </c>
      <c r="I8015">
        <v>4</v>
      </c>
      <c r="M8015" t="s">
        <v>8141</v>
      </c>
    </row>
    <row r="8016" spans="1:13">
      <c r="A8016" s="10">
        <v>46212</v>
      </c>
      <c r="B8016" t="s">
        <v>201</v>
      </c>
      <c r="C8016" t="s">
        <v>67</v>
      </c>
      <c r="D8016">
        <v>4</v>
      </c>
      <c r="E8016">
        <v>0</v>
      </c>
      <c r="I8016">
        <v>4</v>
      </c>
      <c r="M8016" t="s">
        <v>8142</v>
      </c>
    </row>
    <row r="8017" spans="1:13">
      <c r="A8017" s="10">
        <v>46212</v>
      </c>
      <c r="B8017" t="s">
        <v>201</v>
      </c>
      <c r="C8017" t="s">
        <v>68</v>
      </c>
      <c r="D8017">
        <v>0</v>
      </c>
      <c r="E8017">
        <v>0</v>
      </c>
      <c r="I8017">
        <v>0</v>
      </c>
      <c r="M8017" t="s">
        <v>8143</v>
      </c>
    </row>
    <row r="8018" spans="1:13">
      <c r="A8018" s="10">
        <v>46212</v>
      </c>
      <c r="B8018" t="s">
        <v>201</v>
      </c>
      <c r="C8018" t="s">
        <v>71</v>
      </c>
      <c r="D8018">
        <v>1</v>
      </c>
      <c r="E8018">
        <v>437</v>
      </c>
      <c r="I8018">
        <v>1</v>
      </c>
      <c r="J8018">
        <v>359</v>
      </c>
      <c r="M8018" t="s">
        <v>8144</v>
      </c>
    </row>
    <row r="8019" spans="1:13">
      <c r="A8019" s="10">
        <v>46212</v>
      </c>
      <c r="B8019" t="s">
        <v>201</v>
      </c>
      <c r="C8019" t="s">
        <v>73</v>
      </c>
      <c r="D8019">
        <v>2</v>
      </c>
      <c r="E8019">
        <v>256</v>
      </c>
      <c r="I8019">
        <v>2</v>
      </c>
      <c r="J8019">
        <v>239</v>
      </c>
      <c r="M8019" t="s">
        <v>8145</v>
      </c>
    </row>
    <row r="8020" spans="1:13">
      <c r="A8020" s="10">
        <v>46212</v>
      </c>
      <c r="B8020" t="s">
        <v>201</v>
      </c>
      <c r="C8020" t="s">
        <v>75</v>
      </c>
      <c r="D8020">
        <v>0</v>
      </c>
      <c r="E8020">
        <v>386</v>
      </c>
      <c r="I8020">
        <v>0</v>
      </c>
      <c r="J8020">
        <v>386</v>
      </c>
      <c r="M8020" t="s">
        <v>8146</v>
      </c>
    </row>
    <row r="8021" spans="1:13">
      <c r="A8021" s="10">
        <v>46212</v>
      </c>
      <c r="B8021" t="s">
        <v>201</v>
      </c>
      <c r="C8021" t="s">
        <v>77</v>
      </c>
      <c r="D8021">
        <v>0</v>
      </c>
      <c r="E8021">
        <v>1068</v>
      </c>
      <c r="I8021">
        <v>0</v>
      </c>
      <c r="J8021">
        <v>978</v>
      </c>
      <c r="M8021" t="s">
        <v>8147</v>
      </c>
    </row>
    <row r="8022" spans="1:13">
      <c r="A8022" s="10">
        <v>46212</v>
      </c>
      <c r="B8022" t="s">
        <v>201</v>
      </c>
      <c r="C8022" t="s">
        <v>79</v>
      </c>
      <c r="D8022">
        <v>1</v>
      </c>
      <c r="E8022">
        <v>826</v>
      </c>
      <c r="I8022">
        <v>1</v>
      </c>
      <c r="J8022">
        <v>825</v>
      </c>
      <c r="M8022" t="s">
        <v>8148</v>
      </c>
    </row>
    <row r="8023" spans="1:13">
      <c r="A8023" s="10">
        <v>46212</v>
      </c>
      <c r="B8023" t="s">
        <v>201</v>
      </c>
      <c r="C8023" t="s">
        <v>81</v>
      </c>
      <c r="D8023">
        <v>1</v>
      </c>
      <c r="E8023">
        <v>527</v>
      </c>
      <c r="I8023">
        <v>1</v>
      </c>
      <c r="J8023">
        <v>508</v>
      </c>
      <c r="M8023" t="s">
        <v>8149</v>
      </c>
    </row>
    <row r="8024" spans="1:13">
      <c r="A8024" s="10">
        <v>46212</v>
      </c>
      <c r="B8024" t="s">
        <v>201</v>
      </c>
      <c r="C8024" t="s">
        <v>83</v>
      </c>
      <c r="D8024">
        <v>1</v>
      </c>
      <c r="E8024">
        <v>342</v>
      </c>
      <c r="I8024">
        <v>1</v>
      </c>
      <c r="J8024">
        <v>328</v>
      </c>
      <c r="M8024" t="s">
        <v>8150</v>
      </c>
    </row>
    <row r="8025" spans="1:13">
      <c r="A8025" s="10">
        <v>46212</v>
      </c>
      <c r="B8025" t="s">
        <v>201</v>
      </c>
      <c r="C8025" t="s">
        <v>84</v>
      </c>
      <c r="D8025">
        <v>2</v>
      </c>
      <c r="E8025">
        <v>232</v>
      </c>
      <c r="I8025">
        <v>2</v>
      </c>
      <c r="J8025">
        <v>212</v>
      </c>
      <c r="M8025" t="s">
        <v>8151</v>
      </c>
    </row>
    <row r="8026" spans="1:13">
      <c r="A8026" s="10">
        <v>46212</v>
      </c>
      <c r="B8026" t="s">
        <v>201</v>
      </c>
      <c r="C8026" t="s">
        <v>85</v>
      </c>
      <c r="D8026">
        <v>0</v>
      </c>
      <c r="E8026">
        <v>131</v>
      </c>
      <c r="I8026">
        <v>0</v>
      </c>
      <c r="J8026">
        <v>131</v>
      </c>
      <c r="M8026" t="s">
        <v>8152</v>
      </c>
    </row>
    <row r="8027" spans="1:13">
      <c r="A8027" s="10">
        <v>46212</v>
      </c>
      <c r="B8027" t="s">
        <v>201</v>
      </c>
      <c r="C8027" t="s">
        <v>87</v>
      </c>
      <c r="D8027">
        <v>2</v>
      </c>
      <c r="E8027">
        <v>319</v>
      </c>
      <c r="I8027">
        <v>2</v>
      </c>
      <c r="J8027">
        <v>310</v>
      </c>
      <c r="M8027" t="s">
        <v>8153</v>
      </c>
    </row>
    <row r="8028" spans="1:13">
      <c r="A8028" s="10">
        <v>46212</v>
      </c>
      <c r="B8028" t="s">
        <v>201</v>
      </c>
      <c r="C8028" t="s">
        <v>88</v>
      </c>
      <c r="D8028">
        <v>1</v>
      </c>
      <c r="E8028">
        <v>236</v>
      </c>
      <c r="I8028">
        <v>1</v>
      </c>
      <c r="J8028">
        <v>233</v>
      </c>
      <c r="M8028" t="s">
        <v>8154</v>
      </c>
    </row>
    <row r="8029" spans="1:13">
      <c r="A8029" s="10">
        <v>46212</v>
      </c>
      <c r="B8029" t="s">
        <v>201</v>
      </c>
      <c r="C8029" t="s">
        <v>89</v>
      </c>
      <c r="D8029">
        <v>1</v>
      </c>
      <c r="E8029">
        <v>166</v>
      </c>
      <c r="I8029">
        <v>1</v>
      </c>
      <c r="J8029">
        <v>166</v>
      </c>
      <c r="M8029" t="s">
        <v>8155</v>
      </c>
    </row>
    <row r="8030" spans="1:13">
      <c r="A8030" s="10">
        <v>46212</v>
      </c>
      <c r="B8030" t="s">
        <v>201</v>
      </c>
      <c r="C8030" t="s">
        <v>90</v>
      </c>
      <c r="D8030">
        <v>1</v>
      </c>
      <c r="E8030">
        <v>964</v>
      </c>
      <c r="I8030">
        <v>1</v>
      </c>
      <c r="J8030">
        <v>806</v>
      </c>
      <c r="M8030" t="s">
        <v>8156</v>
      </c>
    </row>
    <row r="8031" spans="1:13">
      <c r="A8031" s="10">
        <v>46212</v>
      </c>
      <c r="B8031" t="s">
        <v>201</v>
      </c>
      <c r="C8031" t="s">
        <v>92</v>
      </c>
      <c r="D8031">
        <v>1</v>
      </c>
      <c r="E8031">
        <v>500</v>
      </c>
      <c r="I8031">
        <v>1</v>
      </c>
      <c r="J8031">
        <v>484</v>
      </c>
      <c r="M8031" t="s">
        <v>8157</v>
      </c>
    </row>
    <row r="8032" spans="1:13">
      <c r="A8032" s="10">
        <v>46212</v>
      </c>
      <c r="B8032" t="s">
        <v>201</v>
      </c>
      <c r="C8032" t="s">
        <v>94</v>
      </c>
      <c r="D8032">
        <v>2</v>
      </c>
      <c r="E8032">
        <v>338</v>
      </c>
      <c r="I8032">
        <v>1</v>
      </c>
      <c r="J8032">
        <v>344</v>
      </c>
      <c r="M8032" t="s">
        <v>8158</v>
      </c>
    </row>
    <row r="8033" spans="1:13">
      <c r="A8033" s="10">
        <v>46212</v>
      </c>
      <c r="B8033" t="s">
        <v>201</v>
      </c>
      <c r="C8033" t="s">
        <v>96</v>
      </c>
      <c r="D8033">
        <v>0</v>
      </c>
      <c r="E8033">
        <v>0</v>
      </c>
      <c r="I8033">
        <v>0</v>
      </c>
      <c r="J8033">
        <v>0</v>
      </c>
      <c r="M8033" t="s">
        <v>8159</v>
      </c>
    </row>
    <row r="8034" spans="1:13">
      <c r="A8034" s="10">
        <v>46212</v>
      </c>
      <c r="B8034" t="s">
        <v>201</v>
      </c>
      <c r="C8034" t="s">
        <v>98</v>
      </c>
      <c r="D8034">
        <v>0</v>
      </c>
      <c r="E8034">
        <v>348</v>
      </c>
      <c r="I8034">
        <v>0</v>
      </c>
      <c r="J8034">
        <v>255</v>
      </c>
      <c r="M8034" t="s">
        <v>8160</v>
      </c>
    </row>
    <row r="8035" spans="1:13">
      <c r="A8035" s="10">
        <v>46212</v>
      </c>
      <c r="B8035" t="s">
        <v>201</v>
      </c>
      <c r="C8035" t="s">
        <v>203</v>
      </c>
      <c r="D8035">
        <v>3</v>
      </c>
      <c r="E8035">
        <v>0</v>
      </c>
      <c r="I8035">
        <v>3</v>
      </c>
      <c r="J8035">
        <v>0</v>
      </c>
      <c r="M8035" t="s">
        <v>8161</v>
      </c>
    </row>
    <row r="8036" spans="1:13">
      <c r="A8036" s="10">
        <v>46212</v>
      </c>
      <c r="B8036" t="s">
        <v>201</v>
      </c>
      <c r="C8036" t="s">
        <v>100</v>
      </c>
      <c r="D8036">
        <v>0</v>
      </c>
      <c r="E8036">
        <v>0</v>
      </c>
      <c r="I8036">
        <v>0</v>
      </c>
      <c r="J8036">
        <v>0</v>
      </c>
      <c r="M8036" t="s">
        <v>8162</v>
      </c>
    </row>
    <row r="8037" spans="1:13">
      <c r="A8037" s="10">
        <v>46212</v>
      </c>
      <c r="B8037" t="s">
        <v>201</v>
      </c>
      <c r="C8037" t="s">
        <v>101</v>
      </c>
      <c r="D8037">
        <v>1</v>
      </c>
      <c r="E8037">
        <v>385</v>
      </c>
      <c r="I8037">
        <v>1</v>
      </c>
      <c r="J8037">
        <v>301</v>
      </c>
      <c r="M8037" t="s">
        <v>8163</v>
      </c>
    </row>
    <row r="8038" spans="1:13">
      <c r="A8038" s="10">
        <v>46212</v>
      </c>
      <c r="B8038" t="s">
        <v>201</v>
      </c>
      <c r="C8038" t="s">
        <v>103</v>
      </c>
      <c r="D8038">
        <v>0</v>
      </c>
      <c r="E8038">
        <v>4</v>
      </c>
      <c r="G8038">
        <v>8</v>
      </c>
      <c r="I8038">
        <v>0</v>
      </c>
      <c r="J8038">
        <v>11</v>
      </c>
      <c r="M8038" t="s">
        <v>8164</v>
      </c>
    </row>
    <row r="8039" spans="1:13">
      <c r="A8039" s="10">
        <v>46212</v>
      </c>
      <c r="B8039" t="s">
        <v>201</v>
      </c>
      <c r="C8039" t="s">
        <v>106</v>
      </c>
      <c r="D8039">
        <v>1</v>
      </c>
      <c r="E8039">
        <v>192</v>
      </c>
      <c r="I8039">
        <v>0</v>
      </c>
      <c r="J8039">
        <v>963</v>
      </c>
      <c r="M8039" t="s">
        <v>8165</v>
      </c>
    </row>
    <row r="8040" spans="1:13">
      <c r="A8040" s="10">
        <v>46212</v>
      </c>
      <c r="B8040" t="s">
        <v>201</v>
      </c>
      <c r="C8040" t="s">
        <v>108</v>
      </c>
      <c r="D8040">
        <v>1</v>
      </c>
      <c r="E8040">
        <v>254</v>
      </c>
      <c r="I8040">
        <v>1</v>
      </c>
      <c r="J8040">
        <v>254</v>
      </c>
      <c r="M8040" t="s">
        <v>8166</v>
      </c>
    </row>
    <row r="8041" spans="1:13">
      <c r="A8041" s="10">
        <v>46212</v>
      </c>
      <c r="B8041" t="s">
        <v>201</v>
      </c>
      <c r="C8041" t="s">
        <v>109</v>
      </c>
      <c r="D8041">
        <v>1</v>
      </c>
      <c r="E8041">
        <v>566</v>
      </c>
      <c r="I8041">
        <v>1</v>
      </c>
      <c r="J8041">
        <v>458</v>
      </c>
      <c r="M8041" t="s">
        <v>8167</v>
      </c>
    </row>
    <row r="8042" spans="1:13">
      <c r="A8042" s="10">
        <v>46212</v>
      </c>
      <c r="B8042" t="s">
        <v>201</v>
      </c>
      <c r="C8042" t="s">
        <v>112</v>
      </c>
      <c r="D8042">
        <v>1</v>
      </c>
      <c r="E8042">
        <v>22</v>
      </c>
      <c r="I8042">
        <v>1</v>
      </c>
      <c r="J8042">
        <v>15</v>
      </c>
      <c r="M8042" t="s">
        <v>8168</v>
      </c>
    </row>
    <row r="8043" spans="1:13">
      <c r="A8043" s="10">
        <v>46212</v>
      </c>
      <c r="B8043" t="s">
        <v>201</v>
      </c>
      <c r="C8043" t="s">
        <v>114</v>
      </c>
      <c r="D8043">
        <v>2</v>
      </c>
      <c r="E8043">
        <v>13</v>
      </c>
      <c r="I8043">
        <v>1</v>
      </c>
      <c r="J8043">
        <v>44</v>
      </c>
      <c r="M8043" t="s">
        <v>8169</v>
      </c>
    </row>
    <row r="8044" spans="1:13">
      <c r="A8044" s="10">
        <v>46212</v>
      </c>
      <c r="B8044" t="s">
        <v>201</v>
      </c>
      <c r="C8044" t="s">
        <v>115</v>
      </c>
      <c r="D8044">
        <v>1</v>
      </c>
      <c r="E8044">
        <v>40</v>
      </c>
      <c r="I8044">
        <v>1</v>
      </c>
      <c r="J8044">
        <v>33</v>
      </c>
      <c r="M8044" t="s">
        <v>8170</v>
      </c>
    </row>
    <row r="8045" spans="1:13">
      <c r="A8045" s="10">
        <v>46212</v>
      </c>
      <c r="B8045" t="s">
        <v>201</v>
      </c>
      <c r="C8045" t="s">
        <v>116</v>
      </c>
      <c r="D8045">
        <v>2</v>
      </c>
      <c r="E8045">
        <v>41</v>
      </c>
      <c r="I8045">
        <v>2</v>
      </c>
      <c r="J8045">
        <v>35</v>
      </c>
      <c r="M8045" t="s">
        <v>8171</v>
      </c>
    </row>
    <row r="8046" spans="1:13">
      <c r="A8046" s="10">
        <v>46212</v>
      </c>
      <c r="B8046" t="s">
        <v>201</v>
      </c>
      <c r="C8046" t="s">
        <v>119</v>
      </c>
      <c r="D8046">
        <v>4</v>
      </c>
      <c r="E8046">
        <v>0</v>
      </c>
      <c r="I8046">
        <v>4</v>
      </c>
      <c r="M8046" t="s">
        <v>8172</v>
      </c>
    </row>
    <row r="8047" spans="1:13">
      <c r="A8047" s="10">
        <v>46212</v>
      </c>
      <c r="B8047" t="s">
        <v>201</v>
      </c>
      <c r="C8047" t="s">
        <v>120</v>
      </c>
      <c r="D8047">
        <v>1</v>
      </c>
      <c r="E8047">
        <v>0</v>
      </c>
      <c r="I8047">
        <v>1</v>
      </c>
      <c r="M8047" t="s">
        <v>8173</v>
      </c>
    </row>
    <row r="8048" spans="1:13">
      <c r="A8048" s="10">
        <v>46212</v>
      </c>
      <c r="B8048" t="s">
        <v>201</v>
      </c>
      <c r="C8048" t="s">
        <v>121</v>
      </c>
      <c r="D8048">
        <v>2</v>
      </c>
      <c r="E8048">
        <v>0</v>
      </c>
      <c r="I8048">
        <v>2</v>
      </c>
      <c r="M8048" t="s">
        <v>8174</v>
      </c>
    </row>
    <row r="8049" spans="1:13">
      <c r="A8049" s="10">
        <v>46212</v>
      </c>
      <c r="B8049" t="s">
        <v>201</v>
      </c>
      <c r="C8049" t="s">
        <v>123</v>
      </c>
      <c r="D8049">
        <v>2</v>
      </c>
      <c r="E8049">
        <v>0</v>
      </c>
      <c r="I8049">
        <v>2</v>
      </c>
      <c r="M8049" t="s">
        <v>8175</v>
      </c>
    </row>
    <row r="8050" spans="1:13">
      <c r="A8050" s="10">
        <v>46212</v>
      </c>
      <c r="B8050" t="s">
        <v>201</v>
      </c>
      <c r="C8050" t="s">
        <v>124</v>
      </c>
      <c r="D8050">
        <v>2</v>
      </c>
      <c r="E8050">
        <v>0</v>
      </c>
      <c r="I8050">
        <v>2</v>
      </c>
      <c r="M8050" t="s">
        <v>8176</v>
      </c>
    </row>
    <row r="8051" spans="1:13">
      <c r="A8051" s="10">
        <v>46212</v>
      </c>
      <c r="B8051" t="s">
        <v>201</v>
      </c>
      <c r="C8051" t="s">
        <v>125</v>
      </c>
      <c r="D8051">
        <v>2</v>
      </c>
      <c r="E8051">
        <v>0</v>
      </c>
      <c r="I8051">
        <v>2</v>
      </c>
      <c r="M8051" t="s">
        <v>8177</v>
      </c>
    </row>
    <row r="8052" spans="1:13">
      <c r="A8052" s="10">
        <v>46212</v>
      </c>
      <c r="B8052" t="s">
        <v>201</v>
      </c>
      <c r="C8052" t="s">
        <v>126</v>
      </c>
      <c r="D8052">
        <v>2</v>
      </c>
      <c r="E8052">
        <v>0</v>
      </c>
      <c r="I8052">
        <v>2</v>
      </c>
      <c r="M8052" t="s">
        <v>8178</v>
      </c>
    </row>
    <row r="8053" spans="1:13">
      <c r="A8053" s="10">
        <v>46212</v>
      </c>
      <c r="B8053" t="s">
        <v>201</v>
      </c>
      <c r="C8053" t="s">
        <v>128</v>
      </c>
      <c r="D8053">
        <v>2</v>
      </c>
      <c r="E8053">
        <v>0</v>
      </c>
      <c r="I8053">
        <v>2</v>
      </c>
      <c r="M8053" t="s">
        <v>8179</v>
      </c>
    </row>
    <row r="8054" spans="1:13">
      <c r="A8054" s="10">
        <v>46212</v>
      </c>
      <c r="B8054" t="s">
        <v>201</v>
      </c>
      <c r="C8054" t="s">
        <v>130</v>
      </c>
      <c r="D8054">
        <v>5</v>
      </c>
      <c r="E8054">
        <v>0</v>
      </c>
      <c r="I8054">
        <v>4</v>
      </c>
      <c r="M8054" t="s">
        <v>8180</v>
      </c>
    </row>
    <row r="8055" spans="1:13">
      <c r="A8055" s="10">
        <v>46212</v>
      </c>
      <c r="B8055" t="s">
        <v>201</v>
      </c>
      <c r="C8055" t="s">
        <v>285</v>
      </c>
      <c r="D8055">
        <v>2</v>
      </c>
      <c r="E8055">
        <v>0</v>
      </c>
      <c r="I8055">
        <v>2</v>
      </c>
      <c r="M8055" t="s">
        <v>8181</v>
      </c>
    </row>
    <row r="8056" spans="1:13">
      <c r="A8056" s="10">
        <v>46212</v>
      </c>
      <c r="B8056" t="s">
        <v>201</v>
      </c>
      <c r="C8056" t="s">
        <v>287</v>
      </c>
      <c r="D8056">
        <v>5</v>
      </c>
      <c r="E8056">
        <v>0</v>
      </c>
      <c r="I8056">
        <v>5</v>
      </c>
      <c r="M8056" t="s">
        <v>8182</v>
      </c>
    </row>
    <row r="8057" spans="1:13">
      <c r="A8057" s="10">
        <v>46212</v>
      </c>
      <c r="B8057" t="s">
        <v>201</v>
      </c>
      <c r="C8057" t="s">
        <v>289</v>
      </c>
      <c r="D8057">
        <v>2</v>
      </c>
      <c r="E8057">
        <v>0</v>
      </c>
      <c r="I8057">
        <v>2</v>
      </c>
      <c r="M8057" t="s">
        <v>8183</v>
      </c>
    </row>
    <row r="8058" spans="1:13">
      <c r="A8058" s="10">
        <v>46212</v>
      </c>
      <c r="B8058" t="s">
        <v>201</v>
      </c>
      <c r="C8058" t="s">
        <v>291</v>
      </c>
      <c r="D8058">
        <v>0</v>
      </c>
      <c r="E8058">
        <v>0</v>
      </c>
      <c r="I8058">
        <v>0</v>
      </c>
      <c r="M8058" t="s">
        <v>8184</v>
      </c>
    </row>
    <row r="8059" spans="1:13">
      <c r="A8059" s="10">
        <v>46212</v>
      </c>
      <c r="B8059" t="s">
        <v>201</v>
      </c>
      <c r="C8059" t="s">
        <v>293</v>
      </c>
      <c r="D8059">
        <v>3</v>
      </c>
      <c r="E8059">
        <v>0</v>
      </c>
      <c r="I8059">
        <v>3</v>
      </c>
      <c r="M8059" t="s">
        <v>8185</v>
      </c>
    </row>
    <row r="8060" spans="1:13">
      <c r="A8060" s="10">
        <v>46212</v>
      </c>
      <c r="B8060" t="s">
        <v>201</v>
      </c>
      <c r="C8060" s="135" t="s">
        <v>138</v>
      </c>
      <c r="D8060">
        <v>0</v>
      </c>
      <c r="E8060">
        <v>51</v>
      </c>
      <c r="I8060">
        <v>0</v>
      </c>
      <c r="J8060">
        <v>44</v>
      </c>
      <c r="M8060" t="s">
        <v>8186</v>
      </c>
    </row>
    <row r="8061" spans="1:13">
      <c r="A8061" s="10">
        <v>46212</v>
      </c>
      <c r="B8061" t="s">
        <v>201</v>
      </c>
      <c r="C8061" s="135" t="s">
        <v>139</v>
      </c>
      <c r="D8061">
        <v>0</v>
      </c>
      <c r="E8061">
        <v>31</v>
      </c>
      <c r="I8061">
        <v>0</v>
      </c>
      <c r="J8061">
        <v>29</v>
      </c>
      <c r="M8061" t="s">
        <v>8187</v>
      </c>
    </row>
    <row r="8062" spans="1:13">
      <c r="A8062" s="10">
        <v>46212</v>
      </c>
      <c r="B8062" t="s">
        <v>201</v>
      </c>
      <c r="C8062" s="135" t="s">
        <v>140</v>
      </c>
      <c r="D8062">
        <v>0</v>
      </c>
      <c r="E8062">
        <v>47</v>
      </c>
      <c r="I8062">
        <v>0</v>
      </c>
      <c r="J8062">
        <v>46</v>
      </c>
      <c r="M8062" t="s">
        <v>8188</v>
      </c>
    </row>
    <row r="8063" spans="1:13">
      <c r="A8063" s="10">
        <v>46212</v>
      </c>
      <c r="B8063" t="s">
        <v>201</v>
      </c>
      <c r="C8063" s="135" t="s">
        <v>141</v>
      </c>
      <c r="D8063">
        <v>0</v>
      </c>
      <c r="E8063">
        <v>1</v>
      </c>
      <c r="I8063">
        <v>0</v>
      </c>
      <c r="J8063">
        <v>0</v>
      </c>
      <c r="M8063" t="s">
        <v>8189</v>
      </c>
    </row>
    <row r="8064" spans="1:13">
      <c r="A8064" s="10">
        <v>46212</v>
      </c>
      <c r="B8064" t="s">
        <v>201</v>
      </c>
      <c r="C8064" s="135" t="s">
        <v>143</v>
      </c>
      <c r="D8064">
        <v>0</v>
      </c>
      <c r="E8064">
        <v>49</v>
      </c>
      <c r="I8064">
        <v>0</v>
      </c>
      <c r="J8064">
        <v>43</v>
      </c>
      <c r="M8064" t="s">
        <v>8190</v>
      </c>
    </row>
    <row r="8065" spans="1:13">
      <c r="A8065" s="10">
        <v>46212</v>
      </c>
      <c r="B8065" t="s">
        <v>201</v>
      </c>
      <c r="C8065" s="135" t="s">
        <v>145</v>
      </c>
      <c r="D8065">
        <v>0</v>
      </c>
      <c r="E8065">
        <v>44</v>
      </c>
      <c r="I8065">
        <v>0</v>
      </c>
      <c r="J8065">
        <v>41</v>
      </c>
      <c r="M8065" t="s">
        <v>8191</v>
      </c>
    </row>
    <row r="8066" spans="1:13">
      <c r="A8066" s="10">
        <v>46212</v>
      </c>
      <c r="B8066" t="s">
        <v>201</v>
      </c>
      <c r="C8066" s="135" t="s">
        <v>147</v>
      </c>
      <c r="D8066">
        <v>0</v>
      </c>
      <c r="E8066">
        <v>40</v>
      </c>
      <c r="I8066">
        <v>0</v>
      </c>
      <c r="J8066">
        <v>40</v>
      </c>
      <c r="M8066" t="s">
        <v>8192</v>
      </c>
    </row>
    <row r="8067" spans="1:13">
      <c r="A8067" s="10">
        <v>46212</v>
      </c>
      <c r="B8067" t="s">
        <v>201</v>
      </c>
      <c r="C8067" t="s">
        <v>302</v>
      </c>
      <c r="D8067">
        <v>1</v>
      </c>
      <c r="E8067">
        <v>0</v>
      </c>
      <c r="I8067">
        <v>1</v>
      </c>
      <c r="M8067" t="s">
        <v>8193</v>
      </c>
    </row>
    <row r="8068" spans="1:13">
      <c r="A8068" s="10">
        <v>46212</v>
      </c>
      <c r="B8068" t="s">
        <v>201</v>
      </c>
      <c r="C8068" t="s">
        <v>150</v>
      </c>
      <c r="D8068">
        <v>3</v>
      </c>
      <c r="E8068">
        <v>0</v>
      </c>
      <c r="I8068">
        <v>3</v>
      </c>
      <c r="M8068" t="s">
        <v>8194</v>
      </c>
    </row>
    <row r="8069" spans="1:13">
      <c r="A8069" s="10">
        <v>46212</v>
      </c>
      <c r="B8069" t="s">
        <v>201</v>
      </c>
      <c r="C8069" t="s">
        <v>151</v>
      </c>
      <c r="D8069">
        <v>2</v>
      </c>
      <c r="E8069">
        <v>0</v>
      </c>
      <c r="I8069">
        <v>2</v>
      </c>
      <c r="M8069" t="s">
        <v>8195</v>
      </c>
    </row>
    <row r="8070" spans="1:13">
      <c r="A8070" s="10">
        <v>46212</v>
      </c>
      <c r="B8070" t="s">
        <v>201</v>
      </c>
      <c r="C8070" t="s">
        <v>152</v>
      </c>
      <c r="D8070">
        <v>2</v>
      </c>
      <c r="E8070">
        <v>0</v>
      </c>
      <c r="I8070">
        <v>2</v>
      </c>
      <c r="M8070" t="s">
        <v>8196</v>
      </c>
    </row>
    <row r="8071" spans="1:13">
      <c r="A8071" s="10">
        <v>46212</v>
      </c>
      <c r="B8071" t="s">
        <v>201</v>
      </c>
      <c r="C8071" t="s">
        <v>153</v>
      </c>
      <c r="D8071">
        <v>2</v>
      </c>
      <c r="E8071">
        <v>0</v>
      </c>
      <c r="I8071">
        <v>2</v>
      </c>
      <c r="M8071" t="s">
        <v>8197</v>
      </c>
    </row>
    <row r="8072" spans="1:13">
      <c r="A8072" s="10">
        <v>46212</v>
      </c>
      <c r="B8072" t="s">
        <v>201</v>
      </c>
      <c r="C8072" t="s">
        <v>308</v>
      </c>
      <c r="D8072">
        <v>0</v>
      </c>
      <c r="E8072">
        <v>4</v>
      </c>
      <c r="I8072">
        <v>0</v>
      </c>
      <c r="J8072">
        <v>3</v>
      </c>
      <c r="M8072" t="s">
        <v>8198</v>
      </c>
    </row>
    <row r="8073" spans="1:13">
      <c r="A8073" s="10">
        <v>46212</v>
      </c>
      <c r="B8073" t="s">
        <v>201</v>
      </c>
      <c r="C8073" t="s">
        <v>310</v>
      </c>
      <c r="D8073">
        <v>0</v>
      </c>
      <c r="E8073">
        <v>2</v>
      </c>
      <c r="I8073">
        <v>0</v>
      </c>
      <c r="J8073">
        <v>2</v>
      </c>
      <c r="M8073" t="s">
        <v>8199</v>
      </c>
    </row>
    <row r="8074" spans="1:13">
      <c r="A8074" s="10">
        <v>46212</v>
      </c>
      <c r="B8074" t="s">
        <v>201</v>
      </c>
      <c r="C8074" t="s">
        <v>312</v>
      </c>
      <c r="D8074">
        <v>0</v>
      </c>
      <c r="E8074">
        <v>6</v>
      </c>
      <c r="I8074">
        <v>0</v>
      </c>
      <c r="J8074">
        <v>6</v>
      </c>
      <c r="M8074" t="s">
        <v>8200</v>
      </c>
    </row>
    <row r="8075" spans="1:13">
      <c r="A8075" s="10">
        <v>46212</v>
      </c>
      <c r="B8075" t="s">
        <v>201</v>
      </c>
      <c r="C8075" t="s">
        <v>314</v>
      </c>
      <c r="D8075">
        <v>1</v>
      </c>
      <c r="E8075">
        <v>0</v>
      </c>
      <c r="I8075">
        <v>1</v>
      </c>
      <c r="M8075" t="s">
        <v>8201</v>
      </c>
    </row>
    <row r="8076" spans="1:13">
      <c r="A8076" s="10">
        <v>46212</v>
      </c>
      <c r="B8076" t="s">
        <v>201</v>
      </c>
      <c r="C8076" t="s">
        <v>316</v>
      </c>
      <c r="D8076">
        <v>1</v>
      </c>
      <c r="E8076">
        <v>0</v>
      </c>
      <c r="I8076">
        <v>1</v>
      </c>
      <c r="M8076" t="s">
        <v>8202</v>
      </c>
    </row>
    <row r="8077" spans="1:13">
      <c r="A8077" s="10">
        <v>46212</v>
      </c>
      <c r="B8077" t="s">
        <v>201</v>
      </c>
      <c r="C8077" t="s">
        <v>318</v>
      </c>
      <c r="D8077">
        <v>4</v>
      </c>
      <c r="E8077">
        <v>0</v>
      </c>
      <c r="I8077">
        <v>3</v>
      </c>
      <c r="M8077" t="s">
        <v>8203</v>
      </c>
    </row>
    <row r="8078" spans="1:13">
      <c r="A8078" s="10">
        <v>46212</v>
      </c>
      <c r="B8078" t="s">
        <v>201</v>
      </c>
      <c r="C8078" t="s">
        <v>320</v>
      </c>
      <c r="D8078">
        <v>2</v>
      </c>
      <c r="E8078">
        <v>0</v>
      </c>
      <c r="I8078">
        <v>3</v>
      </c>
      <c r="M8078" t="s">
        <v>8204</v>
      </c>
    </row>
    <row r="8079" spans="1:13">
      <c r="A8079" s="10">
        <v>46212</v>
      </c>
      <c r="B8079" t="s">
        <v>201</v>
      </c>
      <c r="C8079" t="s">
        <v>322</v>
      </c>
      <c r="D8079">
        <v>1</v>
      </c>
      <c r="E8079">
        <v>0</v>
      </c>
      <c r="I8079">
        <v>1</v>
      </c>
      <c r="M8079" t="s">
        <v>8205</v>
      </c>
    </row>
    <row r="8080" spans="1:13">
      <c r="A8080" s="10">
        <v>46212</v>
      </c>
      <c r="B8080" t="s">
        <v>201</v>
      </c>
      <c r="C8080" s="135" t="s">
        <v>168</v>
      </c>
      <c r="D8080">
        <v>1</v>
      </c>
      <c r="E8080">
        <v>0</v>
      </c>
      <c r="I8080">
        <v>1</v>
      </c>
      <c r="M8080" t="s">
        <v>8206</v>
      </c>
    </row>
    <row r="8081" spans="1:13">
      <c r="A8081" s="10">
        <v>46212</v>
      </c>
      <c r="B8081" t="s">
        <v>201</v>
      </c>
      <c r="C8081" s="135" t="s">
        <v>170</v>
      </c>
      <c r="D8081">
        <v>1</v>
      </c>
      <c r="E8081">
        <v>0</v>
      </c>
      <c r="I8081">
        <v>1</v>
      </c>
      <c r="M8081" t="s">
        <v>8207</v>
      </c>
    </row>
    <row r="8082" spans="1:13">
      <c r="A8082" s="10">
        <v>46212</v>
      </c>
      <c r="B8082" t="s">
        <v>201</v>
      </c>
      <c r="C8082" s="135" t="s">
        <v>171</v>
      </c>
      <c r="D8082">
        <v>2</v>
      </c>
      <c r="E8082">
        <v>0</v>
      </c>
      <c r="I8082">
        <v>2</v>
      </c>
      <c r="M8082" t="s">
        <v>8208</v>
      </c>
    </row>
    <row r="8083" spans="1:13">
      <c r="A8083" s="10">
        <v>46212</v>
      </c>
      <c r="B8083" t="s">
        <v>201</v>
      </c>
      <c r="C8083" s="135" t="s">
        <v>172</v>
      </c>
      <c r="D8083">
        <v>1</v>
      </c>
      <c r="E8083">
        <v>0</v>
      </c>
      <c r="I8083">
        <v>1</v>
      </c>
      <c r="M8083" t="s">
        <v>8209</v>
      </c>
    </row>
    <row r="8084" spans="1:13">
      <c r="A8084" s="10">
        <v>46212</v>
      </c>
      <c r="B8084" t="s">
        <v>201</v>
      </c>
      <c r="C8084" s="135" t="s">
        <v>173</v>
      </c>
      <c r="D8084">
        <v>0</v>
      </c>
      <c r="E8084">
        <v>0</v>
      </c>
      <c r="I8084">
        <v>0</v>
      </c>
      <c r="M8084" t="s">
        <v>8210</v>
      </c>
    </row>
    <row r="8085" spans="1:13">
      <c r="A8085" s="10">
        <v>46212</v>
      </c>
      <c r="B8085" t="s">
        <v>201</v>
      </c>
      <c r="C8085" t="s">
        <v>176</v>
      </c>
      <c r="D8085">
        <v>0</v>
      </c>
      <c r="E8085">
        <v>21</v>
      </c>
      <c r="I8085">
        <v>0</v>
      </c>
      <c r="J8085">
        <v>21</v>
      </c>
      <c r="M8085" t="s">
        <v>8211</v>
      </c>
    </row>
    <row r="8086" spans="1:13">
      <c r="A8086" s="10">
        <v>46212</v>
      </c>
      <c r="B8086" t="s">
        <v>201</v>
      </c>
      <c r="C8086" t="s">
        <v>178</v>
      </c>
      <c r="D8086">
        <v>0</v>
      </c>
      <c r="E8086">
        <v>21</v>
      </c>
      <c r="I8086">
        <v>0</v>
      </c>
      <c r="J8086">
        <v>21</v>
      </c>
      <c r="M8086" t="s">
        <v>8212</v>
      </c>
    </row>
    <row r="8087" spans="1:13">
      <c r="A8087" s="10">
        <v>46212</v>
      </c>
      <c r="B8087" t="s">
        <v>201</v>
      </c>
      <c r="C8087" t="s">
        <v>179</v>
      </c>
      <c r="D8087">
        <v>0</v>
      </c>
      <c r="E8087">
        <v>14</v>
      </c>
      <c r="I8087">
        <v>0</v>
      </c>
      <c r="J8087">
        <v>14</v>
      </c>
      <c r="M8087" t="s">
        <v>8213</v>
      </c>
    </row>
    <row r="8088" spans="1:13">
      <c r="A8088" s="10">
        <v>46212</v>
      </c>
      <c r="B8088" t="s">
        <v>201</v>
      </c>
      <c r="C8088" t="s">
        <v>180</v>
      </c>
      <c r="D8088">
        <v>0</v>
      </c>
      <c r="E8088">
        <v>21</v>
      </c>
      <c r="H8088">
        <v>2</v>
      </c>
      <c r="I8088">
        <v>0</v>
      </c>
      <c r="J8088">
        <v>19</v>
      </c>
      <c r="M8088" t="s">
        <v>8214</v>
      </c>
    </row>
    <row r="8089" spans="1:13">
      <c r="A8089" s="10">
        <v>46212</v>
      </c>
      <c r="B8089" t="s">
        <v>201</v>
      </c>
      <c r="C8089" s="135" t="s">
        <v>182</v>
      </c>
      <c r="D8089">
        <v>1</v>
      </c>
      <c r="E8089">
        <v>150</v>
      </c>
      <c r="I8089">
        <v>1</v>
      </c>
      <c r="J8089">
        <v>150</v>
      </c>
      <c r="M8089" t="s">
        <v>8215</v>
      </c>
    </row>
    <row r="8090" spans="1:13">
      <c r="A8090" s="10">
        <v>46212</v>
      </c>
      <c r="B8090" t="s">
        <v>201</v>
      </c>
      <c r="C8090" s="135" t="s">
        <v>184</v>
      </c>
      <c r="D8090">
        <v>2</v>
      </c>
      <c r="E8090">
        <v>25</v>
      </c>
      <c r="I8090">
        <v>2</v>
      </c>
      <c r="J8090">
        <v>20</v>
      </c>
      <c r="M8090" t="s">
        <v>8216</v>
      </c>
    </row>
    <row r="8091" spans="1:13">
      <c r="A8091" s="10">
        <v>46212</v>
      </c>
      <c r="B8091" t="s">
        <v>201</v>
      </c>
      <c r="C8091" s="135" t="s">
        <v>185</v>
      </c>
      <c r="D8091">
        <v>1</v>
      </c>
      <c r="E8091">
        <v>20</v>
      </c>
      <c r="I8091">
        <v>1</v>
      </c>
      <c r="J8091">
        <v>20</v>
      </c>
      <c r="M8091" t="s">
        <v>8217</v>
      </c>
    </row>
    <row r="8092" spans="1:13">
      <c r="A8092" s="10">
        <v>46212</v>
      </c>
      <c r="B8092" t="s">
        <v>201</v>
      </c>
      <c r="C8092" s="135" t="s">
        <v>186</v>
      </c>
      <c r="D8092">
        <v>1</v>
      </c>
      <c r="E8092">
        <v>490</v>
      </c>
      <c r="I8092">
        <v>1</v>
      </c>
      <c r="J8092">
        <v>490</v>
      </c>
      <c r="M8092" t="s">
        <v>8218</v>
      </c>
    </row>
    <row r="8093" spans="1:13">
      <c r="A8093" s="10">
        <v>46212</v>
      </c>
      <c r="B8093" t="s">
        <v>201</v>
      </c>
      <c r="C8093" t="s">
        <v>337</v>
      </c>
      <c r="D8093">
        <v>2</v>
      </c>
      <c r="E8093">
        <v>299</v>
      </c>
      <c r="I8093">
        <v>2</v>
      </c>
      <c r="J8093">
        <v>274</v>
      </c>
      <c r="M8093" t="s">
        <v>8219</v>
      </c>
    </row>
    <row r="8094" spans="1:13">
      <c r="A8094" s="10">
        <v>46212</v>
      </c>
      <c r="B8094" t="s">
        <v>201</v>
      </c>
      <c r="C8094" t="s">
        <v>339</v>
      </c>
      <c r="D8094">
        <v>0</v>
      </c>
      <c r="E8094">
        <v>0</v>
      </c>
      <c r="I8094">
        <v>0</v>
      </c>
      <c r="J8094">
        <v>0</v>
      </c>
      <c r="M8094" t="s">
        <v>8220</v>
      </c>
    </row>
    <row r="8095" spans="1:13">
      <c r="A8095" s="10">
        <v>46212</v>
      </c>
      <c r="B8095" t="s">
        <v>201</v>
      </c>
      <c r="C8095" s="135" t="s">
        <v>191</v>
      </c>
      <c r="D8095">
        <v>1</v>
      </c>
      <c r="E8095">
        <v>243</v>
      </c>
      <c r="I8095">
        <v>1</v>
      </c>
      <c r="J8095">
        <v>243</v>
      </c>
      <c r="M8095" t="s">
        <v>8221</v>
      </c>
    </row>
    <row r="8096" spans="1:13">
      <c r="A8096" s="10">
        <v>46212</v>
      </c>
      <c r="B8096" t="s">
        <v>201</v>
      </c>
      <c r="C8096" s="135" t="s">
        <v>193</v>
      </c>
      <c r="D8096">
        <v>1</v>
      </c>
      <c r="E8096">
        <v>171</v>
      </c>
      <c r="I8096">
        <v>1</v>
      </c>
      <c r="J8096">
        <v>171</v>
      </c>
      <c r="M8096" t="s">
        <v>8222</v>
      </c>
    </row>
    <row r="8097" spans="1:13">
      <c r="A8097" s="10">
        <v>46212</v>
      </c>
      <c r="B8097" t="s">
        <v>201</v>
      </c>
      <c r="C8097" s="135" t="s">
        <v>194</v>
      </c>
      <c r="D8097">
        <v>1</v>
      </c>
      <c r="E8097">
        <v>38</v>
      </c>
      <c r="I8097">
        <v>1</v>
      </c>
      <c r="J8097">
        <v>38</v>
      </c>
      <c r="M8097" t="s">
        <v>8223</v>
      </c>
    </row>
    <row r="8098" spans="1:13">
      <c r="A8098" s="10">
        <v>46212</v>
      </c>
      <c r="B8098" t="s">
        <v>201</v>
      </c>
      <c r="C8098" s="135" t="s">
        <v>196</v>
      </c>
      <c r="D8098">
        <v>0</v>
      </c>
      <c r="E8098">
        <v>690</v>
      </c>
      <c r="I8098">
        <v>0</v>
      </c>
      <c r="J8098">
        <v>690</v>
      </c>
      <c r="M8098" t="s">
        <v>8224</v>
      </c>
    </row>
    <row r="8099" spans="1:13">
      <c r="A8099" s="10">
        <v>46212</v>
      </c>
      <c r="B8099" t="s">
        <v>201</v>
      </c>
      <c r="C8099" s="135" t="s">
        <v>199</v>
      </c>
      <c r="D8099">
        <v>0</v>
      </c>
      <c r="E8099">
        <v>183</v>
      </c>
      <c r="I8099">
        <v>0</v>
      </c>
      <c r="J8099">
        <v>84</v>
      </c>
      <c r="M8099" t="s">
        <v>8225</v>
      </c>
    </row>
    <row r="8100" spans="1:13">
      <c r="A8100" s="10">
        <v>46212</v>
      </c>
      <c r="B8100" t="s">
        <v>201</v>
      </c>
      <c r="C8100" s="135" t="s">
        <v>200</v>
      </c>
      <c r="D8100">
        <v>0</v>
      </c>
      <c r="E8100">
        <v>256</v>
      </c>
      <c r="I8100">
        <v>0</v>
      </c>
      <c r="J8100">
        <v>179</v>
      </c>
      <c r="M8100" t="s">
        <v>8226</v>
      </c>
    </row>
    <row r="8101" spans="1:13">
      <c r="A8101" s="10">
        <v>46212</v>
      </c>
      <c r="B8101" t="s">
        <v>201</v>
      </c>
      <c r="C8101" s="135" t="s">
        <v>202</v>
      </c>
      <c r="D8101">
        <v>0</v>
      </c>
      <c r="E8101">
        <v>303</v>
      </c>
      <c r="I8101">
        <v>0</v>
      </c>
      <c r="J8101">
        <v>250</v>
      </c>
      <c r="M8101" t="s">
        <v>8227</v>
      </c>
    </row>
    <row r="8102" spans="1:13">
      <c r="A8102" s="10">
        <v>46213</v>
      </c>
      <c r="B8102" t="s">
        <v>201</v>
      </c>
      <c r="C8102" t="s">
        <v>23</v>
      </c>
      <c r="D8102">
        <v>5</v>
      </c>
      <c r="E8102">
        <v>558</v>
      </c>
      <c r="I8102">
        <v>4</v>
      </c>
      <c r="J8102">
        <v>150</v>
      </c>
      <c r="M8102" t="s">
        <v>8228</v>
      </c>
    </row>
    <row r="8103" spans="1:13">
      <c r="A8103" s="10">
        <v>46213</v>
      </c>
      <c r="B8103" t="s">
        <v>201</v>
      </c>
      <c r="C8103" t="s">
        <v>26</v>
      </c>
      <c r="D8103">
        <v>2</v>
      </c>
      <c r="E8103">
        <v>433</v>
      </c>
      <c r="I8103">
        <v>2</v>
      </c>
      <c r="J8103">
        <v>342</v>
      </c>
      <c r="M8103" t="s">
        <v>8229</v>
      </c>
    </row>
    <row r="8104" spans="1:13">
      <c r="A8104" s="10">
        <v>46213</v>
      </c>
      <c r="B8104" t="s">
        <v>201</v>
      </c>
      <c r="C8104" t="s">
        <v>27</v>
      </c>
      <c r="D8104">
        <v>1</v>
      </c>
      <c r="E8104">
        <v>286</v>
      </c>
      <c r="I8104">
        <v>0</v>
      </c>
      <c r="J8104">
        <v>663</v>
      </c>
      <c r="M8104" t="s">
        <v>8230</v>
      </c>
    </row>
    <row r="8105" spans="1:13">
      <c r="A8105" s="10">
        <v>46213</v>
      </c>
      <c r="B8105" t="s">
        <v>201</v>
      </c>
      <c r="C8105" t="s">
        <v>28</v>
      </c>
      <c r="D8105">
        <v>0</v>
      </c>
      <c r="E8105">
        <v>0</v>
      </c>
      <c r="I8105">
        <v>0</v>
      </c>
      <c r="J8105">
        <v>0</v>
      </c>
      <c r="M8105" t="s">
        <v>8231</v>
      </c>
    </row>
    <row r="8106" spans="1:13">
      <c r="A8106" s="10">
        <v>46213</v>
      </c>
      <c r="B8106" t="s">
        <v>201</v>
      </c>
      <c r="C8106" t="s">
        <v>29</v>
      </c>
      <c r="D8106">
        <v>0</v>
      </c>
      <c r="E8106">
        <v>848</v>
      </c>
      <c r="I8106">
        <v>0</v>
      </c>
      <c r="J8106">
        <v>748</v>
      </c>
      <c r="M8106" t="s">
        <v>8232</v>
      </c>
    </row>
    <row r="8107" spans="1:13">
      <c r="A8107" s="10">
        <v>46213</v>
      </c>
      <c r="B8107" t="s">
        <v>201</v>
      </c>
      <c r="C8107" t="s">
        <v>30</v>
      </c>
      <c r="D8107">
        <v>0</v>
      </c>
      <c r="E8107">
        <v>175</v>
      </c>
      <c r="I8107">
        <v>0</v>
      </c>
      <c r="J8107">
        <v>167</v>
      </c>
      <c r="M8107" t="s">
        <v>8233</v>
      </c>
    </row>
    <row r="8108" spans="1:13">
      <c r="A8108" s="10">
        <v>46213</v>
      </c>
      <c r="B8108" t="s">
        <v>201</v>
      </c>
      <c r="C8108" t="s">
        <v>31</v>
      </c>
      <c r="D8108">
        <v>1</v>
      </c>
      <c r="E8108">
        <v>411</v>
      </c>
      <c r="I8108">
        <v>1</v>
      </c>
      <c r="J8108">
        <v>168</v>
      </c>
      <c r="M8108" t="s">
        <v>8234</v>
      </c>
    </row>
    <row r="8109" spans="1:13">
      <c r="A8109" s="10">
        <v>46213</v>
      </c>
      <c r="B8109" t="s">
        <v>201</v>
      </c>
      <c r="C8109" t="s">
        <v>32</v>
      </c>
      <c r="D8109">
        <v>3</v>
      </c>
      <c r="E8109">
        <v>234</v>
      </c>
      <c r="I8109">
        <v>2</v>
      </c>
      <c r="J8109">
        <v>908</v>
      </c>
      <c r="M8109" t="s">
        <v>8235</v>
      </c>
    </row>
    <row r="8110" spans="1:13">
      <c r="A8110" s="10">
        <v>46213</v>
      </c>
      <c r="B8110" t="s">
        <v>201</v>
      </c>
      <c r="C8110" t="s">
        <v>223</v>
      </c>
      <c r="D8110">
        <v>5</v>
      </c>
      <c r="E8110">
        <v>96</v>
      </c>
      <c r="I8110">
        <v>4</v>
      </c>
      <c r="J8110">
        <v>382</v>
      </c>
      <c r="M8110" t="s">
        <v>8236</v>
      </c>
    </row>
    <row r="8111" spans="1:13">
      <c r="A8111" s="10">
        <v>46213</v>
      </c>
      <c r="B8111" t="s">
        <v>201</v>
      </c>
      <c r="C8111" t="s">
        <v>35</v>
      </c>
      <c r="D8111">
        <v>7</v>
      </c>
      <c r="E8111">
        <v>0</v>
      </c>
      <c r="H8111">
        <v>1</v>
      </c>
      <c r="I8111">
        <v>6</v>
      </c>
      <c r="M8111" t="s">
        <v>8237</v>
      </c>
    </row>
    <row r="8112" spans="1:13">
      <c r="A8112" s="10">
        <v>46213</v>
      </c>
      <c r="B8112" t="s">
        <v>201</v>
      </c>
      <c r="C8112" t="s">
        <v>37</v>
      </c>
      <c r="D8112">
        <v>4</v>
      </c>
      <c r="E8112">
        <v>0</v>
      </c>
      <c r="I8112">
        <v>4</v>
      </c>
      <c r="M8112" t="s">
        <v>8238</v>
      </c>
    </row>
    <row r="8113" spans="1:13">
      <c r="A8113" s="10">
        <v>46213</v>
      </c>
      <c r="B8113" t="s">
        <v>201</v>
      </c>
      <c r="C8113" t="s">
        <v>39</v>
      </c>
      <c r="D8113">
        <v>27</v>
      </c>
      <c r="E8113">
        <v>0</v>
      </c>
      <c r="I8113">
        <v>27</v>
      </c>
      <c r="M8113" t="s">
        <v>8239</v>
      </c>
    </row>
    <row r="8114" spans="1:13">
      <c r="A8114" s="10">
        <v>46213</v>
      </c>
      <c r="B8114" t="s">
        <v>201</v>
      </c>
      <c r="C8114" t="s">
        <v>41</v>
      </c>
      <c r="D8114">
        <v>21</v>
      </c>
      <c r="E8114">
        <v>0</v>
      </c>
      <c r="H8114">
        <v>2</v>
      </c>
      <c r="I8114">
        <v>19</v>
      </c>
      <c r="M8114" t="s">
        <v>8240</v>
      </c>
    </row>
    <row r="8115" spans="1:13">
      <c r="A8115" s="10">
        <v>46213</v>
      </c>
      <c r="B8115" t="s">
        <v>201</v>
      </c>
      <c r="C8115" s="135" t="s">
        <v>44</v>
      </c>
      <c r="D8115">
        <v>3</v>
      </c>
      <c r="E8115">
        <v>7808</v>
      </c>
      <c r="I8115">
        <v>2</v>
      </c>
      <c r="J8115">
        <v>7598</v>
      </c>
      <c r="M8115" t="s">
        <v>8241</v>
      </c>
    </row>
    <row r="8116" spans="1:13">
      <c r="A8116" s="10">
        <v>46213</v>
      </c>
      <c r="B8116" t="s">
        <v>201</v>
      </c>
      <c r="C8116" t="s">
        <v>230</v>
      </c>
      <c r="D8116">
        <v>1</v>
      </c>
      <c r="E8116">
        <v>238</v>
      </c>
      <c r="I8116">
        <v>1</v>
      </c>
      <c r="J8116">
        <v>238</v>
      </c>
      <c r="M8116" t="s">
        <v>8242</v>
      </c>
    </row>
    <row r="8117" spans="1:13">
      <c r="A8117" s="10">
        <v>46213</v>
      </c>
      <c r="B8117" t="s">
        <v>201</v>
      </c>
      <c r="C8117" t="s">
        <v>232</v>
      </c>
      <c r="D8117">
        <v>5</v>
      </c>
      <c r="E8117">
        <v>0</v>
      </c>
      <c r="I8117">
        <v>5</v>
      </c>
      <c r="M8117" t="s">
        <v>8243</v>
      </c>
    </row>
    <row r="8118" spans="1:13">
      <c r="A8118" s="10">
        <v>46213</v>
      </c>
      <c r="B8118" t="s">
        <v>201</v>
      </c>
      <c r="C8118" t="s">
        <v>234</v>
      </c>
      <c r="D8118">
        <v>92</v>
      </c>
      <c r="E8118">
        <v>0</v>
      </c>
      <c r="H8118">
        <v>9</v>
      </c>
      <c r="I8118">
        <v>83</v>
      </c>
      <c r="M8118" t="s">
        <v>8244</v>
      </c>
    </row>
    <row r="8119" spans="1:13">
      <c r="A8119" s="10">
        <v>46213</v>
      </c>
      <c r="B8119" t="s">
        <v>201</v>
      </c>
      <c r="C8119" t="s">
        <v>54</v>
      </c>
      <c r="D8119">
        <v>0</v>
      </c>
      <c r="E8119">
        <v>0</v>
      </c>
      <c r="I8119">
        <v>0</v>
      </c>
      <c r="M8119" t="s">
        <v>8245</v>
      </c>
    </row>
    <row r="8120" spans="1:13">
      <c r="A8120" s="10">
        <v>46213</v>
      </c>
      <c r="B8120" t="s">
        <v>201</v>
      </c>
      <c r="C8120" t="s">
        <v>237</v>
      </c>
      <c r="D8120">
        <v>9</v>
      </c>
      <c r="E8120">
        <v>0</v>
      </c>
      <c r="H8120">
        <v>1</v>
      </c>
      <c r="I8120">
        <v>8</v>
      </c>
      <c r="M8120" t="s">
        <v>8246</v>
      </c>
    </row>
    <row r="8121" spans="1:13">
      <c r="A8121" s="10">
        <v>46213</v>
      </c>
      <c r="B8121" t="s">
        <v>201</v>
      </c>
      <c r="C8121" s="135" t="s">
        <v>58</v>
      </c>
      <c r="D8121">
        <v>3</v>
      </c>
      <c r="E8121">
        <v>0</v>
      </c>
      <c r="H8121">
        <v>1</v>
      </c>
      <c r="I8121">
        <v>2</v>
      </c>
      <c r="M8121" t="s">
        <v>8247</v>
      </c>
    </row>
    <row r="8122" spans="1:13">
      <c r="A8122" s="10">
        <v>46213</v>
      </c>
      <c r="B8122" t="s">
        <v>201</v>
      </c>
      <c r="C8122" s="135" t="s">
        <v>60</v>
      </c>
      <c r="D8122">
        <v>6</v>
      </c>
      <c r="E8122">
        <v>0</v>
      </c>
      <c r="H8122">
        <v>3</v>
      </c>
      <c r="I8122">
        <v>3</v>
      </c>
      <c r="M8122" t="s">
        <v>8248</v>
      </c>
    </row>
    <row r="8123" spans="1:13">
      <c r="A8123" s="10">
        <v>46213</v>
      </c>
      <c r="B8123" t="s">
        <v>201</v>
      </c>
      <c r="C8123" s="135" t="s">
        <v>61</v>
      </c>
      <c r="D8123">
        <v>5</v>
      </c>
      <c r="E8123">
        <v>0</v>
      </c>
      <c r="I8123">
        <v>5</v>
      </c>
      <c r="M8123" t="s">
        <v>8249</v>
      </c>
    </row>
    <row r="8124" spans="1:13">
      <c r="A8124" s="10">
        <v>46213</v>
      </c>
      <c r="B8124" t="s">
        <v>201</v>
      </c>
      <c r="C8124" s="135" t="s">
        <v>62</v>
      </c>
      <c r="D8124">
        <v>9</v>
      </c>
      <c r="E8124">
        <v>0</v>
      </c>
      <c r="I8124">
        <v>9</v>
      </c>
      <c r="M8124" t="s">
        <v>8250</v>
      </c>
    </row>
    <row r="8125" spans="1:13">
      <c r="A8125" s="10">
        <v>46213</v>
      </c>
      <c r="B8125" t="s">
        <v>201</v>
      </c>
      <c r="C8125" s="135" t="s">
        <v>63</v>
      </c>
      <c r="D8125">
        <v>5</v>
      </c>
      <c r="E8125">
        <v>0</v>
      </c>
      <c r="H8125">
        <v>2</v>
      </c>
      <c r="I8125">
        <v>3</v>
      </c>
      <c r="M8125" t="s">
        <v>8251</v>
      </c>
    </row>
    <row r="8126" spans="1:13">
      <c r="A8126" s="10">
        <v>46213</v>
      </c>
      <c r="B8126" t="s">
        <v>201</v>
      </c>
      <c r="C8126" s="135" t="s">
        <v>64</v>
      </c>
      <c r="D8126">
        <v>7</v>
      </c>
      <c r="E8126">
        <v>0</v>
      </c>
      <c r="I8126">
        <v>6</v>
      </c>
      <c r="K8126">
        <v>1</v>
      </c>
      <c r="L8126" t="s">
        <v>5545</v>
      </c>
      <c r="M8126" t="s">
        <v>8252</v>
      </c>
    </row>
    <row r="8127" spans="1:13">
      <c r="A8127" s="10">
        <v>46213</v>
      </c>
      <c r="B8127" t="s">
        <v>201</v>
      </c>
      <c r="C8127" t="s">
        <v>66</v>
      </c>
      <c r="D8127">
        <v>4</v>
      </c>
      <c r="E8127">
        <v>0</v>
      </c>
      <c r="I8127">
        <v>4</v>
      </c>
      <c r="M8127" t="s">
        <v>8253</v>
      </c>
    </row>
    <row r="8128" spans="1:13">
      <c r="A8128" s="10">
        <v>46213</v>
      </c>
      <c r="B8128" t="s">
        <v>201</v>
      </c>
      <c r="C8128" t="s">
        <v>67</v>
      </c>
      <c r="D8128">
        <v>4</v>
      </c>
      <c r="E8128">
        <v>0</v>
      </c>
      <c r="I8128">
        <v>4</v>
      </c>
      <c r="M8128" t="s">
        <v>8254</v>
      </c>
    </row>
    <row r="8129" spans="1:13">
      <c r="A8129" s="10">
        <v>46213</v>
      </c>
      <c r="B8129" t="s">
        <v>201</v>
      </c>
      <c r="C8129" t="s">
        <v>68</v>
      </c>
      <c r="D8129">
        <v>0</v>
      </c>
      <c r="E8129">
        <v>0</v>
      </c>
      <c r="I8129">
        <v>0</v>
      </c>
      <c r="M8129" t="s">
        <v>8255</v>
      </c>
    </row>
    <row r="8130" spans="1:13">
      <c r="A8130" s="10">
        <v>46213</v>
      </c>
      <c r="B8130" t="s">
        <v>201</v>
      </c>
      <c r="C8130" t="s">
        <v>71</v>
      </c>
      <c r="D8130">
        <v>1</v>
      </c>
      <c r="E8130">
        <v>359</v>
      </c>
      <c r="I8130">
        <v>1</v>
      </c>
      <c r="J8130">
        <v>253</v>
      </c>
      <c r="M8130" t="s">
        <v>8256</v>
      </c>
    </row>
    <row r="8131" spans="1:13">
      <c r="A8131" s="10">
        <v>46213</v>
      </c>
      <c r="B8131" t="s">
        <v>201</v>
      </c>
      <c r="C8131" t="s">
        <v>73</v>
      </c>
      <c r="D8131">
        <v>2</v>
      </c>
      <c r="E8131">
        <v>239</v>
      </c>
      <c r="I8131">
        <v>1</v>
      </c>
      <c r="J8131">
        <v>591</v>
      </c>
      <c r="M8131" t="s">
        <v>8257</v>
      </c>
    </row>
    <row r="8132" spans="1:13">
      <c r="A8132" s="10">
        <v>46213</v>
      </c>
      <c r="B8132" t="s">
        <v>201</v>
      </c>
      <c r="C8132" t="s">
        <v>75</v>
      </c>
      <c r="D8132">
        <v>0</v>
      </c>
      <c r="E8132">
        <v>386</v>
      </c>
      <c r="I8132">
        <v>0</v>
      </c>
      <c r="J8132">
        <v>364</v>
      </c>
      <c r="M8132" t="s">
        <v>8258</v>
      </c>
    </row>
    <row r="8133" spans="1:13">
      <c r="A8133" s="10">
        <v>46213</v>
      </c>
      <c r="B8133" t="s">
        <v>201</v>
      </c>
      <c r="C8133" t="s">
        <v>77</v>
      </c>
      <c r="D8133">
        <v>0</v>
      </c>
      <c r="E8133">
        <v>978</v>
      </c>
      <c r="I8133">
        <v>0</v>
      </c>
      <c r="J8133">
        <v>978</v>
      </c>
      <c r="M8133" t="s">
        <v>8259</v>
      </c>
    </row>
    <row r="8134" spans="1:13">
      <c r="A8134" s="10">
        <v>46213</v>
      </c>
      <c r="B8134" t="s">
        <v>201</v>
      </c>
      <c r="C8134" t="s">
        <v>79</v>
      </c>
      <c r="D8134">
        <v>1</v>
      </c>
      <c r="E8134">
        <v>825</v>
      </c>
      <c r="I8134">
        <v>1</v>
      </c>
      <c r="J8134">
        <v>626</v>
      </c>
      <c r="M8134" t="s">
        <v>8260</v>
      </c>
    </row>
    <row r="8135" spans="1:13">
      <c r="A8135" s="10">
        <v>46213</v>
      </c>
      <c r="B8135" t="s">
        <v>201</v>
      </c>
      <c r="C8135" t="s">
        <v>81</v>
      </c>
      <c r="D8135">
        <v>1</v>
      </c>
      <c r="E8135">
        <v>508</v>
      </c>
      <c r="I8135">
        <v>1</v>
      </c>
      <c r="J8135">
        <v>489</v>
      </c>
      <c r="M8135" t="s">
        <v>8261</v>
      </c>
    </row>
    <row r="8136" spans="1:13">
      <c r="A8136" s="10">
        <v>46213</v>
      </c>
      <c r="B8136" t="s">
        <v>201</v>
      </c>
      <c r="C8136" t="s">
        <v>83</v>
      </c>
      <c r="D8136">
        <v>1</v>
      </c>
      <c r="E8136">
        <v>328</v>
      </c>
      <c r="I8136">
        <v>1</v>
      </c>
      <c r="J8136">
        <v>328</v>
      </c>
      <c r="M8136" t="s">
        <v>8262</v>
      </c>
    </row>
    <row r="8137" spans="1:13">
      <c r="A8137" s="10">
        <v>46213</v>
      </c>
      <c r="B8137" t="s">
        <v>201</v>
      </c>
      <c r="C8137" t="s">
        <v>84</v>
      </c>
      <c r="D8137">
        <v>2</v>
      </c>
      <c r="E8137">
        <v>212</v>
      </c>
      <c r="I8137">
        <v>2</v>
      </c>
      <c r="J8137">
        <v>212</v>
      </c>
      <c r="M8137" t="s">
        <v>8263</v>
      </c>
    </row>
    <row r="8138" spans="1:13">
      <c r="A8138" s="10">
        <v>46213</v>
      </c>
      <c r="B8138" t="s">
        <v>201</v>
      </c>
      <c r="C8138" t="s">
        <v>85</v>
      </c>
      <c r="D8138">
        <v>0</v>
      </c>
      <c r="E8138">
        <v>131</v>
      </c>
      <c r="I8138">
        <v>0</v>
      </c>
      <c r="J8138">
        <v>131</v>
      </c>
      <c r="M8138" t="s">
        <v>8264</v>
      </c>
    </row>
    <row r="8139" spans="1:13">
      <c r="A8139" s="10">
        <v>46213</v>
      </c>
      <c r="B8139" t="s">
        <v>201</v>
      </c>
      <c r="C8139" t="s">
        <v>87</v>
      </c>
      <c r="D8139">
        <v>2</v>
      </c>
      <c r="E8139">
        <v>310</v>
      </c>
      <c r="I8139">
        <v>2</v>
      </c>
      <c r="J8139">
        <v>305</v>
      </c>
      <c r="M8139" t="s">
        <v>8265</v>
      </c>
    </row>
    <row r="8140" spans="1:13">
      <c r="A8140" s="10">
        <v>46213</v>
      </c>
      <c r="B8140" t="s">
        <v>201</v>
      </c>
      <c r="C8140" t="s">
        <v>88</v>
      </c>
      <c r="D8140">
        <v>1</v>
      </c>
      <c r="E8140">
        <v>233</v>
      </c>
      <c r="I8140">
        <v>1</v>
      </c>
      <c r="J8140">
        <v>205</v>
      </c>
      <c r="M8140" t="s">
        <v>8266</v>
      </c>
    </row>
    <row r="8141" spans="1:13">
      <c r="A8141" s="10">
        <v>46213</v>
      </c>
      <c r="B8141" t="s">
        <v>201</v>
      </c>
      <c r="C8141" t="s">
        <v>89</v>
      </c>
      <c r="D8141">
        <v>1</v>
      </c>
      <c r="E8141">
        <v>166</v>
      </c>
      <c r="I8141">
        <v>1</v>
      </c>
      <c r="J8141">
        <v>150</v>
      </c>
      <c r="M8141" t="s">
        <v>8267</v>
      </c>
    </row>
    <row r="8142" spans="1:13">
      <c r="A8142" s="10">
        <v>46213</v>
      </c>
      <c r="B8142" t="s">
        <v>201</v>
      </c>
      <c r="C8142" t="s">
        <v>90</v>
      </c>
      <c r="D8142">
        <v>1</v>
      </c>
      <c r="E8142">
        <v>806</v>
      </c>
      <c r="I8142">
        <v>1</v>
      </c>
      <c r="J8142">
        <v>746</v>
      </c>
      <c r="M8142" t="s">
        <v>8268</v>
      </c>
    </row>
    <row r="8143" spans="1:13">
      <c r="A8143" s="10">
        <v>46213</v>
      </c>
      <c r="B8143" t="s">
        <v>201</v>
      </c>
      <c r="C8143" t="s">
        <v>92</v>
      </c>
      <c r="D8143">
        <v>1</v>
      </c>
      <c r="E8143">
        <v>484</v>
      </c>
      <c r="I8143">
        <v>1</v>
      </c>
      <c r="J8143">
        <v>327</v>
      </c>
      <c r="M8143" t="s">
        <v>8269</v>
      </c>
    </row>
    <row r="8144" spans="1:13">
      <c r="A8144" s="10">
        <v>46213</v>
      </c>
      <c r="B8144" t="s">
        <v>201</v>
      </c>
      <c r="C8144" t="s">
        <v>94</v>
      </c>
      <c r="D8144">
        <v>1</v>
      </c>
      <c r="E8144">
        <v>344</v>
      </c>
      <c r="I8144">
        <v>0</v>
      </c>
      <c r="J8144">
        <v>0</v>
      </c>
      <c r="K8144">
        <v>208</v>
      </c>
      <c r="M8144" t="s">
        <v>8270</v>
      </c>
    </row>
    <row r="8145" spans="1:13">
      <c r="A8145" s="10">
        <v>46213</v>
      </c>
      <c r="B8145" t="s">
        <v>201</v>
      </c>
      <c r="C8145" t="s">
        <v>96</v>
      </c>
      <c r="D8145">
        <v>0</v>
      </c>
      <c r="E8145">
        <v>0</v>
      </c>
      <c r="I8145">
        <v>0</v>
      </c>
      <c r="J8145">
        <v>0</v>
      </c>
      <c r="M8145" t="s">
        <v>8271</v>
      </c>
    </row>
    <row r="8146" spans="1:13">
      <c r="A8146" s="10">
        <v>46213</v>
      </c>
      <c r="B8146" t="s">
        <v>201</v>
      </c>
      <c r="C8146" t="s">
        <v>98</v>
      </c>
      <c r="D8146">
        <v>0</v>
      </c>
      <c r="E8146">
        <v>255</v>
      </c>
      <c r="I8146">
        <v>0</v>
      </c>
      <c r="J8146">
        <v>122</v>
      </c>
      <c r="M8146" t="s">
        <v>8272</v>
      </c>
    </row>
    <row r="8147" spans="1:13">
      <c r="A8147" s="10">
        <v>46213</v>
      </c>
      <c r="B8147" t="s">
        <v>201</v>
      </c>
      <c r="C8147" t="s">
        <v>203</v>
      </c>
      <c r="D8147">
        <v>3</v>
      </c>
      <c r="E8147">
        <v>0</v>
      </c>
      <c r="I8147">
        <v>2</v>
      </c>
      <c r="J8147">
        <v>0</v>
      </c>
      <c r="M8147" t="s">
        <v>8273</v>
      </c>
    </row>
    <row r="8148" spans="1:13">
      <c r="A8148" s="10">
        <v>46213</v>
      </c>
      <c r="B8148" t="s">
        <v>201</v>
      </c>
      <c r="C8148" t="s">
        <v>100</v>
      </c>
      <c r="D8148">
        <v>0</v>
      </c>
      <c r="E8148">
        <v>0</v>
      </c>
      <c r="I8148">
        <v>0</v>
      </c>
      <c r="J8148">
        <v>0</v>
      </c>
      <c r="M8148" t="s">
        <v>8274</v>
      </c>
    </row>
    <row r="8149" spans="1:13">
      <c r="A8149" s="10">
        <v>46213</v>
      </c>
      <c r="B8149" t="s">
        <v>201</v>
      </c>
      <c r="C8149" t="s">
        <v>101</v>
      </c>
      <c r="D8149">
        <v>1</v>
      </c>
      <c r="E8149">
        <v>301</v>
      </c>
      <c r="I8149">
        <v>1</v>
      </c>
      <c r="J8149">
        <v>213</v>
      </c>
      <c r="M8149" t="s">
        <v>8275</v>
      </c>
    </row>
    <row r="8150" spans="1:13">
      <c r="A8150" s="10">
        <v>46213</v>
      </c>
      <c r="B8150" t="s">
        <v>201</v>
      </c>
      <c r="C8150" t="s">
        <v>103</v>
      </c>
      <c r="D8150">
        <v>0</v>
      </c>
      <c r="E8150">
        <v>11</v>
      </c>
      <c r="I8150">
        <v>0</v>
      </c>
      <c r="J8150">
        <v>10</v>
      </c>
      <c r="M8150" t="s">
        <v>8276</v>
      </c>
    </row>
    <row r="8151" spans="1:13">
      <c r="A8151" s="10">
        <v>46213</v>
      </c>
      <c r="B8151" t="s">
        <v>201</v>
      </c>
      <c r="C8151" t="s">
        <v>106</v>
      </c>
      <c r="D8151">
        <v>0</v>
      </c>
      <c r="E8151">
        <v>963</v>
      </c>
      <c r="I8151">
        <v>0</v>
      </c>
      <c r="J8151">
        <v>768</v>
      </c>
      <c r="M8151" t="s">
        <v>8277</v>
      </c>
    </row>
    <row r="8152" spans="1:13">
      <c r="A8152" s="10">
        <v>46213</v>
      </c>
      <c r="B8152" t="s">
        <v>201</v>
      </c>
      <c r="C8152" t="s">
        <v>108</v>
      </c>
      <c r="D8152">
        <v>1</v>
      </c>
      <c r="E8152">
        <v>254</v>
      </c>
      <c r="I8152">
        <v>0</v>
      </c>
      <c r="J8152">
        <v>1115</v>
      </c>
      <c r="M8152" t="s">
        <v>8278</v>
      </c>
    </row>
    <row r="8153" spans="1:13">
      <c r="A8153" s="10">
        <v>46213</v>
      </c>
      <c r="B8153" t="s">
        <v>201</v>
      </c>
      <c r="C8153" t="s">
        <v>109</v>
      </c>
      <c r="D8153">
        <v>1</v>
      </c>
      <c r="E8153">
        <v>458</v>
      </c>
      <c r="I8153">
        <v>0</v>
      </c>
      <c r="J8153">
        <v>1359</v>
      </c>
      <c r="M8153" t="s">
        <v>8279</v>
      </c>
    </row>
    <row r="8154" spans="1:13">
      <c r="A8154" s="10">
        <v>46213</v>
      </c>
      <c r="B8154" t="s">
        <v>201</v>
      </c>
      <c r="C8154" t="s">
        <v>112</v>
      </c>
      <c r="D8154">
        <v>1</v>
      </c>
      <c r="E8154">
        <v>15</v>
      </c>
      <c r="I8154">
        <v>1</v>
      </c>
      <c r="J8154">
        <v>11</v>
      </c>
      <c r="M8154" t="s">
        <v>8280</v>
      </c>
    </row>
    <row r="8155" spans="1:13">
      <c r="A8155" s="10">
        <v>46213</v>
      </c>
      <c r="B8155" t="s">
        <v>201</v>
      </c>
      <c r="C8155" t="s">
        <v>114</v>
      </c>
      <c r="D8155">
        <v>1</v>
      </c>
      <c r="E8155">
        <v>44</v>
      </c>
      <c r="I8155">
        <v>1</v>
      </c>
      <c r="J8155">
        <v>18</v>
      </c>
      <c r="M8155" t="s">
        <v>8281</v>
      </c>
    </row>
    <row r="8156" spans="1:13">
      <c r="A8156" s="10">
        <v>46213</v>
      </c>
      <c r="B8156" t="s">
        <v>201</v>
      </c>
      <c r="C8156" t="s">
        <v>115</v>
      </c>
      <c r="D8156">
        <v>1</v>
      </c>
      <c r="E8156">
        <v>33</v>
      </c>
      <c r="I8156">
        <v>1</v>
      </c>
      <c r="J8156">
        <v>27</v>
      </c>
      <c r="M8156" t="s">
        <v>8282</v>
      </c>
    </row>
    <row r="8157" spans="1:13">
      <c r="A8157" s="10">
        <v>46213</v>
      </c>
      <c r="B8157" t="s">
        <v>201</v>
      </c>
      <c r="C8157" t="s">
        <v>116</v>
      </c>
      <c r="D8157">
        <v>2</v>
      </c>
      <c r="E8157">
        <v>35</v>
      </c>
      <c r="I8157">
        <v>2</v>
      </c>
      <c r="J8157">
        <v>25</v>
      </c>
      <c r="M8157" t="s">
        <v>8283</v>
      </c>
    </row>
    <row r="8158" spans="1:13">
      <c r="A8158" s="10">
        <v>46213</v>
      </c>
      <c r="B8158" t="s">
        <v>201</v>
      </c>
      <c r="C8158" t="s">
        <v>119</v>
      </c>
      <c r="D8158">
        <v>4</v>
      </c>
      <c r="E8158">
        <v>0</v>
      </c>
      <c r="I8158">
        <v>4</v>
      </c>
      <c r="M8158" t="s">
        <v>8284</v>
      </c>
    </row>
    <row r="8159" spans="1:13">
      <c r="A8159" s="10">
        <v>46213</v>
      </c>
      <c r="B8159" t="s">
        <v>201</v>
      </c>
      <c r="C8159" t="s">
        <v>120</v>
      </c>
      <c r="D8159">
        <v>1</v>
      </c>
      <c r="E8159">
        <v>0</v>
      </c>
      <c r="I8159">
        <v>0</v>
      </c>
      <c r="M8159" t="s">
        <v>8285</v>
      </c>
    </row>
    <row r="8160" spans="1:13">
      <c r="A8160" s="10">
        <v>46213</v>
      </c>
      <c r="B8160" t="s">
        <v>201</v>
      </c>
      <c r="C8160" t="s">
        <v>121</v>
      </c>
      <c r="D8160">
        <v>2</v>
      </c>
      <c r="E8160">
        <v>0</v>
      </c>
      <c r="I8160">
        <v>2</v>
      </c>
      <c r="M8160" t="s">
        <v>8286</v>
      </c>
    </row>
    <row r="8161" spans="1:13">
      <c r="A8161" s="10">
        <v>46213</v>
      </c>
      <c r="B8161" t="s">
        <v>201</v>
      </c>
      <c r="C8161" t="s">
        <v>123</v>
      </c>
      <c r="D8161">
        <v>2</v>
      </c>
      <c r="E8161">
        <v>0</v>
      </c>
      <c r="I8161">
        <v>2</v>
      </c>
      <c r="M8161" t="s">
        <v>8287</v>
      </c>
    </row>
    <row r="8162" spans="1:13">
      <c r="A8162" s="10">
        <v>46213</v>
      </c>
      <c r="B8162" t="s">
        <v>201</v>
      </c>
      <c r="C8162" t="s">
        <v>124</v>
      </c>
      <c r="D8162">
        <v>2</v>
      </c>
      <c r="E8162">
        <v>0</v>
      </c>
      <c r="I8162">
        <v>2</v>
      </c>
      <c r="M8162" t="s">
        <v>8288</v>
      </c>
    </row>
    <row r="8163" spans="1:13">
      <c r="A8163" s="10">
        <v>46213</v>
      </c>
      <c r="B8163" t="s">
        <v>201</v>
      </c>
      <c r="C8163" t="s">
        <v>125</v>
      </c>
      <c r="D8163">
        <v>2</v>
      </c>
      <c r="E8163">
        <v>0</v>
      </c>
      <c r="I8163">
        <v>2</v>
      </c>
      <c r="M8163" t="s">
        <v>8289</v>
      </c>
    </row>
    <row r="8164" spans="1:13">
      <c r="A8164" s="10">
        <v>46213</v>
      </c>
      <c r="B8164" t="s">
        <v>201</v>
      </c>
      <c r="C8164" t="s">
        <v>126</v>
      </c>
      <c r="D8164">
        <v>2</v>
      </c>
      <c r="E8164">
        <v>0</v>
      </c>
      <c r="I8164">
        <v>2</v>
      </c>
      <c r="M8164" t="s">
        <v>8290</v>
      </c>
    </row>
    <row r="8165" spans="1:13">
      <c r="A8165" s="10">
        <v>46213</v>
      </c>
      <c r="B8165" t="s">
        <v>201</v>
      </c>
      <c r="C8165" t="s">
        <v>128</v>
      </c>
      <c r="D8165">
        <v>2</v>
      </c>
      <c r="E8165">
        <v>0</v>
      </c>
      <c r="I8165">
        <v>2</v>
      </c>
      <c r="M8165" t="s">
        <v>8291</v>
      </c>
    </row>
    <row r="8166" spans="1:13">
      <c r="A8166" s="10">
        <v>46213</v>
      </c>
      <c r="B8166" t="s">
        <v>201</v>
      </c>
      <c r="C8166" t="s">
        <v>130</v>
      </c>
      <c r="D8166">
        <v>4</v>
      </c>
      <c r="E8166">
        <v>0</v>
      </c>
      <c r="I8166">
        <v>4</v>
      </c>
      <c r="M8166" t="s">
        <v>8292</v>
      </c>
    </row>
    <row r="8167" spans="1:13">
      <c r="A8167" s="10">
        <v>46213</v>
      </c>
      <c r="B8167" t="s">
        <v>201</v>
      </c>
      <c r="C8167" t="s">
        <v>285</v>
      </c>
      <c r="D8167">
        <v>2</v>
      </c>
      <c r="E8167">
        <v>0</v>
      </c>
      <c r="I8167">
        <v>2</v>
      </c>
      <c r="M8167" t="s">
        <v>8293</v>
      </c>
    </row>
    <row r="8168" spans="1:13">
      <c r="A8168" s="10">
        <v>46213</v>
      </c>
      <c r="B8168" t="s">
        <v>201</v>
      </c>
      <c r="C8168" t="s">
        <v>287</v>
      </c>
      <c r="D8168">
        <v>5</v>
      </c>
      <c r="E8168">
        <v>0</v>
      </c>
      <c r="I8168">
        <v>5</v>
      </c>
      <c r="M8168" t="s">
        <v>8294</v>
      </c>
    </row>
    <row r="8169" spans="1:13">
      <c r="A8169" s="10">
        <v>46213</v>
      </c>
      <c r="B8169" t="s">
        <v>201</v>
      </c>
      <c r="C8169" t="s">
        <v>289</v>
      </c>
      <c r="D8169">
        <v>2</v>
      </c>
      <c r="E8169">
        <v>0</v>
      </c>
      <c r="I8169">
        <v>2</v>
      </c>
      <c r="M8169" t="s">
        <v>8295</v>
      </c>
    </row>
    <row r="8170" spans="1:13">
      <c r="A8170" s="10">
        <v>46213</v>
      </c>
      <c r="B8170" t="s">
        <v>201</v>
      </c>
      <c r="C8170" t="s">
        <v>291</v>
      </c>
      <c r="D8170">
        <v>0</v>
      </c>
      <c r="E8170">
        <v>0</v>
      </c>
      <c r="I8170">
        <v>0</v>
      </c>
      <c r="M8170" t="s">
        <v>8296</v>
      </c>
    </row>
    <row r="8171" spans="1:13">
      <c r="A8171" s="10">
        <v>46213</v>
      </c>
      <c r="B8171" t="s">
        <v>201</v>
      </c>
      <c r="C8171" t="s">
        <v>293</v>
      </c>
      <c r="D8171">
        <v>3</v>
      </c>
      <c r="E8171">
        <v>0</v>
      </c>
      <c r="I8171">
        <v>3</v>
      </c>
      <c r="M8171" t="s">
        <v>8297</v>
      </c>
    </row>
    <row r="8172" spans="1:13">
      <c r="A8172" s="10">
        <v>46213</v>
      </c>
      <c r="B8172" t="s">
        <v>201</v>
      </c>
      <c r="C8172" s="135" t="s">
        <v>138</v>
      </c>
      <c r="D8172">
        <v>0</v>
      </c>
      <c r="E8172">
        <v>44</v>
      </c>
      <c r="I8172">
        <v>0</v>
      </c>
      <c r="J8172">
        <v>41</v>
      </c>
      <c r="M8172" t="s">
        <v>8298</v>
      </c>
    </row>
    <row r="8173" spans="1:13">
      <c r="A8173" s="10">
        <v>46213</v>
      </c>
      <c r="B8173" t="s">
        <v>201</v>
      </c>
      <c r="C8173" s="135" t="s">
        <v>139</v>
      </c>
      <c r="D8173">
        <v>0</v>
      </c>
      <c r="E8173">
        <v>29</v>
      </c>
      <c r="I8173">
        <v>0</v>
      </c>
      <c r="J8173">
        <v>22</v>
      </c>
      <c r="M8173" t="s">
        <v>8299</v>
      </c>
    </row>
    <row r="8174" spans="1:13">
      <c r="A8174" s="10">
        <v>46213</v>
      </c>
      <c r="B8174" t="s">
        <v>201</v>
      </c>
      <c r="C8174" s="135" t="s">
        <v>140</v>
      </c>
      <c r="D8174">
        <v>0</v>
      </c>
      <c r="E8174">
        <v>46</v>
      </c>
      <c r="I8174">
        <v>0</v>
      </c>
      <c r="J8174">
        <v>46</v>
      </c>
      <c r="M8174" t="s">
        <v>8300</v>
      </c>
    </row>
    <row r="8175" spans="1:13">
      <c r="A8175" s="10">
        <v>46213</v>
      </c>
      <c r="B8175" t="s">
        <v>201</v>
      </c>
      <c r="C8175" s="135" t="s">
        <v>141</v>
      </c>
      <c r="D8175">
        <v>0</v>
      </c>
      <c r="E8175">
        <v>0</v>
      </c>
      <c r="I8175">
        <v>0</v>
      </c>
      <c r="J8175">
        <v>0</v>
      </c>
      <c r="M8175" t="s">
        <v>8301</v>
      </c>
    </row>
    <row r="8176" spans="1:13">
      <c r="A8176" s="10">
        <v>46213</v>
      </c>
      <c r="B8176" t="s">
        <v>201</v>
      </c>
      <c r="C8176" s="135" t="s">
        <v>143</v>
      </c>
      <c r="D8176">
        <v>0</v>
      </c>
      <c r="E8176">
        <v>43</v>
      </c>
      <c r="I8176">
        <v>0</v>
      </c>
      <c r="J8176">
        <v>36</v>
      </c>
      <c r="M8176" t="s">
        <v>8302</v>
      </c>
    </row>
    <row r="8177" spans="1:13">
      <c r="A8177" s="10">
        <v>46213</v>
      </c>
      <c r="B8177" t="s">
        <v>201</v>
      </c>
      <c r="C8177" s="135" t="s">
        <v>145</v>
      </c>
      <c r="D8177">
        <v>0</v>
      </c>
      <c r="E8177">
        <v>41</v>
      </c>
      <c r="I8177">
        <v>0</v>
      </c>
      <c r="J8177">
        <v>38</v>
      </c>
      <c r="M8177" t="s">
        <v>8303</v>
      </c>
    </row>
    <row r="8178" spans="1:13">
      <c r="A8178" s="10">
        <v>46213</v>
      </c>
      <c r="B8178" t="s">
        <v>201</v>
      </c>
      <c r="C8178" s="135" t="s">
        <v>147</v>
      </c>
      <c r="D8178">
        <v>0</v>
      </c>
      <c r="E8178">
        <v>40</v>
      </c>
      <c r="I8178">
        <v>0</v>
      </c>
      <c r="J8178">
        <v>38</v>
      </c>
      <c r="M8178" t="s">
        <v>8304</v>
      </c>
    </row>
    <row r="8179" spans="1:13">
      <c r="A8179" s="10">
        <v>46213</v>
      </c>
      <c r="B8179" t="s">
        <v>201</v>
      </c>
      <c r="C8179" t="s">
        <v>302</v>
      </c>
      <c r="D8179">
        <v>1</v>
      </c>
      <c r="E8179">
        <v>0</v>
      </c>
      <c r="I8179">
        <v>1</v>
      </c>
      <c r="M8179" t="s">
        <v>8305</v>
      </c>
    </row>
    <row r="8180" spans="1:13">
      <c r="A8180" s="10">
        <v>46213</v>
      </c>
      <c r="B8180" t="s">
        <v>201</v>
      </c>
      <c r="C8180" t="s">
        <v>150</v>
      </c>
      <c r="D8180">
        <v>3</v>
      </c>
      <c r="E8180">
        <v>0</v>
      </c>
      <c r="I8180">
        <v>3</v>
      </c>
      <c r="M8180" t="s">
        <v>8306</v>
      </c>
    </row>
    <row r="8181" spans="1:13">
      <c r="A8181" s="10">
        <v>46213</v>
      </c>
      <c r="B8181" t="s">
        <v>201</v>
      </c>
      <c r="C8181" t="s">
        <v>151</v>
      </c>
      <c r="D8181">
        <v>2</v>
      </c>
      <c r="E8181">
        <v>0</v>
      </c>
      <c r="I8181">
        <v>2</v>
      </c>
      <c r="M8181" t="s">
        <v>8307</v>
      </c>
    </row>
    <row r="8182" spans="1:13">
      <c r="A8182" s="10">
        <v>46213</v>
      </c>
      <c r="B8182" t="s">
        <v>201</v>
      </c>
      <c r="C8182" t="s">
        <v>152</v>
      </c>
      <c r="D8182">
        <v>2</v>
      </c>
      <c r="E8182">
        <v>0</v>
      </c>
      <c r="I8182">
        <v>2</v>
      </c>
      <c r="M8182" t="s">
        <v>8308</v>
      </c>
    </row>
    <row r="8183" spans="1:13">
      <c r="A8183" s="10">
        <v>46213</v>
      </c>
      <c r="B8183" t="s">
        <v>201</v>
      </c>
      <c r="C8183" t="s">
        <v>153</v>
      </c>
      <c r="D8183">
        <v>2</v>
      </c>
      <c r="E8183">
        <v>0</v>
      </c>
      <c r="I8183">
        <v>2</v>
      </c>
      <c r="M8183" t="s">
        <v>8309</v>
      </c>
    </row>
    <row r="8184" spans="1:13">
      <c r="A8184" s="10">
        <v>46213</v>
      </c>
      <c r="B8184" t="s">
        <v>201</v>
      </c>
      <c r="C8184" t="s">
        <v>308</v>
      </c>
      <c r="D8184">
        <v>0</v>
      </c>
      <c r="E8184">
        <v>3</v>
      </c>
      <c r="I8184">
        <v>0</v>
      </c>
      <c r="J8184">
        <v>3</v>
      </c>
      <c r="M8184" t="s">
        <v>8310</v>
      </c>
    </row>
    <row r="8185" spans="1:13">
      <c r="A8185" s="10">
        <v>46213</v>
      </c>
      <c r="B8185" t="s">
        <v>201</v>
      </c>
      <c r="C8185" t="s">
        <v>310</v>
      </c>
      <c r="D8185">
        <v>0</v>
      </c>
      <c r="E8185">
        <v>2</v>
      </c>
      <c r="I8185">
        <v>0</v>
      </c>
      <c r="J8185">
        <v>2</v>
      </c>
      <c r="M8185" t="s">
        <v>8311</v>
      </c>
    </row>
    <row r="8186" spans="1:13">
      <c r="A8186" s="10">
        <v>46213</v>
      </c>
      <c r="B8186" t="s">
        <v>201</v>
      </c>
      <c r="C8186" t="s">
        <v>312</v>
      </c>
      <c r="D8186">
        <v>0</v>
      </c>
      <c r="E8186">
        <v>6</v>
      </c>
      <c r="I8186">
        <v>0</v>
      </c>
      <c r="J8186">
        <v>5</v>
      </c>
      <c r="M8186" t="s">
        <v>8312</v>
      </c>
    </row>
    <row r="8187" spans="1:13">
      <c r="A8187" s="10">
        <v>46213</v>
      </c>
      <c r="B8187" t="s">
        <v>201</v>
      </c>
      <c r="C8187" t="s">
        <v>314</v>
      </c>
      <c r="D8187">
        <v>1</v>
      </c>
      <c r="E8187">
        <v>0</v>
      </c>
      <c r="I8187">
        <v>1</v>
      </c>
      <c r="M8187" t="s">
        <v>8313</v>
      </c>
    </row>
    <row r="8188" spans="1:13">
      <c r="A8188" s="10">
        <v>46213</v>
      </c>
      <c r="B8188" t="s">
        <v>201</v>
      </c>
      <c r="C8188" t="s">
        <v>316</v>
      </c>
      <c r="D8188">
        <v>1</v>
      </c>
      <c r="E8188">
        <v>0</v>
      </c>
      <c r="I8188">
        <v>1</v>
      </c>
      <c r="M8188" t="s">
        <v>8314</v>
      </c>
    </row>
    <row r="8189" spans="1:13">
      <c r="A8189" s="10">
        <v>46213</v>
      </c>
      <c r="B8189" t="s">
        <v>201</v>
      </c>
      <c r="C8189" t="s">
        <v>318</v>
      </c>
      <c r="D8189">
        <v>3</v>
      </c>
      <c r="E8189">
        <v>0</v>
      </c>
      <c r="I8189">
        <v>3</v>
      </c>
      <c r="M8189" t="s">
        <v>8315</v>
      </c>
    </row>
    <row r="8190" spans="1:13">
      <c r="A8190" s="10">
        <v>46213</v>
      </c>
      <c r="B8190" t="s">
        <v>201</v>
      </c>
      <c r="C8190" t="s">
        <v>320</v>
      </c>
      <c r="D8190">
        <v>3</v>
      </c>
      <c r="E8190">
        <v>0</v>
      </c>
      <c r="I8190">
        <v>3</v>
      </c>
      <c r="M8190" t="s">
        <v>8316</v>
      </c>
    </row>
    <row r="8191" spans="1:13">
      <c r="A8191" s="10">
        <v>46213</v>
      </c>
      <c r="B8191" t="s">
        <v>201</v>
      </c>
      <c r="C8191" t="s">
        <v>322</v>
      </c>
      <c r="D8191">
        <v>1</v>
      </c>
      <c r="E8191">
        <v>0</v>
      </c>
      <c r="I8191">
        <v>1</v>
      </c>
      <c r="M8191" t="s">
        <v>8317</v>
      </c>
    </row>
    <row r="8192" spans="1:13">
      <c r="A8192" s="10">
        <v>46213</v>
      </c>
      <c r="B8192" t="s">
        <v>201</v>
      </c>
      <c r="C8192" s="135" t="s">
        <v>168</v>
      </c>
      <c r="D8192">
        <v>1</v>
      </c>
      <c r="E8192">
        <v>0</v>
      </c>
      <c r="I8192">
        <v>1</v>
      </c>
      <c r="M8192" t="s">
        <v>8318</v>
      </c>
    </row>
    <row r="8193" spans="1:13">
      <c r="A8193" s="10">
        <v>46213</v>
      </c>
      <c r="B8193" t="s">
        <v>201</v>
      </c>
      <c r="C8193" s="135" t="s">
        <v>170</v>
      </c>
      <c r="D8193">
        <v>1</v>
      </c>
      <c r="E8193">
        <v>0</v>
      </c>
      <c r="I8193">
        <v>1</v>
      </c>
      <c r="M8193" t="s">
        <v>8319</v>
      </c>
    </row>
    <row r="8194" spans="1:13">
      <c r="A8194" s="10">
        <v>46213</v>
      </c>
      <c r="B8194" t="s">
        <v>201</v>
      </c>
      <c r="C8194" s="135" t="s">
        <v>171</v>
      </c>
      <c r="D8194">
        <v>2</v>
      </c>
      <c r="E8194">
        <v>0</v>
      </c>
      <c r="I8194">
        <v>2</v>
      </c>
      <c r="M8194" t="s">
        <v>8320</v>
      </c>
    </row>
    <row r="8195" spans="1:13">
      <c r="A8195" s="10">
        <v>46213</v>
      </c>
      <c r="B8195" t="s">
        <v>201</v>
      </c>
      <c r="C8195" s="135" t="s">
        <v>172</v>
      </c>
      <c r="D8195">
        <v>1</v>
      </c>
      <c r="E8195">
        <v>0</v>
      </c>
      <c r="I8195">
        <v>1</v>
      </c>
      <c r="M8195" t="s">
        <v>8321</v>
      </c>
    </row>
    <row r="8196" spans="1:13">
      <c r="A8196" s="10">
        <v>46213</v>
      </c>
      <c r="B8196" t="s">
        <v>201</v>
      </c>
      <c r="C8196" s="135" t="s">
        <v>173</v>
      </c>
      <c r="D8196">
        <v>0</v>
      </c>
      <c r="E8196">
        <v>0</v>
      </c>
      <c r="I8196">
        <v>0</v>
      </c>
      <c r="M8196" t="s">
        <v>8322</v>
      </c>
    </row>
    <row r="8197" spans="1:13">
      <c r="A8197" s="10">
        <v>46213</v>
      </c>
      <c r="B8197" t="s">
        <v>201</v>
      </c>
      <c r="C8197" t="s">
        <v>176</v>
      </c>
      <c r="D8197">
        <v>0</v>
      </c>
      <c r="E8197">
        <v>21</v>
      </c>
      <c r="I8197">
        <v>0</v>
      </c>
      <c r="J8197">
        <v>21</v>
      </c>
      <c r="M8197" t="s">
        <v>8323</v>
      </c>
    </row>
    <row r="8198" spans="1:13">
      <c r="A8198" s="10">
        <v>46213</v>
      </c>
      <c r="B8198" t="s">
        <v>201</v>
      </c>
      <c r="C8198" t="s">
        <v>178</v>
      </c>
      <c r="D8198">
        <v>0</v>
      </c>
      <c r="E8198">
        <v>21</v>
      </c>
      <c r="H8198">
        <v>1</v>
      </c>
      <c r="I8198">
        <v>0</v>
      </c>
      <c r="J8198">
        <v>20</v>
      </c>
      <c r="M8198" t="s">
        <v>8324</v>
      </c>
    </row>
    <row r="8199" spans="1:13">
      <c r="A8199" s="10">
        <v>46213</v>
      </c>
      <c r="B8199" t="s">
        <v>201</v>
      </c>
      <c r="C8199" t="s">
        <v>179</v>
      </c>
      <c r="D8199">
        <v>0</v>
      </c>
      <c r="E8199">
        <v>14</v>
      </c>
      <c r="I8199">
        <v>0</v>
      </c>
      <c r="J8199">
        <v>14</v>
      </c>
      <c r="M8199" t="s">
        <v>8325</v>
      </c>
    </row>
    <row r="8200" spans="1:13">
      <c r="A8200" s="10">
        <v>46213</v>
      </c>
      <c r="B8200" t="s">
        <v>201</v>
      </c>
      <c r="C8200" t="s">
        <v>180</v>
      </c>
      <c r="D8200">
        <v>0</v>
      </c>
      <c r="E8200">
        <v>19</v>
      </c>
      <c r="I8200">
        <v>0</v>
      </c>
      <c r="J8200">
        <v>19</v>
      </c>
      <c r="M8200" t="s">
        <v>8326</v>
      </c>
    </row>
    <row r="8201" spans="1:13">
      <c r="A8201" s="10">
        <v>46213</v>
      </c>
      <c r="B8201" t="s">
        <v>201</v>
      </c>
      <c r="C8201" s="135" t="s">
        <v>182</v>
      </c>
      <c r="D8201">
        <v>1</v>
      </c>
      <c r="E8201">
        <v>150</v>
      </c>
      <c r="I8201">
        <v>1</v>
      </c>
      <c r="J8201">
        <v>150</v>
      </c>
      <c r="M8201" t="s">
        <v>8327</v>
      </c>
    </row>
    <row r="8202" spans="1:13">
      <c r="A8202" s="10">
        <v>46213</v>
      </c>
      <c r="B8202" t="s">
        <v>201</v>
      </c>
      <c r="C8202" s="135" t="s">
        <v>184</v>
      </c>
      <c r="D8202">
        <v>2</v>
      </c>
      <c r="E8202">
        <v>20</v>
      </c>
      <c r="I8202">
        <v>2</v>
      </c>
      <c r="J8202">
        <v>20</v>
      </c>
      <c r="M8202" t="s">
        <v>8328</v>
      </c>
    </row>
    <row r="8203" spans="1:13">
      <c r="A8203" s="10">
        <v>46213</v>
      </c>
      <c r="B8203" t="s">
        <v>201</v>
      </c>
      <c r="C8203" s="135" t="s">
        <v>185</v>
      </c>
      <c r="D8203">
        <v>1</v>
      </c>
      <c r="E8203">
        <v>20</v>
      </c>
      <c r="I8203">
        <v>1</v>
      </c>
      <c r="J8203">
        <v>20</v>
      </c>
      <c r="M8203" t="s">
        <v>8329</v>
      </c>
    </row>
    <row r="8204" spans="1:13">
      <c r="A8204" s="10">
        <v>46213</v>
      </c>
      <c r="B8204" t="s">
        <v>201</v>
      </c>
      <c r="C8204" s="135" t="s">
        <v>186</v>
      </c>
      <c r="D8204">
        <v>1</v>
      </c>
      <c r="E8204">
        <v>490</v>
      </c>
      <c r="I8204">
        <v>1</v>
      </c>
      <c r="J8204">
        <v>490</v>
      </c>
      <c r="M8204" t="s">
        <v>8330</v>
      </c>
    </row>
    <row r="8205" spans="1:13">
      <c r="A8205" s="10">
        <v>46213</v>
      </c>
      <c r="B8205" t="s">
        <v>201</v>
      </c>
      <c r="C8205" t="s">
        <v>337</v>
      </c>
      <c r="D8205">
        <v>2</v>
      </c>
      <c r="E8205">
        <v>274</v>
      </c>
      <c r="I8205">
        <v>2</v>
      </c>
      <c r="J8205">
        <v>239</v>
      </c>
      <c r="M8205" t="s">
        <v>8331</v>
      </c>
    </row>
    <row r="8206" spans="1:13">
      <c r="A8206" s="10">
        <v>46213</v>
      </c>
      <c r="B8206" t="s">
        <v>201</v>
      </c>
      <c r="C8206" t="s">
        <v>339</v>
      </c>
      <c r="D8206">
        <v>0</v>
      </c>
      <c r="E8206">
        <v>0</v>
      </c>
      <c r="I8206">
        <v>0</v>
      </c>
      <c r="J8206">
        <v>0</v>
      </c>
      <c r="M8206" t="s">
        <v>8332</v>
      </c>
    </row>
    <row r="8207" spans="1:13">
      <c r="A8207" s="10">
        <v>46213</v>
      </c>
      <c r="B8207" t="s">
        <v>201</v>
      </c>
      <c r="C8207" s="135" t="s">
        <v>191</v>
      </c>
      <c r="D8207">
        <v>1</v>
      </c>
      <c r="E8207">
        <v>243</v>
      </c>
      <c r="I8207">
        <v>1</v>
      </c>
      <c r="J8207">
        <v>190</v>
      </c>
      <c r="M8207" t="s">
        <v>8333</v>
      </c>
    </row>
    <row r="8208" spans="1:13">
      <c r="A8208" s="10">
        <v>46213</v>
      </c>
      <c r="B8208" t="s">
        <v>201</v>
      </c>
      <c r="C8208" s="135" t="s">
        <v>193</v>
      </c>
      <c r="D8208">
        <v>1</v>
      </c>
      <c r="E8208">
        <v>171</v>
      </c>
      <c r="I8208">
        <v>0</v>
      </c>
      <c r="J8208">
        <v>669</v>
      </c>
      <c r="M8208" t="s">
        <v>8334</v>
      </c>
    </row>
    <row r="8209" spans="1:13">
      <c r="A8209" s="10">
        <v>46213</v>
      </c>
      <c r="B8209" t="s">
        <v>201</v>
      </c>
      <c r="C8209" s="135" t="s">
        <v>194</v>
      </c>
      <c r="D8209">
        <v>1</v>
      </c>
      <c r="E8209">
        <v>38</v>
      </c>
      <c r="I8209">
        <v>1</v>
      </c>
      <c r="J8209">
        <v>38</v>
      </c>
      <c r="M8209" t="s">
        <v>8335</v>
      </c>
    </row>
    <row r="8210" spans="1:13">
      <c r="A8210" s="10">
        <v>46213</v>
      </c>
      <c r="B8210" t="s">
        <v>201</v>
      </c>
      <c r="C8210" s="135" t="s">
        <v>196</v>
      </c>
      <c r="D8210">
        <v>0</v>
      </c>
      <c r="E8210">
        <v>690</v>
      </c>
      <c r="I8210">
        <v>0</v>
      </c>
      <c r="J8210">
        <v>690</v>
      </c>
      <c r="M8210" t="s">
        <v>8336</v>
      </c>
    </row>
    <row r="8211" spans="1:13">
      <c r="A8211" s="10">
        <v>46213</v>
      </c>
      <c r="B8211" t="s">
        <v>201</v>
      </c>
      <c r="C8211" s="135" t="s">
        <v>199</v>
      </c>
      <c r="D8211">
        <v>0</v>
      </c>
      <c r="E8211">
        <v>84</v>
      </c>
      <c r="I8211">
        <v>0</v>
      </c>
      <c r="J8211">
        <v>48</v>
      </c>
      <c r="M8211" t="s">
        <v>8337</v>
      </c>
    </row>
    <row r="8212" spans="1:13">
      <c r="A8212" s="10">
        <v>46213</v>
      </c>
      <c r="B8212" t="s">
        <v>201</v>
      </c>
      <c r="C8212" s="135" t="s">
        <v>200</v>
      </c>
      <c r="D8212">
        <v>0</v>
      </c>
      <c r="E8212">
        <v>179</v>
      </c>
      <c r="I8212">
        <v>0</v>
      </c>
      <c r="J8212">
        <v>152</v>
      </c>
      <c r="M8212" t="s">
        <v>8338</v>
      </c>
    </row>
    <row r="8213" spans="1:13">
      <c r="A8213" s="10">
        <v>46213</v>
      </c>
      <c r="B8213" t="s">
        <v>201</v>
      </c>
      <c r="C8213" s="135" t="s">
        <v>202</v>
      </c>
      <c r="D8213">
        <v>0</v>
      </c>
      <c r="E8213">
        <v>250</v>
      </c>
      <c r="I8213">
        <v>0</v>
      </c>
      <c r="J8213">
        <v>230</v>
      </c>
      <c r="M8213" t="s">
        <v>8339</v>
      </c>
    </row>
    <row r="8214" spans="1:13">
      <c r="A8214" s="10">
        <v>46214</v>
      </c>
      <c r="B8214" t="s">
        <v>201</v>
      </c>
      <c r="C8214" t="s">
        <v>23</v>
      </c>
      <c r="D8214">
        <v>4</v>
      </c>
      <c r="E8214">
        <v>150</v>
      </c>
      <c r="F8214">
        <v>2</v>
      </c>
      <c r="I8214">
        <v>3</v>
      </c>
      <c r="J8214">
        <v>2292</v>
      </c>
      <c r="M8214" t="s">
        <v>8340</v>
      </c>
    </row>
    <row r="8215" spans="1:13">
      <c r="A8215" s="10">
        <v>46214</v>
      </c>
      <c r="B8215" t="s">
        <v>201</v>
      </c>
      <c r="C8215" t="s">
        <v>26</v>
      </c>
      <c r="D8215">
        <v>2</v>
      </c>
      <c r="E8215">
        <v>342</v>
      </c>
      <c r="I8215">
        <v>1</v>
      </c>
      <c r="J8215">
        <v>1008</v>
      </c>
      <c r="M8215" t="s">
        <v>8341</v>
      </c>
    </row>
    <row r="8216" spans="1:13">
      <c r="A8216" s="10">
        <v>46214</v>
      </c>
      <c r="B8216" t="s">
        <v>201</v>
      </c>
      <c r="C8216" t="s">
        <v>27</v>
      </c>
      <c r="D8216">
        <v>0</v>
      </c>
      <c r="E8216">
        <v>663</v>
      </c>
      <c r="F8216">
        <v>1</v>
      </c>
      <c r="I8216">
        <v>1</v>
      </c>
      <c r="J8216">
        <v>492</v>
      </c>
      <c r="M8216" t="s">
        <v>8342</v>
      </c>
    </row>
    <row r="8217" spans="1:13">
      <c r="A8217" s="10">
        <v>46214</v>
      </c>
      <c r="B8217" t="s">
        <v>201</v>
      </c>
      <c r="C8217" t="s">
        <v>28</v>
      </c>
      <c r="D8217">
        <v>0</v>
      </c>
      <c r="E8217">
        <v>0</v>
      </c>
      <c r="I8217">
        <v>0</v>
      </c>
      <c r="J8217">
        <v>0</v>
      </c>
      <c r="M8217" t="s">
        <v>8343</v>
      </c>
    </row>
    <row r="8218" spans="1:13">
      <c r="A8218" s="10">
        <v>46214</v>
      </c>
      <c r="B8218" t="s">
        <v>201</v>
      </c>
      <c r="C8218" t="s">
        <v>29</v>
      </c>
      <c r="D8218">
        <v>0</v>
      </c>
      <c r="E8218">
        <v>748</v>
      </c>
      <c r="F8218">
        <v>940</v>
      </c>
      <c r="I8218">
        <v>0</v>
      </c>
      <c r="J8218">
        <v>727</v>
      </c>
      <c r="M8218" t="s">
        <v>8344</v>
      </c>
    </row>
    <row r="8219" spans="1:13">
      <c r="A8219" s="10">
        <v>46214</v>
      </c>
      <c r="B8219" t="s">
        <v>201</v>
      </c>
      <c r="C8219" t="s">
        <v>30</v>
      </c>
      <c r="D8219">
        <v>0</v>
      </c>
      <c r="E8219">
        <v>167</v>
      </c>
      <c r="F8219">
        <v>450</v>
      </c>
      <c r="I8219">
        <v>0</v>
      </c>
      <c r="J8219">
        <v>162</v>
      </c>
      <c r="M8219" t="s">
        <v>8345</v>
      </c>
    </row>
    <row r="8220" spans="1:13">
      <c r="A8220" s="10">
        <v>46214</v>
      </c>
      <c r="B8220" t="s">
        <v>201</v>
      </c>
      <c r="C8220" t="s">
        <v>31</v>
      </c>
      <c r="D8220">
        <v>1</v>
      </c>
      <c r="E8220">
        <v>168</v>
      </c>
      <c r="I8220">
        <v>0</v>
      </c>
      <c r="J8220">
        <v>1060</v>
      </c>
      <c r="M8220" t="s">
        <v>8346</v>
      </c>
    </row>
    <row r="8221" spans="1:13">
      <c r="A8221" s="10">
        <v>46214</v>
      </c>
      <c r="B8221" t="s">
        <v>201</v>
      </c>
      <c r="C8221" t="s">
        <v>32</v>
      </c>
      <c r="D8221">
        <v>2</v>
      </c>
      <c r="E8221">
        <v>908</v>
      </c>
      <c r="F8221">
        <v>2</v>
      </c>
      <c r="I8221">
        <v>2</v>
      </c>
      <c r="J8221">
        <v>720</v>
      </c>
      <c r="M8221" t="s">
        <v>8347</v>
      </c>
    </row>
    <row r="8222" spans="1:13">
      <c r="A8222" s="10">
        <v>46214</v>
      </c>
      <c r="B8222" t="s">
        <v>201</v>
      </c>
      <c r="C8222" t="s">
        <v>223</v>
      </c>
      <c r="D8222">
        <v>4</v>
      </c>
      <c r="E8222">
        <v>382</v>
      </c>
      <c r="I8222">
        <v>5</v>
      </c>
      <c r="J8222">
        <v>249</v>
      </c>
      <c r="M8222" t="s">
        <v>8348</v>
      </c>
    </row>
    <row r="8223" spans="1:13">
      <c r="A8223" s="10">
        <v>46214</v>
      </c>
      <c r="B8223" t="s">
        <v>201</v>
      </c>
      <c r="C8223" t="s">
        <v>35</v>
      </c>
      <c r="D8223">
        <v>6</v>
      </c>
      <c r="E8223">
        <v>0</v>
      </c>
      <c r="F8223">
        <v>6</v>
      </c>
      <c r="H8223">
        <v>3</v>
      </c>
      <c r="I8223">
        <v>9</v>
      </c>
      <c r="M8223" t="s">
        <v>8349</v>
      </c>
    </row>
    <row r="8224" spans="1:13">
      <c r="A8224" s="10">
        <v>46214</v>
      </c>
      <c r="B8224" t="s">
        <v>201</v>
      </c>
      <c r="C8224" t="s">
        <v>37</v>
      </c>
      <c r="D8224">
        <v>4</v>
      </c>
      <c r="E8224">
        <v>0</v>
      </c>
      <c r="I8224">
        <v>4</v>
      </c>
      <c r="M8224" t="s">
        <v>8350</v>
      </c>
    </row>
    <row r="8225" spans="1:13">
      <c r="A8225" s="10">
        <v>46214</v>
      </c>
      <c r="B8225" t="s">
        <v>201</v>
      </c>
      <c r="C8225" t="s">
        <v>39</v>
      </c>
      <c r="D8225">
        <v>27</v>
      </c>
      <c r="E8225">
        <v>0</v>
      </c>
      <c r="H8225">
        <v>1</v>
      </c>
      <c r="I8225">
        <v>26</v>
      </c>
      <c r="M8225" t="s">
        <v>8351</v>
      </c>
    </row>
    <row r="8226" spans="1:13">
      <c r="A8226" s="10">
        <v>46214</v>
      </c>
      <c r="B8226" t="s">
        <v>201</v>
      </c>
      <c r="C8226" t="s">
        <v>41</v>
      </c>
      <c r="D8226">
        <v>19</v>
      </c>
      <c r="E8226">
        <v>0</v>
      </c>
      <c r="I8226">
        <v>19</v>
      </c>
      <c r="M8226" t="s">
        <v>8352</v>
      </c>
    </row>
    <row r="8227" spans="1:13">
      <c r="A8227" s="10">
        <v>46214</v>
      </c>
      <c r="B8227" t="s">
        <v>201</v>
      </c>
      <c r="C8227" s="135" t="s">
        <v>44</v>
      </c>
      <c r="D8227">
        <v>2</v>
      </c>
      <c r="E8227">
        <v>7598</v>
      </c>
      <c r="F8227">
        <v>1</v>
      </c>
      <c r="G8227">
        <v>2200</v>
      </c>
      <c r="I8227">
        <v>3</v>
      </c>
      <c r="J8227">
        <v>8277</v>
      </c>
      <c r="M8227" t="s">
        <v>8353</v>
      </c>
    </row>
    <row r="8228" spans="1:13">
      <c r="A8228" s="10">
        <v>46214</v>
      </c>
      <c r="B8228" t="s">
        <v>201</v>
      </c>
      <c r="C8228" t="s">
        <v>230</v>
      </c>
      <c r="D8228">
        <v>1</v>
      </c>
      <c r="E8228">
        <v>238</v>
      </c>
      <c r="I8228">
        <v>1</v>
      </c>
      <c r="J8228">
        <v>238</v>
      </c>
      <c r="M8228" t="s">
        <v>8354</v>
      </c>
    </row>
    <row r="8229" spans="1:13">
      <c r="A8229" s="10">
        <v>46214</v>
      </c>
      <c r="B8229" t="s">
        <v>201</v>
      </c>
      <c r="C8229" t="s">
        <v>232</v>
      </c>
      <c r="D8229">
        <v>5</v>
      </c>
      <c r="E8229">
        <v>0</v>
      </c>
      <c r="I8229">
        <v>5</v>
      </c>
      <c r="M8229" t="s">
        <v>8355</v>
      </c>
    </row>
    <row r="8230" spans="1:13">
      <c r="A8230" s="10">
        <v>46214</v>
      </c>
      <c r="B8230" t="s">
        <v>201</v>
      </c>
      <c r="C8230" t="s">
        <v>234</v>
      </c>
      <c r="D8230">
        <v>83</v>
      </c>
      <c r="E8230">
        <v>0</v>
      </c>
      <c r="H8230">
        <v>6</v>
      </c>
      <c r="I8230">
        <v>77</v>
      </c>
      <c r="M8230" t="s">
        <v>8356</v>
      </c>
    </row>
    <row r="8231" spans="1:13">
      <c r="A8231" s="10">
        <v>46214</v>
      </c>
      <c r="B8231" t="s">
        <v>201</v>
      </c>
      <c r="C8231" t="s">
        <v>54</v>
      </c>
      <c r="D8231">
        <v>0</v>
      </c>
      <c r="E8231">
        <v>0</v>
      </c>
      <c r="I8231">
        <v>0</v>
      </c>
      <c r="M8231" t="s">
        <v>8357</v>
      </c>
    </row>
    <row r="8232" spans="1:13">
      <c r="A8232" s="10">
        <v>46214</v>
      </c>
      <c r="B8232" t="s">
        <v>201</v>
      </c>
      <c r="C8232" t="s">
        <v>237</v>
      </c>
      <c r="D8232">
        <v>8</v>
      </c>
      <c r="E8232">
        <v>0</v>
      </c>
      <c r="I8232">
        <v>8</v>
      </c>
      <c r="M8232" t="s">
        <v>8358</v>
      </c>
    </row>
    <row r="8233" spans="1:13">
      <c r="A8233" s="10">
        <v>46214</v>
      </c>
      <c r="B8233" t="s">
        <v>201</v>
      </c>
      <c r="C8233" s="135" t="s">
        <v>58</v>
      </c>
      <c r="D8233">
        <v>2</v>
      </c>
      <c r="E8233">
        <v>0</v>
      </c>
      <c r="F8233">
        <v>12</v>
      </c>
      <c r="I8233">
        <v>14</v>
      </c>
      <c r="M8233" t="s">
        <v>8359</v>
      </c>
    </row>
    <row r="8234" spans="1:13">
      <c r="A8234" s="10">
        <v>46214</v>
      </c>
      <c r="B8234" t="s">
        <v>201</v>
      </c>
      <c r="C8234" s="135" t="s">
        <v>60</v>
      </c>
      <c r="D8234">
        <v>3</v>
      </c>
      <c r="E8234">
        <v>0</v>
      </c>
      <c r="F8234">
        <v>6</v>
      </c>
      <c r="I8234">
        <v>9</v>
      </c>
      <c r="M8234" t="s">
        <v>8360</v>
      </c>
    </row>
    <row r="8235" spans="1:13">
      <c r="A8235" s="10">
        <v>46214</v>
      </c>
      <c r="B8235" t="s">
        <v>201</v>
      </c>
      <c r="C8235" s="135" t="s">
        <v>61</v>
      </c>
      <c r="D8235">
        <v>5</v>
      </c>
      <c r="E8235">
        <v>0</v>
      </c>
      <c r="F8235">
        <v>6</v>
      </c>
      <c r="H8235">
        <v>6</v>
      </c>
      <c r="I8235">
        <v>5</v>
      </c>
      <c r="M8235" t="s">
        <v>8361</v>
      </c>
    </row>
    <row r="8236" spans="1:13">
      <c r="A8236" s="10">
        <v>46214</v>
      </c>
      <c r="B8236" t="s">
        <v>201</v>
      </c>
      <c r="C8236" s="135" t="s">
        <v>62</v>
      </c>
      <c r="D8236">
        <v>9</v>
      </c>
      <c r="E8236">
        <v>0</v>
      </c>
      <c r="H8236">
        <v>8</v>
      </c>
      <c r="I8236">
        <v>1</v>
      </c>
      <c r="M8236" t="s">
        <v>8362</v>
      </c>
    </row>
    <row r="8237" spans="1:13">
      <c r="A8237" s="10">
        <v>46214</v>
      </c>
      <c r="B8237" t="s">
        <v>201</v>
      </c>
      <c r="C8237" s="135" t="s">
        <v>63</v>
      </c>
      <c r="D8237">
        <v>3</v>
      </c>
      <c r="E8237">
        <v>0</v>
      </c>
      <c r="F8237">
        <v>6</v>
      </c>
      <c r="I8237">
        <v>9</v>
      </c>
      <c r="M8237" t="s">
        <v>8363</v>
      </c>
    </row>
    <row r="8238" spans="1:13">
      <c r="A8238" s="10">
        <v>46214</v>
      </c>
      <c r="B8238" t="s">
        <v>201</v>
      </c>
      <c r="C8238" s="135" t="s">
        <v>64</v>
      </c>
      <c r="D8238">
        <v>6</v>
      </c>
      <c r="E8238">
        <v>0</v>
      </c>
      <c r="F8238">
        <v>6</v>
      </c>
      <c r="H8238">
        <v>1</v>
      </c>
      <c r="I8238">
        <v>11</v>
      </c>
      <c r="M8238" t="s">
        <v>8364</v>
      </c>
    </row>
    <row r="8239" spans="1:13">
      <c r="A8239" s="10">
        <v>46214</v>
      </c>
      <c r="B8239" t="s">
        <v>201</v>
      </c>
      <c r="C8239" t="s">
        <v>66</v>
      </c>
      <c r="D8239">
        <v>4</v>
      </c>
      <c r="E8239">
        <v>0</v>
      </c>
      <c r="I8239">
        <v>4</v>
      </c>
      <c r="M8239" t="s">
        <v>8365</v>
      </c>
    </row>
    <row r="8240" spans="1:13">
      <c r="A8240" s="10">
        <v>46214</v>
      </c>
      <c r="B8240" t="s">
        <v>201</v>
      </c>
      <c r="C8240" t="s">
        <v>67</v>
      </c>
      <c r="D8240">
        <v>4</v>
      </c>
      <c r="E8240">
        <v>0</v>
      </c>
      <c r="I8240">
        <v>4</v>
      </c>
      <c r="M8240" t="s">
        <v>8366</v>
      </c>
    </row>
    <row r="8241" spans="1:13">
      <c r="A8241" s="10">
        <v>46214</v>
      </c>
      <c r="B8241" t="s">
        <v>201</v>
      </c>
      <c r="C8241" t="s">
        <v>68</v>
      </c>
      <c r="D8241">
        <v>0</v>
      </c>
      <c r="E8241">
        <v>0</v>
      </c>
      <c r="I8241">
        <v>0</v>
      </c>
      <c r="M8241" t="s">
        <v>8367</v>
      </c>
    </row>
    <row r="8242" spans="1:13">
      <c r="A8242" s="10">
        <v>46214</v>
      </c>
      <c r="B8242" t="s">
        <v>201</v>
      </c>
      <c r="C8242" t="s">
        <v>71</v>
      </c>
      <c r="D8242">
        <v>1</v>
      </c>
      <c r="E8242">
        <v>253</v>
      </c>
      <c r="I8242">
        <v>0</v>
      </c>
      <c r="J8242">
        <v>931</v>
      </c>
      <c r="M8242" t="s">
        <v>8368</v>
      </c>
    </row>
    <row r="8243" spans="1:13">
      <c r="A8243" s="10">
        <v>46214</v>
      </c>
      <c r="B8243" t="s">
        <v>201</v>
      </c>
      <c r="C8243" t="s">
        <v>73</v>
      </c>
      <c r="D8243">
        <v>1</v>
      </c>
      <c r="E8243">
        <v>591</v>
      </c>
      <c r="I8243">
        <v>1</v>
      </c>
      <c r="J8243">
        <v>563</v>
      </c>
      <c r="M8243" t="s">
        <v>8369</v>
      </c>
    </row>
    <row r="8244" spans="1:13">
      <c r="A8244" s="10">
        <v>46214</v>
      </c>
      <c r="B8244" t="s">
        <v>201</v>
      </c>
      <c r="C8244" t="s">
        <v>75</v>
      </c>
      <c r="D8244">
        <v>0</v>
      </c>
      <c r="E8244">
        <v>364</v>
      </c>
      <c r="I8244">
        <v>0</v>
      </c>
      <c r="J8244">
        <v>364</v>
      </c>
      <c r="M8244" t="s">
        <v>8370</v>
      </c>
    </row>
    <row r="8245" spans="1:13">
      <c r="A8245" s="10">
        <v>46214</v>
      </c>
      <c r="B8245" t="s">
        <v>201</v>
      </c>
      <c r="C8245" t="s">
        <v>77</v>
      </c>
      <c r="D8245">
        <v>0</v>
      </c>
      <c r="E8245">
        <v>978</v>
      </c>
      <c r="I8245">
        <v>0</v>
      </c>
      <c r="J8245">
        <v>978</v>
      </c>
      <c r="M8245" t="s">
        <v>8371</v>
      </c>
    </row>
    <row r="8246" spans="1:13">
      <c r="A8246" s="10">
        <v>46214</v>
      </c>
      <c r="B8246" t="s">
        <v>201</v>
      </c>
      <c r="C8246" t="s">
        <v>79</v>
      </c>
      <c r="D8246">
        <v>1</v>
      </c>
      <c r="E8246">
        <v>626</v>
      </c>
      <c r="I8246">
        <v>1</v>
      </c>
      <c r="J8246">
        <v>539</v>
      </c>
      <c r="M8246" t="s">
        <v>8372</v>
      </c>
    </row>
    <row r="8247" spans="1:13">
      <c r="A8247" s="10">
        <v>46214</v>
      </c>
      <c r="B8247" t="s">
        <v>201</v>
      </c>
      <c r="C8247" t="s">
        <v>81</v>
      </c>
      <c r="D8247">
        <v>1</v>
      </c>
      <c r="E8247">
        <v>489</v>
      </c>
      <c r="I8247">
        <v>1</v>
      </c>
      <c r="J8247">
        <v>483</v>
      </c>
      <c r="M8247" t="s">
        <v>8373</v>
      </c>
    </row>
    <row r="8248" spans="1:13">
      <c r="A8248" s="10">
        <v>46214</v>
      </c>
      <c r="B8248" t="s">
        <v>201</v>
      </c>
      <c r="C8248" t="s">
        <v>83</v>
      </c>
      <c r="D8248">
        <v>1</v>
      </c>
      <c r="E8248">
        <v>328</v>
      </c>
      <c r="I8248">
        <v>1</v>
      </c>
      <c r="J8248">
        <v>322</v>
      </c>
      <c r="M8248" t="s">
        <v>8374</v>
      </c>
    </row>
    <row r="8249" spans="1:13">
      <c r="A8249" s="10">
        <v>46214</v>
      </c>
      <c r="B8249" t="s">
        <v>201</v>
      </c>
      <c r="C8249" t="s">
        <v>84</v>
      </c>
      <c r="D8249">
        <v>2</v>
      </c>
      <c r="E8249">
        <v>212</v>
      </c>
      <c r="I8249">
        <v>2</v>
      </c>
      <c r="J8249">
        <v>205</v>
      </c>
      <c r="M8249" t="s">
        <v>8375</v>
      </c>
    </row>
    <row r="8250" spans="1:13">
      <c r="A8250" s="10">
        <v>46214</v>
      </c>
      <c r="B8250" t="s">
        <v>201</v>
      </c>
      <c r="C8250" t="s">
        <v>85</v>
      </c>
      <c r="D8250">
        <v>0</v>
      </c>
      <c r="E8250">
        <v>131</v>
      </c>
      <c r="I8250">
        <v>0</v>
      </c>
      <c r="J8250">
        <v>131</v>
      </c>
      <c r="M8250" t="s">
        <v>8376</v>
      </c>
    </row>
    <row r="8251" spans="1:13">
      <c r="A8251" s="10">
        <v>46214</v>
      </c>
      <c r="B8251" t="s">
        <v>201</v>
      </c>
      <c r="C8251" t="s">
        <v>87</v>
      </c>
      <c r="D8251">
        <v>2</v>
      </c>
      <c r="E8251">
        <v>305</v>
      </c>
      <c r="I8251">
        <v>2</v>
      </c>
      <c r="J8251">
        <v>274</v>
      </c>
      <c r="M8251" t="s">
        <v>8377</v>
      </c>
    </row>
    <row r="8252" spans="1:13">
      <c r="A8252" s="10">
        <v>46214</v>
      </c>
      <c r="B8252" t="s">
        <v>201</v>
      </c>
      <c r="C8252" t="s">
        <v>88</v>
      </c>
      <c r="D8252">
        <v>1</v>
      </c>
      <c r="E8252">
        <v>205</v>
      </c>
      <c r="I8252">
        <v>1</v>
      </c>
      <c r="J8252">
        <v>203</v>
      </c>
      <c r="M8252" t="s">
        <v>8378</v>
      </c>
    </row>
    <row r="8253" spans="1:13">
      <c r="A8253" s="10">
        <v>46214</v>
      </c>
      <c r="B8253" t="s">
        <v>201</v>
      </c>
      <c r="C8253" t="s">
        <v>89</v>
      </c>
      <c r="D8253">
        <v>1</v>
      </c>
      <c r="E8253">
        <v>150</v>
      </c>
      <c r="I8253">
        <v>1</v>
      </c>
      <c r="J8253">
        <v>148</v>
      </c>
      <c r="M8253" t="s">
        <v>8379</v>
      </c>
    </row>
    <row r="8254" spans="1:13">
      <c r="A8254" s="10">
        <v>46214</v>
      </c>
      <c r="B8254" t="s">
        <v>201</v>
      </c>
      <c r="C8254" t="s">
        <v>90</v>
      </c>
      <c r="D8254">
        <v>1</v>
      </c>
      <c r="E8254">
        <v>746</v>
      </c>
      <c r="I8254">
        <v>1</v>
      </c>
      <c r="J8254">
        <v>712</v>
      </c>
      <c r="M8254" t="s">
        <v>8380</v>
      </c>
    </row>
    <row r="8255" spans="1:13">
      <c r="A8255" s="10">
        <v>46214</v>
      </c>
      <c r="B8255" t="s">
        <v>201</v>
      </c>
      <c r="C8255" t="s">
        <v>92</v>
      </c>
      <c r="D8255">
        <v>1</v>
      </c>
      <c r="E8255">
        <v>327</v>
      </c>
      <c r="I8255">
        <v>1</v>
      </c>
      <c r="J8255">
        <v>269</v>
      </c>
      <c r="M8255" t="s">
        <v>8381</v>
      </c>
    </row>
    <row r="8256" spans="1:13">
      <c r="A8256" s="10">
        <v>46214</v>
      </c>
      <c r="B8256" t="s">
        <v>201</v>
      </c>
      <c r="C8256" t="s">
        <v>94</v>
      </c>
      <c r="D8256">
        <v>0</v>
      </c>
      <c r="E8256">
        <v>0</v>
      </c>
      <c r="F8256">
        <v>4</v>
      </c>
      <c r="I8256">
        <v>2</v>
      </c>
      <c r="J8256">
        <v>480</v>
      </c>
      <c r="M8256" t="s">
        <v>8382</v>
      </c>
    </row>
    <row r="8257" spans="1:13">
      <c r="A8257" s="10">
        <v>46214</v>
      </c>
      <c r="B8257" t="s">
        <v>201</v>
      </c>
      <c r="C8257" t="s">
        <v>96</v>
      </c>
      <c r="D8257">
        <v>0</v>
      </c>
      <c r="E8257">
        <v>0</v>
      </c>
      <c r="I8257">
        <v>0</v>
      </c>
      <c r="J8257">
        <v>0</v>
      </c>
      <c r="M8257" t="s">
        <v>8383</v>
      </c>
    </row>
    <row r="8258" spans="1:13">
      <c r="A8258" s="10">
        <v>46214</v>
      </c>
      <c r="B8258" t="s">
        <v>201</v>
      </c>
      <c r="C8258" t="s">
        <v>98</v>
      </c>
      <c r="D8258">
        <v>0</v>
      </c>
      <c r="E8258">
        <v>122</v>
      </c>
      <c r="I8258">
        <v>0</v>
      </c>
      <c r="J8258">
        <v>688</v>
      </c>
      <c r="M8258" t="s">
        <v>8384</v>
      </c>
    </row>
    <row r="8259" spans="1:13">
      <c r="A8259" s="10">
        <v>46214</v>
      </c>
      <c r="B8259" t="s">
        <v>201</v>
      </c>
      <c r="C8259" t="s">
        <v>203</v>
      </c>
      <c r="D8259">
        <v>2</v>
      </c>
      <c r="E8259">
        <v>0</v>
      </c>
      <c r="F8259">
        <v>2</v>
      </c>
      <c r="I8259">
        <v>2</v>
      </c>
      <c r="J8259">
        <v>0</v>
      </c>
      <c r="M8259" t="s">
        <v>8385</v>
      </c>
    </row>
    <row r="8260" spans="1:13">
      <c r="A8260" s="10">
        <v>46214</v>
      </c>
      <c r="B8260" t="s">
        <v>201</v>
      </c>
      <c r="C8260" t="s">
        <v>100</v>
      </c>
      <c r="D8260">
        <v>0</v>
      </c>
      <c r="E8260">
        <v>0</v>
      </c>
      <c r="I8260">
        <v>0</v>
      </c>
      <c r="J8260">
        <v>0</v>
      </c>
      <c r="M8260" t="s">
        <v>8386</v>
      </c>
    </row>
    <row r="8261" spans="1:13">
      <c r="A8261" s="10">
        <v>46214</v>
      </c>
      <c r="B8261" t="s">
        <v>201</v>
      </c>
      <c r="C8261" t="s">
        <v>101</v>
      </c>
      <c r="D8261">
        <v>1</v>
      </c>
      <c r="E8261">
        <v>213</v>
      </c>
      <c r="I8261">
        <v>1</v>
      </c>
      <c r="J8261">
        <v>202</v>
      </c>
      <c r="M8261" t="s">
        <v>8387</v>
      </c>
    </row>
    <row r="8262" spans="1:13">
      <c r="A8262" s="10">
        <v>46214</v>
      </c>
      <c r="B8262" t="s">
        <v>201</v>
      </c>
      <c r="C8262" t="s">
        <v>103</v>
      </c>
      <c r="D8262">
        <v>0</v>
      </c>
      <c r="E8262">
        <v>10</v>
      </c>
      <c r="I8262">
        <v>0</v>
      </c>
      <c r="J8262">
        <v>13</v>
      </c>
      <c r="M8262" t="s">
        <v>8388</v>
      </c>
    </row>
    <row r="8263" spans="1:13">
      <c r="A8263" s="10">
        <v>46214</v>
      </c>
      <c r="B8263" t="s">
        <v>201</v>
      </c>
      <c r="C8263" t="s">
        <v>106</v>
      </c>
      <c r="D8263">
        <v>0</v>
      </c>
      <c r="E8263">
        <v>768</v>
      </c>
      <c r="F8263">
        <v>1</v>
      </c>
      <c r="I8263">
        <v>1</v>
      </c>
      <c r="J8263">
        <v>647</v>
      </c>
      <c r="M8263" t="s">
        <v>8389</v>
      </c>
    </row>
    <row r="8264" spans="1:13">
      <c r="A8264" s="10">
        <v>46214</v>
      </c>
      <c r="B8264" t="s">
        <v>201</v>
      </c>
      <c r="C8264" t="s">
        <v>108</v>
      </c>
      <c r="D8264">
        <v>0</v>
      </c>
      <c r="E8264">
        <v>1115</v>
      </c>
      <c r="I8264">
        <v>0</v>
      </c>
      <c r="J8264">
        <v>1092</v>
      </c>
      <c r="M8264" t="s">
        <v>8390</v>
      </c>
    </row>
    <row r="8265" spans="1:13">
      <c r="A8265" s="10">
        <v>46214</v>
      </c>
      <c r="B8265" t="s">
        <v>201</v>
      </c>
      <c r="C8265" t="s">
        <v>109</v>
      </c>
      <c r="D8265">
        <v>0</v>
      </c>
      <c r="E8265">
        <v>1359</v>
      </c>
      <c r="I8265">
        <v>0</v>
      </c>
      <c r="J8265">
        <v>1332</v>
      </c>
      <c r="M8265" t="s">
        <v>8391</v>
      </c>
    </row>
    <row r="8266" spans="1:13">
      <c r="A8266" s="10">
        <v>46214</v>
      </c>
      <c r="B8266" t="s">
        <v>201</v>
      </c>
      <c r="C8266" t="s">
        <v>112</v>
      </c>
      <c r="D8266">
        <v>1</v>
      </c>
      <c r="E8266">
        <v>11</v>
      </c>
      <c r="I8266">
        <v>1</v>
      </c>
      <c r="J8266">
        <v>56</v>
      </c>
      <c r="M8266" t="s">
        <v>8392</v>
      </c>
    </row>
    <row r="8267" spans="1:13">
      <c r="A8267" s="10">
        <v>46214</v>
      </c>
      <c r="B8267" t="s">
        <v>201</v>
      </c>
      <c r="C8267" t="s">
        <v>114</v>
      </c>
      <c r="D8267">
        <v>1</v>
      </c>
      <c r="E8267">
        <v>18</v>
      </c>
      <c r="I8267">
        <v>1</v>
      </c>
      <c r="J8267">
        <v>56</v>
      </c>
      <c r="M8267" t="s">
        <v>8393</v>
      </c>
    </row>
    <row r="8268" spans="1:13">
      <c r="A8268" s="10">
        <v>46214</v>
      </c>
      <c r="B8268" t="s">
        <v>201</v>
      </c>
      <c r="C8268" t="s">
        <v>115</v>
      </c>
      <c r="D8268">
        <v>1</v>
      </c>
      <c r="E8268">
        <v>27</v>
      </c>
      <c r="I8268">
        <v>1</v>
      </c>
      <c r="J8268">
        <v>23</v>
      </c>
      <c r="M8268" t="s">
        <v>8394</v>
      </c>
    </row>
    <row r="8269" spans="1:13">
      <c r="A8269" s="10">
        <v>46214</v>
      </c>
      <c r="B8269" t="s">
        <v>201</v>
      </c>
      <c r="C8269" t="s">
        <v>116</v>
      </c>
      <c r="D8269">
        <v>2</v>
      </c>
      <c r="E8269">
        <v>25</v>
      </c>
      <c r="I8269">
        <v>2</v>
      </c>
      <c r="J8269">
        <v>15</v>
      </c>
      <c r="M8269" t="s">
        <v>8395</v>
      </c>
    </row>
    <row r="8270" spans="1:13">
      <c r="A8270" s="10">
        <v>46214</v>
      </c>
      <c r="B8270" t="s">
        <v>201</v>
      </c>
      <c r="C8270" t="s">
        <v>119</v>
      </c>
      <c r="D8270">
        <v>4</v>
      </c>
      <c r="E8270">
        <v>0</v>
      </c>
      <c r="I8270">
        <v>4</v>
      </c>
      <c r="M8270" t="s">
        <v>8396</v>
      </c>
    </row>
    <row r="8271" spans="1:13">
      <c r="A8271" s="10">
        <v>46214</v>
      </c>
      <c r="B8271" t="s">
        <v>201</v>
      </c>
      <c r="C8271" t="s">
        <v>120</v>
      </c>
      <c r="D8271">
        <v>0</v>
      </c>
      <c r="E8271">
        <v>0</v>
      </c>
      <c r="F8271">
        <v>1</v>
      </c>
      <c r="I8271">
        <v>1</v>
      </c>
      <c r="M8271" t="s">
        <v>8397</v>
      </c>
    </row>
    <row r="8272" spans="1:13">
      <c r="A8272" s="10">
        <v>46214</v>
      </c>
      <c r="B8272" t="s">
        <v>201</v>
      </c>
      <c r="C8272" t="s">
        <v>121</v>
      </c>
      <c r="D8272">
        <v>2</v>
      </c>
      <c r="E8272">
        <v>0</v>
      </c>
      <c r="I8272">
        <v>2</v>
      </c>
      <c r="M8272" t="s">
        <v>8398</v>
      </c>
    </row>
    <row r="8273" spans="1:13">
      <c r="A8273" s="10">
        <v>46214</v>
      </c>
      <c r="B8273" t="s">
        <v>201</v>
      </c>
      <c r="C8273" t="s">
        <v>123</v>
      </c>
      <c r="D8273">
        <v>2</v>
      </c>
      <c r="E8273">
        <v>0</v>
      </c>
      <c r="I8273">
        <v>2</v>
      </c>
      <c r="M8273" t="s">
        <v>8399</v>
      </c>
    </row>
    <row r="8274" spans="1:13">
      <c r="A8274" s="10">
        <v>46214</v>
      </c>
      <c r="B8274" t="s">
        <v>201</v>
      </c>
      <c r="C8274" t="s">
        <v>124</v>
      </c>
      <c r="D8274">
        <v>2</v>
      </c>
      <c r="E8274">
        <v>0</v>
      </c>
      <c r="I8274">
        <v>1</v>
      </c>
      <c r="M8274" t="s">
        <v>8400</v>
      </c>
    </row>
    <row r="8275" spans="1:13">
      <c r="A8275" s="10">
        <v>46214</v>
      </c>
      <c r="B8275" t="s">
        <v>201</v>
      </c>
      <c r="C8275" t="s">
        <v>125</v>
      </c>
      <c r="D8275">
        <v>2</v>
      </c>
      <c r="E8275">
        <v>0</v>
      </c>
      <c r="I8275">
        <v>2</v>
      </c>
      <c r="M8275" t="s">
        <v>8401</v>
      </c>
    </row>
    <row r="8276" spans="1:13">
      <c r="A8276" s="10">
        <v>46214</v>
      </c>
      <c r="B8276" t="s">
        <v>201</v>
      </c>
      <c r="C8276" t="s">
        <v>126</v>
      </c>
      <c r="D8276">
        <v>2</v>
      </c>
      <c r="E8276">
        <v>0</v>
      </c>
      <c r="I8276">
        <v>2</v>
      </c>
      <c r="M8276" t="s">
        <v>8402</v>
      </c>
    </row>
    <row r="8277" spans="1:13">
      <c r="A8277" s="10">
        <v>46214</v>
      </c>
      <c r="B8277" t="s">
        <v>201</v>
      </c>
      <c r="C8277" t="s">
        <v>128</v>
      </c>
      <c r="D8277">
        <v>2</v>
      </c>
      <c r="E8277">
        <v>0</v>
      </c>
      <c r="I8277">
        <v>2</v>
      </c>
      <c r="M8277" t="s">
        <v>8403</v>
      </c>
    </row>
    <row r="8278" spans="1:13">
      <c r="A8278" s="10">
        <v>46214</v>
      </c>
      <c r="B8278" t="s">
        <v>201</v>
      </c>
      <c r="C8278" t="s">
        <v>130</v>
      </c>
      <c r="D8278">
        <v>4</v>
      </c>
      <c r="E8278">
        <v>0</v>
      </c>
      <c r="I8278">
        <v>4</v>
      </c>
      <c r="M8278" t="s">
        <v>8404</v>
      </c>
    </row>
    <row r="8279" spans="1:13">
      <c r="A8279" s="10">
        <v>46214</v>
      </c>
      <c r="B8279" t="s">
        <v>201</v>
      </c>
      <c r="C8279" t="s">
        <v>285</v>
      </c>
      <c r="D8279">
        <v>2</v>
      </c>
      <c r="E8279">
        <v>0</v>
      </c>
      <c r="I8279">
        <v>2</v>
      </c>
      <c r="M8279" t="s">
        <v>8405</v>
      </c>
    </row>
    <row r="8280" spans="1:13">
      <c r="A8280" s="10">
        <v>46214</v>
      </c>
      <c r="B8280" t="s">
        <v>201</v>
      </c>
      <c r="C8280" t="s">
        <v>287</v>
      </c>
      <c r="D8280">
        <v>5</v>
      </c>
      <c r="E8280">
        <v>0</v>
      </c>
      <c r="I8280">
        <v>5</v>
      </c>
      <c r="M8280" t="s">
        <v>8406</v>
      </c>
    </row>
    <row r="8281" spans="1:13">
      <c r="A8281" s="10">
        <v>46214</v>
      </c>
      <c r="B8281" t="s">
        <v>201</v>
      </c>
      <c r="C8281" t="s">
        <v>289</v>
      </c>
      <c r="D8281">
        <v>2</v>
      </c>
      <c r="E8281">
        <v>0</v>
      </c>
      <c r="I8281">
        <v>2</v>
      </c>
      <c r="M8281" t="s">
        <v>8407</v>
      </c>
    </row>
    <row r="8282" spans="1:13">
      <c r="A8282" s="10">
        <v>46214</v>
      </c>
      <c r="B8282" t="s">
        <v>201</v>
      </c>
      <c r="C8282" t="s">
        <v>291</v>
      </c>
      <c r="D8282">
        <v>0</v>
      </c>
      <c r="E8282">
        <v>0</v>
      </c>
      <c r="F8282">
        <v>1</v>
      </c>
      <c r="I8282">
        <v>1</v>
      </c>
      <c r="M8282" t="s">
        <v>8408</v>
      </c>
    </row>
    <row r="8283" spans="1:13">
      <c r="A8283" s="10">
        <v>46214</v>
      </c>
      <c r="B8283" t="s">
        <v>201</v>
      </c>
      <c r="C8283" t="s">
        <v>293</v>
      </c>
      <c r="D8283">
        <v>3</v>
      </c>
      <c r="E8283">
        <v>0</v>
      </c>
      <c r="I8283">
        <v>3</v>
      </c>
      <c r="M8283" t="s">
        <v>8409</v>
      </c>
    </row>
    <row r="8284" spans="1:13">
      <c r="A8284" s="10">
        <v>46214</v>
      </c>
      <c r="B8284" t="s">
        <v>201</v>
      </c>
      <c r="C8284" s="135" t="s">
        <v>138</v>
      </c>
      <c r="D8284">
        <v>0</v>
      </c>
      <c r="E8284">
        <v>41</v>
      </c>
      <c r="I8284">
        <v>0</v>
      </c>
      <c r="J8284">
        <v>36</v>
      </c>
      <c r="M8284" t="s">
        <v>8410</v>
      </c>
    </row>
    <row r="8285" spans="1:13">
      <c r="A8285" s="10">
        <v>46214</v>
      </c>
      <c r="B8285" t="s">
        <v>201</v>
      </c>
      <c r="C8285" s="135" t="s">
        <v>139</v>
      </c>
      <c r="D8285">
        <v>0</v>
      </c>
      <c r="E8285">
        <v>22</v>
      </c>
      <c r="G8285">
        <v>25</v>
      </c>
      <c r="I8285">
        <v>0</v>
      </c>
      <c r="J8285">
        <v>40</v>
      </c>
      <c r="M8285" t="s">
        <v>8411</v>
      </c>
    </row>
    <row r="8286" spans="1:13">
      <c r="A8286" s="10">
        <v>46214</v>
      </c>
      <c r="B8286" t="s">
        <v>201</v>
      </c>
      <c r="C8286" s="135" t="s">
        <v>140</v>
      </c>
      <c r="D8286">
        <v>0</v>
      </c>
      <c r="E8286">
        <v>46</v>
      </c>
      <c r="I8286">
        <v>0</v>
      </c>
      <c r="J8286">
        <v>46</v>
      </c>
      <c r="M8286" t="s">
        <v>8412</v>
      </c>
    </row>
    <row r="8287" spans="1:13">
      <c r="A8287" s="10">
        <v>46214</v>
      </c>
      <c r="B8287" t="s">
        <v>201</v>
      </c>
      <c r="C8287" s="135" t="s">
        <v>141</v>
      </c>
      <c r="D8287">
        <v>0</v>
      </c>
      <c r="E8287">
        <v>0</v>
      </c>
      <c r="I8287">
        <v>0</v>
      </c>
      <c r="J8287">
        <v>446</v>
      </c>
      <c r="M8287" t="s">
        <v>8413</v>
      </c>
    </row>
    <row r="8288" spans="1:13">
      <c r="A8288" s="10">
        <v>46214</v>
      </c>
      <c r="B8288" t="s">
        <v>201</v>
      </c>
      <c r="C8288" s="135" t="s">
        <v>143</v>
      </c>
      <c r="D8288">
        <v>0</v>
      </c>
      <c r="E8288">
        <v>36</v>
      </c>
      <c r="I8288">
        <v>0</v>
      </c>
      <c r="J8288">
        <v>33</v>
      </c>
      <c r="M8288" t="s">
        <v>8414</v>
      </c>
    </row>
    <row r="8289" spans="1:13">
      <c r="A8289" s="10">
        <v>46214</v>
      </c>
      <c r="B8289" t="s">
        <v>201</v>
      </c>
      <c r="C8289" s="135" t="s">
        <v>145</v>
      </c>
      <c r="D8289">
        <v>0</v>
      </c>
      <c r="E8289">
        <v>38</v>
      </c>
      <c r="I8289">
        <v>0</v>
      </c>
      <c r="J8289">
        <v>38</v>
      </c>
      <c r="M8289" t="s">
        <v>8415</v>
      </c>
    </row>
    <row r="8290" spans="1:13">
      <c r="A8290" s="10">
        <v>46214</v>
      </c>
      <c r="B8290" t="s">
        <v>201</v>
      </c>
      <c r="C8290" s="135" t="s">
        <v>147</v>
      </c>
      <c r="D8290">
        <v>0</v>
      </c>
      <c r="E8290">
        <v>38</v>
      </c>
      <c r="I8290">
        <v>0</v>
      </c>
      <c r="J8290">
        <v>38</v>
      </c>
      <c r="M8290" t="s">
        <v>8416</v>
      </c>
    </row>
    <row r="8291" spans="1:13">
      <c r="A8291" s="10">
        <v>46214</v>
      </c>
      <c r="B8291" t="s">
        <v>201</v>
      </c>
      <c r="C8291" t="s">
        <v>302</v>
      </c>
      <c r="D8291">
        <v>1</v>
      </c>
      <c r="E8291">
        <v>0</v>
      </c>
      <c r="I8291">
        <v>1</v>
      </c>
      <c r="M8291" t="s">
        <v>8417</v>
      </c>
    </row>
    <row r="8292" spans="1:13">
      <c r="A8292" s="10">
        <v>46214</v>
      </c>
      <c r="B8292" t="s">
        <v>201</v>
      </c>
      <c r="C8292" t="s">
        <v>150</v>
      </c>
      <c r="D8292">
        <v>3</v>
      </c>
      <c r="E8292">
        <v>0</v>
      </c>
      <c r="I8292">
        <v>3</v>
      </c>
      <c r="M8292" t="s">
        <v>8418</v>
      </c>
    </row>
    <row r="8293" spans="1:13">
      <c r="A8293" s="10">
        <v>46214</v>
      </c>
      <c r="B8293" t="s">
        <v>201</v>
      </c>
      <c r="C8293" t="s">
        <v>151</v>
      </c>
      <c r="D8293">
        <v>2</v>
      </c>
      <c r="E8293">
        <v>0</v>
      </c>
      <c r="I8293">
        <v>2</v>
      </c>
      <c r="M8293" t="s">
        <v>8419</v>
      </c>
    </row>
    <row r="8294" spans="1:13">
      <c r="A8294" s="10">
        <v>46214</v>
      </c>
      <c r="B8294" t="s">
        <v>201</v>
      </c>
      <c r="C8294" t="s">
        <v>152</v>
      </c>
      <c r="D8294">
        <v>2</v>
      </c>
      <c r="E8294">
        <v>0</v>
      </c>
      <c r="I8294">
        <v>2</v>
      </c>
      <c r="M8294" t="s">
        <v>8420</v>
      </c>
    </row>
    <row r="8295" spans="1:13">
      <c r="A8295" s="10">
        <v>46214</v>
      </c>
      <c r="B8295" t="s">
        <v>201</v>
      </c>
      <c r="C8295" t="s">
        <v>153</v>
      </c>
      <c r="D8295">
        <v>2</v>
      </c>
      <c r="E8295">
        <v>0</v>
      </c>
      <c r="I8295">
        <v>2</v>
      </c>
      <c r="M8295" t="s">
        <v>8421</v>
      </c>
    </row>
    <row r="8296" spans="1:13">
      <c r="A8296" s="10">
        <v>46214</v>
      </c>
      <c r="B8296" t="s">
        <v>201</v>
      </c>
      <c r="C8296" t="s">
        <v>308</v>
      </c>
      <c r="D8296">
        <v>0</v>
      </c>
      <c r="E8296">
        <v>3</v>
      </c>
      <c r="G8296">
        <v>2</v>
      </c>
      <c r="I8296">
        <v>0</v>
      </c>
      <c r="J8296">
        <v>4</v>
      </c>
      <c r="M8296" t="s">
        <v>8422</v>
      </c>
    </row>
    <row r="8297" spans="1:13">
      <c r="A8297" s="10">
        <v>46214</v>
      </c>
      <c r="B8297" t="s">
        <v>201</v>
      </c>
      <c r="C8297" t="s">
        <v>310</v>
      </c>
      <c r="D8297">
        <v>0</v>
      </c>
      <c r="E8297">
        <v>2</v>
      </c>
      <c r="I8297">
        <v>0</v>
      </c>
      <c r="J8297">
        <v>2</v>
      </c>
      <c r="M8297" t="s">
        <v>8423</v>
      </c>
    </row>
    <row r="8298" spans="1:13">
      <c r="A8298" s="10">
        <v>46214</v>
      </c>
      <c r="B8298" t="s">
        <v>201</v>
      </c>
      <c r="C8298" t="s">
        <v>312</v>
      </c>
      <c r="D8298">
        <v>0</v>
      </c>
      <c r="E8298">
        <v>5</v>
      </c>
      <c r="I8298">
        <v>0</v>
      </c>
      <c r="J8298">
        <v>5</v>
      </c>
      <c r="M8298" t="s">
        <v>8424</v>
      </c>
    </row>
    <row r="8299" spans="1:13">
      <c r="A8299" s="10">
        <v>46214</v>
      </c>
      <c r="B8299" t="s">
        <v>201</v>
      </c>
      <c r="C8299" t="s">
        <v>314</v>
      </c>
      <c r="D8299">
        <v>1</v>
      </c>
      <c r="E8299">
        <v>0</v>
      </c>
      <c r="I8299">
        <v>1</v>
      </c>
      <c r="M8299" t="s">
        <v>8425</v>
      </c>
    </row>
    <row r="8300" spans="1:13">
      <c r="A8300" s="10">
        <v>46214</v>
      </c>
      <c r="B8300" t="s">
        <v>201</v>
      </c>
      <c r="C8300" t="s">
        <v>316</v>
      </c>
      <c r="D8300">
        <v>1</v>
      </c>
      <c r="E8300">
        <v>0</v>
      </c>
      <c r="I8300">
        <v>1</v>
      </c>
      <c r="M8300" t="s">
        <v>8426</v>
      </c>
    </row>
    <row r="8301" spans="1:13">
      <c r="A8301" s="10">
        <v>46214</v>
      </c>
      <c r="B8301" t="s">
        <v>201</v>
      </c>
      <c r="C8301" t="s">
        <v>318</v>
      </c>
      <c r="D8301">
        <v>3</v>
      </c>
      <c r="E8301">
        <v>0</v>
      </c>
      <c r="I8301">
        <v>2</v>
      </c>
      <c r="M8301" t="s">
        <v>8427</v>
      </c>
    </row>
    <row r="8302" spans="1:13">
      <c r="A8302" s="10">
        <v>46214</v>
      </c>
      <c r="B8302" t="s">
        <v>201</v>
      </c>
      <c r="C8302" t="s">
        <v>320</v>
      </c>
      <c r="D8302">
        <v>3</v>
      </c>
      <c r="E8302">
        <v>0</v>
      </c>
      <c r="I8302">
        <v>2</v>
      </c>
      <c r="M8302" t="s">
        <v>8428</v>
      </c>
    </row>
    <row r="8303" spans="1:13">
      <c r="A8303" s="10">
        <v>46214</v>
      </c>
      <c r="B8303" t="s">
        <v>201</v>
      </c>
      <c r="C8303" t="s">
        <v>322</v>
      </c>
      <c r="D8303">
        <v>1</v>
      </c>
      <c r="E8303">
        <v>0</v>
      </c>
      <c r="I8303">
        <v>1</v>
      </c>
      <c r="M8303" t="s">
        <v>8429</v>
      </c>
    </row>
    <row r="8304" spans="1:13">
      <c r="A8304" s="10">
        <v>46214</v>
      </c>
      <c r="B8304" t="s">
        <v>201</v>
      </c>
      <c r="C8304" s="135" t="s">
        <v>168</v>
      </c>
      <c r="D8304">
        <v>1</v>
      </c>
      <c r="E8304">
        <v>0</v>
      </c>
      <c r="I8304">
        <v>1</v>
      </c>
      <c r="M8304" t="s">
        <v>8430</v>
      </c>
    </row>
    <row r="8305" spans="1:13">
      <c r="A8305" s="10">
        <v>46214</v>
      </c>
      <c r="B8305" t="s">
        <v>201</v>
      </c>
      <c r="C8305" s="135" t="s">
        <v>170</v>
      </c>
      <c r="D8305">
        <v>1</v>
      </c>
      <c r="E8305">
        <v>0</v>
      </c>
      <c r="I8305">
        <v>1</v>
      </c>
      <c r="M8305" t="s">
        <v>8431</v>
      </c>
    </row>
    <row r="8306" spans="1:13">
      <c r="A8306" s="10">
        <v>46214</v>
      </c>
      <c r="B8306" t="s">
        <v>201</v>
      </c>
      <c r="C8306" s="135" t="s">
        <v>171</v>
      </c>
      <c r="D8306">
        <v>2</v>
      </c>
      <c r="E8306">
        <v>0</v>
      </c>
      <c r="I8306">
        <v>2</v>
      </c>
      <c r="M8306" t="s">
        <v>8432</v>
      </c>
    </row>
    <row r="8307" spans="1:13">
      <c r="A8307" s="10">
        <v>46214</v>
      </c>
      <c r="B8307" t="s">
        <v>201</v>
      </c>
      <c r="C8307" s="135" t="s">
        <v>172</v>
      </c>
      <c r="D8307">
        <v>1</v>
      </c>
      <c r="E8307">
        <v>0</v>
      </c>
      <c r="I8307">
        <v>1</v>
      </c>
      <c r="M8307" t="s">
        <v>8433</v>
      </c>
    </row>
    <row r="8308" spans="1:13">
      <c r="A8308" s="10">
        <v>46214</v>
      </c>
      <c r="B8308" t="s">
        <v>201</v>
      </c>
      <c r="C8308" s="135" t="s">
        <v>173</v>
      </c>
      <c r="D8308">
        <v>0</v>
      </c>
      <c r="E8308">
        <v>0</v>
      </c>
      <c r="I8308">
        <v>0</v>
      </c>
      <c r="M8308" t="s">
        <v>8434</v>
      </c>
    </row>
    <row r="8309" spans="1:13">
      <c r="A8309" s="10">
        <v>46214</v>
      </c>
      <c r="B8309" t="s">
        <v>201</v>
      </c>
      <c r="C8309" t="s">
        <v>176</v>
      </c>
      <c r="D8309">
        <v>0</v>
      </c>
      <c r="E8309">
        <v>21</v>
      </c>
      <c r="I8309">
        <v>0</v>
      </c>
      <c r="J8309">
        <v>21</v>
      </c>
      <c r="M8309" t="s">
        <v>8435</v>
      </c>
    </row>
    <row r="8310" spans="1:13">
      <c r="A8310" s="10">
        <v>46214</v>
      </c>
      <c r="B8310" t="s">
        <v>201</v>
      </c>
      <c r="C8310" t="s">
        <v>178</v>
      </c>
      <c r="D8310">
        <v>0</v>
      </c>
      <c r="E8310">
        <v>20</v>
      </c>
      <c r="I8310">
        <v>0</v>
      </c>
      <c r="J8310">
        <v>20</v>
      </c>
      <c r="M8310" t="s">
        <v>8436</v>
      </c>
    </row>
    <row r="8311" spans="1:13">
      <c r="A8311" s="10">
        <v>46214</v>
      </c>
      <c r="B8311" t="s">
        <v>201</v>
      </c>
      <c r="C8311" t="s">
        <v>179</v>
      </c>
      <c r="D8311">
        <v>0</v>
      </c>
      <c r="E8311">
        <v>14</v>
      </c>
      <c r="I8311">
        <v>0</v>
      </c>
      <c r="J8311">
        <v>14</v>
      </c>
      <c r="M8311" t="s">
        <v>8437</v>
      </c>
    </row>
    <row r="8312" spans="1:13">
      <c r="A8312" s="10">
        <v>46214</v>
      </c>
      <c r="B8312" t="s">
        <v>201</v>
      </c>
      <c r="C8312" t="s">
        <v>180</v>
      </c>
      <c r="D8312">
        <v>0</v>
      </c>
      <c r="E8312">
        <v>19</v>
      </c>
      <c r="H8312">
        <v>4</v>
      </c>
      <c r="I8312">
        <v>0</v>
      </c>
      <c r="J8312">
        <v>15</v>
      </c>
      <c r="M8312" t="s">
        <v>8438</v>
      </c>
    </row>
    <row r="8313" spans="1:13">
      <c r="A8313" s="10">
        <v>46214</v>
      </c>
      <c r="B8313" t="s">
        <v>201</v>
      </c>
      <c r="C8313" s="135" t="s">
        <v>182</v>
      </c>
      <c r="D8313">
        <v>1</v>
      </c>
      <c r="E8313">
        <v>150</v>
      </c>
      <c r="I8313">
        <v>1</v>
      </c>
      <c r="J8313">
        <v>150</v>
      </c>
      <c r="M8313" t="s">
        <v>8439</v>
      </c>
    </row>
    <row r="8314" spans="1:13">
      <c r="A8314" s="10">
        <v>46214</v>
      </c>
      <c r="B8314" t="s">
        <v>201</v>
      </c>
      <c r="C8314" s="135" t="s">
        <v>184</v>
      </c>
      <c r="D8314">
        <v>2</v>
      </c>
      <c r="E8314">
        <v>20</v>
      </c>
      <c r="I8314">
        <v>1</v>
      </c>
      <c r="J8314">
        <v>83</v>
      </c>
      <c r="M8314" t="s">
        <v>8440</v>
      </c>
    </row>
    <row r="8315" spans="1:13">
      <c r="A8315" s="10">
        <v>46214</v>
      </c>
      <c r="B8315" t="s">
        <v>201</v>
      </c>
      <c r="C8315" s="135" t="s">
        <v>185</v>
      </c>
      <c r="D8315">
        <v>1</v>
      </c>
      <c r="E8315">
        <v>20</v>
      </c>
      <c r="I8315">
        <v>1</v>
      </c>
      <c r="J8315">
        <v>20</v>
      </c>
      <c r="M8315" t="s">
        <v>8441</v>
      </c>
    </row>
    <row r="8316" spans="1:13">
      <c r="A8316" s="10">
        <v>46214</v>
      </c>
      <c r="B8316" t="s">
        <v>201</v>
      </c>
      <c r="C8316" s="135" t="s">
        <v>186</v>
      </c>
      <c r="D8316">
        <v>1</v>
      </c>
      <c r="E8316">
        <v>490</v>
      </c>
      <c r="I8316">
        <v>1</v>
      </c>
      <c r="J8316">
        <v>450</v>
      </c>
      <c r="M8316" t="s">
        <v>8442</v>
      </c>
    </row>
    <row r="8317" spans="1:13">
      <c r="A8317" s="10">
        <v>46214</v>
      </c>
      <c r="B8317" t="s">
        <v>201</v>
      </c>
      <c r="C8317" t="s">
        <v>337</v>
      </c>
      <c r="D8317">
        <v>2</v>
      </c>
      <c r="E8317">
        <v>239</v>
      </c>
      <c r="I8317">
        <v>2</v>
      </c>
      <c r="J8317">
        <v>178</v>
      </c>
      <c r="M8317" t="s">
        <v>8443</v>
      </c>
    </row>
    <row r="8318" spans="1:13">
      <c r="A8318" s="10">
        <v>46214</v>
      </c>
      <c r="B8318" t="s">
        <v>201</v>
      </c>
      <c r="C8318" t="s">
        <v>339</v>
      </c>
      <c r="D8318">
        <v>0</v>
      </c>
      <c r="E8318">
        <v>0</v>
      </c>
      <c r="I8318">
        <v>0</v>
      </c>
      <c r="J8318">
        <v>0</v>
      </c>
      <c r="M8318" t="s">
        <v>8444</v>
      </c>
    </row>
    <row r="8319" spans="1:13">
      <c r="A8319" s="10">
        <v>46214</v>
      </c>
      <c r="B8319" t="s">
        <v>201</v>
      </c>
      <c r="C8319" s="135" t="s">
        <v>191</v>
      </c>
      <c r="D8319">
        <v>1</v>
      </c>
      <c r="E8319">
        <v>190</v>
      </c>
      <c r="I8319">
        <v>1</v>
      </c>
      <c r="J8319">
        <v>171</v>
      </c>
      <c r="M8319" t="s">
        <v>8445</v>
      </c>
    </row>
    <row r="8320" spans="1:13">
      <c r="A8320" s="10">
        <v>46214</v>
      </c>
      <c r="B8320" t="s">
        <v>201</v>
      </c>
      <c r="C8320" s="135" t="s">
        <v>193</v>
      </c>
      <c r="D8320">
        <v>0</v>
      </c>
      <c r="E8320">
        <v>669</v>
      </c>
      <c r="I8320">
        <v>0</v>
      </c>
      <c r="J8320">
        <v>644</v>
      </c>
      <c r="M8320" t="s">
        <v>8446</v>
      </c>
    </row>
    <row r="8321" spans="1:13">
      <c r="A8321" s="10">
        <v>46214</v>
      </c>
      <c r="B8321" t="s">
        <v>201</v>
      </c>
      <c r="C8321" s="135" t="s">
        <v>194</v>
      </c>
      <c r="D8321">
        <v>1</v>
      </c>
      <c r="E8321">
        <v>38</v>
      </c>
      <c r="I8321">
        <v>1</v>
      </c>
      <c r="J8321">
        <v>38</v>
      </c>
      <c r="M8321" t="s">
        <v>8447</v>
      </c>
    </row>
    <row r="8322" spans="1:13">
      <c r="A8322" s="10">
        <v>46214</v>
      </c>
      <c r="B8322" t="s">
        <v>201</v>
      </c>
      <c r="C8322" s="135" t="s">
        <v>196</v>
      </c>
      <c r="D8322">
        <v>0</v>
      </c>
      <c r="E8322">
        <v>690</v>
      </c>
      <c r="I8322">
        <v>0</v>
      </c>
      <c r="J8322">
        <v>960</v>
      </c>
      <c r="M8322" t="s">
        <v>8448</v>
      </c>
    </row>
    <row r="8323" spans="1:13">
      <c r="A8323" s="10">
        <v>46214</v>
      </c>
      <c r="B8323" t="s">
        <v>201</v>
      </c>
      <c r="C8323" s="135" t="s">
        <v>199</v>
      </c>
      <c r="D8323">
        <v>0</v>
      </c>
      <c r="E8323">
        <v>48</v>
      </c>
      <c r="G8323">
        <v>400</v>
      </c>
      <c r="I8323">
        <v>0</v>
      </c>
      <c r="J8323">
        <v>405</v>
      </c>
      <c r="M8323" t="s">
        <v>8449</v>
      </c>
    </row>
    <row r="8324" spans="1:13">
      <c r="A8324" s="10">
        <v>46214</v>
      </c>
      <c r="B8324" t="s">
        <v>201</v>
      </c>
      <c r="C8324" s="135" t="s">
        <v>200</v>
      </c>
      <c r="D8324">
        <v>0</v>
      </c>
      <c r="E8324">
        <v>152</v>
      </c>
      <c r="G8324">
        <v>570</v>
      </c>
      <c r="I8324">
        <v>0</v>
      </c>
      <c r="J8324">
        <v>692</v>
      </c>
      <c r="M8324" t="s">
        <v>8450</v>
      </c>
    </row>
    <row r="8325" spans="1:13">
      <c r="A8325" s="10">
        <v>46214</v>
      </c>
      <c r="B8325" t="s">
        <v>201</v>
      </c>
      <c r="C8325" s="135" t="s">
        <v>202</v>
      </c>
      <c r="D8325">
        <v>0</v>
      </c>
      <c r="E8325">
        <v>230</v>
      </c>
      <c r="I8325">
        <v>0</v>
      </c>
      <c r="J8325">
        <v>211</v>
      </c>
      <c r="M8325" t="s">
        <v>8451</v>
      </c>
    </row>
    <row r="8326" spans="1:13">
      <c r="A8326" s="10">
        <v>46215</v>
      </c>
      <c r="B8326" t="s">
        <v>201</v>
      </c>
      <c r="C8326" t="s">
        <v>23</v>
      </c>
      <c r="D8326">
        <v>3</v>
      </c>
      <c r="E8326">
        <v>2292</v>
      </c>
      <c r="I8326">
        <v>2</v>
      </c>
      <c r="J8326">
        <v>1479</v>
      </c>
      <c r="M8326" t="s">
        <v>8452</v>
      </c>
    </row>
    <row r="8327" spans="1:13">
      <c r="A8327" s="10">
        <v>46215</v>
      </c>
      <c r="B8327" t="s">
        <v>201</v>
      </c>
      <c r="C8327" t="s">
        <v>26</v>
      </c>
      <c r="D8327">
        <v>1</v>
      </c>
      <c r="E8327">
        <v>1008</v>
      </c>
      <c r="I8327">
        <v>1</v>
      </c>
      <c r="J8327">
        <v>901</v>
      </c>
      <c r="M8327" t="s">
        <v>8453</v>
      </c>
    </row>
    <row r="8328" spans="1:13">
      <c r="A8328" s="10">
        <v>46215</v>
      </c>
      <c r="B8328" t="s">
        <v>201</v>
      </c>
      <c r="C8328" t="s">
        <v>27</v>
      </c>
      <c r="D8328">
        <v>1</v>
      </c>
      <c r="E8328">
        <v>492</v>
      </c>
      <c r="I8328">
        <v>1</v>
      </c>
      <c r="J8328">
        <v>236</v>
      </c>
      <c r="M8328" t="s">
        <v>8454</v>
      </c>
    </row>
    <row r="8329" spans="1:13">
      <c r="A8329" s="10">
        <v>46215</v>
      </c>
      <c r="B8329" t="s">
        <v>201</v>
      </c>
      <c r="C8329" t="s">
        <v>28</v>
      </c>
      <c r="D8329">
        <v>0</v>
      </c>
      <c r="E8329">
        <v>0</v>
      </c>
      <c r="I8329">
        <v>0</v>
      </c>
      <c r="J8329">
        <v>0</v>
      </c>
      <c r="M8329" t="s">
        <v>8455</v>
      </c>
    </row>
    <row r="8330" spans="1:13">
      <c r="A8330" s="10">
        <v>46215</v>
      </c>
      <c r="B8330" t="s">
        <v>201</v>
      </c>
      <c r="C8330" t="s">
        <v>29</v>
      </c>
      <c r="D8330">
        <v>0</v>
      </c>
      <c r="E8330">
        <v>727</v>
      </c>
      <c r="I8330">
        <v>0</v>
      </c>
      <c r="J8330">
        <v>202</v>
      </c>
      <c r="M8330" t="s">
        <v>8456</v>
      </c>
    </row>
    <row r="8331" spans="1:13">
      <c r="A8331" s="10">
        <v>46215</v>
      </c>
      <c r="B8331" t="s">
        <v>201</v>
      </c>
      <c r="C8331" t="s">
        <v>30</v>
      </c>
      <c r="D8331">
        <v>0</v>
      </c>
      <c r="E8331">
        <v>162</v>
      </c>
      <c r="I8331">
        <v>0</v>
      </c>
      <c r="J8331">
        <v>93</v>
      </c>
      <c r="M8331" t="s">
        <v>8457</v>
      </c>
    </row>
    <row r="8332" spans="1:13">
      <c r="A8332" s="10">
        <v>46215</v>
      </c>
      <c r="B8332" t="s">
        <v>201</v>
      </c>
      <c r="C8332" t="s">
        <v>31</v>
      </c>
      <c r="D8332">
        <v>0</v>
      </c>
      <c r="E8332">
        <v>1060</v>
      </c>
      <c r="I8332">
        <v>0</v>
      </c>
      <c r="J8332">
        <v>1188</v>
      </c>
      <c r="M8332" t="s">
        <v>8458</v>
      </c>
    </row>
    <row r="8333" spans="1:13">
      <c r="A8333" s="10">
        <v>46215</v>
      </c>
      <c r="B8333" t="s">
        <v>201</v>
      </c>
      <c r="C8333" t="s">
        <v>32</v>
      </c>
      <c r="D8333">
        <v>2</v>
      </c>
      <c r="E8333">
        <v>720</v>
      </c>
      <c r="I8333">
        <v>2</v>
      </c>
      <c r="J8333">
        <v>544</v>
      </c>
      <c r="M8333" t="s">
        <v>8459</v>
      </c>
    </row>
    <row r="8334" spans="1:13">
      <c r="A8334" s="10">
        <v>46215</v>
      </c>
      <c r="B8334" t="s">
        <v>201</v>
      </c>
      <c r="C8334" t="s">
        <v>223</v>
      </c>
      <c r="D8334">
        <v>5</v>
      </c>
      <c r="E8334">
        <v>249</v>
      </c>
      <c r="I8334">
        <v>3</v>
      </c>
      <c r="J8334">
        <v>695</v>
      </c>
      <c r="M8334" t="s">
        <v>8460</v>
      </c>
    </row>
    <row r="8335" spans="1:13">
      <c r="A8335" s="10">
        <v>46215</v>
      </c>
      <c r="B8335" t="s">
        <v>201</v>
      </c>
      <c r="C8335" t="s">
        <v>35</v>
      </c>
      <c r="D8335">
        <v>9</v>
      </c>
      <c r="E8335">
        <v>0</v>
      </c>
      <c r="I8335">
        <v>7</v>
      </c>
      <c r="M8335" t="s">
        <v>8461</v>
      </c>
    </row>
    <row r="8336" spans="1:13">
      <c r="A8336" s="10">
        <v>46215</v>
      </c>
      <c r="B8336" t="s">
        <v>201</v>
      </c>
      <c r="C8336" t="s">
        <v>37</v>
      </c>
      <c r="D8336">
        <v>4</v>
      </c>
      <c r="E8336">
        <v>0</v>
      </c>
      <c r="I8336">
        <v>4</v>
      </c>
      <c r="M8336" t="s">
        <v>8462</v>
      </c>
    </row>
    <row r="8337" spans="1:13">
      <c r="A8337" s="10">
        <v>46215</v>
      </c>
      <c r="B8337" t="s">
        <v>201</v>
      </c>
      <c r="C8337" t="s">
        <v>39</v>
      </c>
      <c r="D8337">
        <v>26</v>
      </c>
      <c r="E8337">
        <v>0</v>
      </c>
      <c r="I8337">
        <v>26</v>
      </c>
      <c r="M8337" t="s">
        <v>8463</v>
      </c>
    </row>
    <row r="8338" spans="1:13">
      <c r="A8338" s="10">
        <v>46215</v>
      </c>
      <c r="B8338" t="s">
        <v>201</v>
      </c>
      <c r="C8338" t="s">
        <v>41</v>
      </c>
      <c r="D8338">
        <v>19</v>
      </c>
      <c r="E8338">
        <v>0</v>
      </c>
      <c r="H8338">
        <v>1</v>
      </c>
      <c r="I8338">
        <v>18</v>
      </c>
      <c r="M8338" t="s">
        <v>8464</v>
      </c>
    </row>
    <row r="8339" spans="1:13">
      <c r="A8339" s="10">
        <v>46215</v>
      </c>
      <c r="B8339" t="s">
        <v>201</v>
      </c>
      <c r="C8339" s="135" t="s">
        <v>44</v>
      </c>
      <c r="D8339">
        <v>3</v>
      </c>
      <c r="E8339">
        <v>8277</v>
      </c>
      <c r="I8339">
        <v>2</v>
      </c>
      <c r="J8339">
        <v>8766</v>
      </c>
      <c r="M8339" t="s">
        <v>8465</v>
      </c>
    </row>
    <row r="8340" spans="1:13">
      <c r="A8340" s="10">
        <v>46215</v>
      </c>
      <c r="B8340" t="s">
        <v>201</v>
      </c>
      <c r="C8340" t="s">
        <v>230</v>
      </c>
      <c r="D8340">
        <v>1</v>
      </c>
      <c r="E8340">
        <v>238</v>
      </c>
      <c r="I8340">
        <v>1</v>
      </c>
      <c r="J8340">
        <v>175</v>
      </c>
      <c r="M8340" t="s">
        <v>8466</v>
      </c>
    </row>
    <row r="8341" spans="1:13">
      <c r="A8341" s="10">
        <v>46215</v>
      </c>
      <c r="B8341" t="s">
        <v>201</v>
      </c>
      <c r="C8341" t="s">
        <v>232</v>
      </c>
      <c r="D8341">
        <v>5</v>
      </c>
      <c r="E8341">
        <v>0</v>
      </c>
      <c r="I8341">
        <v>5</v>
      </c>
      <c r="M8341" t="s">
        <v>8467</v>
      </c>
    </row>
    <row r="8342" spans="1:13">
      <c r="A8342" s="10">
        <v>46215</v>
      </c>
      <c r="B8342" t="s">
        <v>201</v>
      </c>
      <c r="C8342" t="s">
        <v>234</v>
      </c>
      <c r="D8342">
        <v>77</v>
      </c>
      <c r="E8342">
        <v>0</v>
      </c>
      <c r="H8342">
        <v>8</v>
      </c>
      <c r="I8342">
        <v>69</v>
      </c>
      <c r="M8342" t="s">
        <v>8468</v>
      </c>
    </row>
    <row r="8343" spans="1:13">
      <c r="A8343" s="10">
        <v>46215</v>
      </c>
      <c r="B8343" t="s">
        <v>201</v>
      </c>
      <c r="C8343" t="s">
        <v>54</v>
      </c>
      <c r="D8343">
        <v>0</v>
      </c>
      <c r="E8343">
        <v>0</v>
      </c>
      <c r="I8343">
        <v>0</v>
      </c>
      <c r="M8343" t="s">
        <v>8469</v>
      </c>
    </row>
    <row r="8344" spans="1:13">
      <c r="A8344" s="10">
        <v>46215</v>
      </c>
      <c r="B8344" t="s">
        <v>201</v>
      </c>
      <c r="C8344" t="s">
        <v>237</v>
      </c>
      <c r="D8344">
        <v>8</v>
      </c>
      <c r="E8344">
        <v>0</v>
      </c>
      <c r="I8344">
        <v>8</v>
      </c>
      <c r="M8344" t="s">
        <v>8470</v>
      </c>
    </row>
    <row r="8345" spans="1:13">
      <c r="A8345" s="10">
        <v>46215</v>
      </c>
      <c r="B8345" t="s">
        <v>201</v>
      </c>
      <c r="C8345" s="135" t="s">
        <v>58</v>
      </c>
      <c r="D8345">
        <v>14</v>
      </c>
      <c r="E8345">
        <v>0</v>
      </c>
      <c r="H8345">
        <v>3</v>
      </c>
      <c r="I8345">
        <v>11</v>
      </c>
      <c r="M8345" t="s">
        <v>8471</v>
      </c>
    </row>
    <row r="8346" spans="1:13">
      <c r="A8346" s="10">
        <v>46215</v>
      </c>
      <c r="B8346" t="s">
        <v>201</v>
      </c>
      <c r="C8346" s="135" t="s">
        <v>60</v>
      </c>
      <c r="D8346">
        <v>9</v>
      </c>
      <c r="E8346">
        <v>0</v>
      </c>
      <c r="H8346">
        <v>2</v>
      </c>
      <c r="I8346">
        <v>7</v>
      </c>
      <c r="M8346" t="s">
        <v>8472</v>
      </c>
    </row>
    <row r="8347" spans="1:13">
      <c r="A8347" s="10">
        <v>46215</v>
      </c>
      <c r="B8347" t="s">
        <v>201</v>
      </c>
      <c r="C8347" s="135" t="s">
        <v>61</v>
      </c>
      <c r="D8347">
        <v>5</v>
      </c>
      <c r="E8347">
        <v>0</v>
      </c>
      <c r="H8347">
        <v>2</v>
      </c>
      <c r="I8347">
        <v>3</v>
      </c>
      <c r="M8347" t="s">
        <v>8473</v>
      </c>
    </row>
    <row r="8348" spans="1:13">
      <c r="A8348" s="10">
        <v>46215</v>
      </c>
      <c r="B8348" t="s">
        <v>201</v>
      </c>
      <c r="C8348" s="135" t="s">
        <v>62</v>
      </c>
      <c r="D8348">
        <v>1</v>
      </c>
      <c r="E8348">
        <v>0</v>
      </c>
      <c r="H8348">
        <v>1</v>
      </c>
      <c r="I8348">
        <v>0</v>
      </c>
      <c r="M8348" t="s">
        <v>8474</v>
      </c>
    </row>
    <row r="8349" spans="1:13">
      <c r="A8349" s="10">
        <v>46215</v>
      </c>
      <c r="B8349" t="s">
        <v>201</v>
      </c>
      <c r="C8349" s="135" t="s">
        <v>63</v>
      </c>
      <c r="D8349">
        <v>9</v>
      </c>
      <c r="E8349">
        <v>0</v>
      </c>
      <c r="H8349">
        <v>4</v>
      </c>
      <c r="I8349">
        <v>5</v>
      </c>
      <c r="M8349" t="s">
        <v>8475</v>
      </c>
    </row>
    <row r="8350" spans="1:13">
      <c r="A8350" s="10">
        <v>46215</v>
      </c>
      <c r="B8350" t="s">
        <v>201</v>
      </c>
      <c r="C8350" s="135" t="s">
        <v>64</v>
      </c>
      <c r="D8350">
        <v>11</v>
      </c>
      <c r="E8350">
        <v>0</v>
      </c>
      <c r="H8350">
        <v>2</v>
      </c>
      <c r="I8350">
        <v>9</v>
      </c>
      <c r="M8350" t="s">
        <v>8476</v>
      </c>
    </row>
    <row r="8351" spans="1:13">
      <c r="A8351" s="10">
        <v>46215</v>
      </c>
      <c r="B8351" t="s">
        <v>201</v>
      </c>
      <c r="C8351" t="s">
        <v>66</v>
      </c>
      <c r="D8351">
        <v>4</v>
      </c>
      <c r="E8351">
        <v>0</v>
      </c>
      <c r="I8351">
        <v>4</v>
      </c>
      <c r="M8351" t="s">
        <v>8477</v>
      </c>
    </row>
    <row r="8352" spans="1:13">
      <c r="A8352" s="10">
        <v>46215</v>
      </c>
      <c r="B8352" t="s">
        <v>201</v>
      </c>
      <c r="C8352" t="s">
        <v>67</v>
      </c>
      <c r="D8352">
        <v>4</v>
      </c>
      <c r="E8352">
        <v>0</v>
      </c>
      <c r="I8352">
        <v>4</v>
      </c>
      <c r="M8352" t="s">
        <v>8478</v>
      </c>
    </row>
    <row r="8353" spans="1:13">
      <c r="A8353" s="10">
        <v>46215</v>
      </c>
      <c r="B8353" t="s">
        <v>201</v>
      </c>
      <c r="C8353" t="s">
        <v>68</v>
      </c>
      <c r="D8353">
        <v>0</v>
      </c>
      <c r="E8353">
        <v>0</v>
      </c>
      <c r="I8353">
        <v>0</v>
      </c>
      <c r="M8353" t="s">
        <v>8479</v>
      </c>
    </row>
    <row r="8354" spans="1:13">
      <c r="A8354" s="10">
        <v>46215</v>
      </c>
      <c r="B8354" t="s">
        <v>201</v>
      </c>
      <c r="C8354" t="s">
        <v>71</v>
      </c>
      <c r="D8354">
        <v>0</v>
      </c>
      <c r="E8354">
        <v>931</v>
      </c>
      <c r="I8354">
        <v>0</v>
      </c>
      <c r="J8354">
        <v>937</v>
      </c>
      <c r="M8354" t="s">
        <v>8480</v>
      </c>
    </row>
    <row r="8355" spans="1:13">
      <c r="A8355" s="10">
        <v>46215</v>
      </c>
      <c r="B8355" t="s">
        <v>201</v>
      </c>
      <c r="C8355" t="s">
        <v>73</v>
      </c>
      <c r="D8355">
        <v>1</v>
      </c>
      <c r="E8355">
        <v>563</v>
      </c>
      <c r="I8355">
        <v>1</v>
      </c>
      <c r="J8355">
        <v>542</v>
      </c>
      <c r="M8355" t="s">
        <v>8481</v>
      </c>
    </row>
    <row r="8356" spans="1:13">
      <c r="A8356" s="10">
        <v>46215</v>
      </c>
      <c r="B8356" t="s">
        <v>201</v>
      </c>
      <c r="C8356" t="s">
        <v>75</v>
      </c>
      <c r="D8356">
        <v>0</v>
      </c>
      <c r="E8356">
        <v>364</v>
      </c>
      <c r="I8356">
        <v>0</v>
      </c>
      <c r="J8356">
        <v>364</v>
      </c>
      <c r="M8356" t="s">
        <v>8482</v>
      </c>
    </row>
    <row r="8357" spans="1:13">
      <c r="A8357" s="10">
        <v>46215</v>
      </c>
      <c r="B8357" t="s">
        <v>201</v>
      </c>
      <c r="C8357" t="s">
        <v>77</v>
      </c>
      <c r="D8357">
        <v>0</v>
      </c>
      <c r="E8357">
        <v>978</v>
      </c>
      <c r="I8357">
        <v>0</v>
      </c>
      <c r="J8357">
        <v>939</v>
      </c>
      <c r="M8357" t="s">
        <v>8483</v>
      </c>
    </row>
    <row r="8358" spans="1:13">
      <c r="A8358" s="10">
        <v>46215</v>
      </c>
      <c r="B8358" t="s">
        <v>201</v>
      </c>
      <c r="C8358" t="s">
        <v>79</v>
      </c>
      <c r="D8358">
        <v>1</v>
      </c>
      <c r="E8358">
        <v>539</v>
      </c>
      <c r="I8358">
        <v>1</v>
      </c>
      <c r="J8358">
        <v>363</v>
      </c>
      <c r="M8358" t="s">
        <v>8484</v>
      </c>
    </row>
    <row r="8359" spans="1:13">
      <c r="A8359" s="10">
        <v>46215</v>
      </c>
      <c r="B8359" t="s">
        <v>201</v>
      </c>
      <c r="C8359" t="s">
        <v>81</v>
      </c>
      <c r="D8359">
        <v>1</v>
      </c>
      <c r="E8359">
        <v>483</v>
      </c>
      <c r="I8359">
        <v>1</v>
      </c>
      <c r="J8359">
        <v>483</v>
      </c>
      <c r="M8359" t="s">
        <v>8485</v>
      </c>
    </row>
    <row r="8360" spans="1:13">
      <c r="A8360" s="10">
        <v>46215</v>
      </c>
      <c r="B8360" t="s">
        <v>201</v>
      </c>
      <c r="C8360" t="s">
        <v>83</v>
      </c>
      <c r="D8360">
        <v>1</v>
      </c>
      <c r="E8360">
        <v>322</v>
      </c>
      <c r="I8360">
        <v>1</v>
      </c>
      <c r="J8360">
        <v>322</v>
      </c>
      <c r="M8360" t="s">
        <v>8486</v>
      </c>
    </row>
    <row r="8361" spans="1:13">
      <c r="A8361" s="10">
        <v>46215</v>
      </c>
      <c r="B8361" t="s">
        <v>201</v>
      </c>
      <c r="C8361" t="s">
        <v>84</v>
      </c>
      <c r="D8361">
        <v>2</v>
      </c>
      <c r="E8361">
        <v>205</v>
      </c>
      <c r="I8361">
        <v>2</v>
      </c>
      <c r="J8361">
        <v>205</v>
      </c>
      <c r="M8361" t="s">
        <v>8487</v>
      </c>
    </row>
    <row r="8362" spans="1:13">
      <c r="A8362" s="10">
        <v>46215</v>
      </c>
      <c r="B8362" t="s">
        <v>201</v>
      </c>
      <c r="C8362" t="s">
        <v>85</v>
      </c>
      <c r="D8362">
        <v>0</v>
      </c>
      <c r="E8362">
        <v>131</v>
      </c>
      <c r="I8362">
        <v>0</v>
      </c>
      <c r="J8362">
        <v>125</v>
      </c>
      <c r="M8362" t="s">
        <v>8488</v>
      </c>
    </row>
    <row r="8363" spans="1:13">
      <c r="A8363" s="10">
        <v>46215</v>
      </c>
      <c r="B8363" t="s">
        <v>201</v>
      </c>
      <c r="C8363" t="s">
        <v>87</v>
      </c>
      <c r="D8363">
        <v>2</v>
      </c>
      <c r="E8363">
        <v>274</v>
      </c>
      <c r="I8363">
        <v>2</v>
      </c>
      <c r="J8363">
        <v>235</v>
      </c>
      <c r="M8363" t="s">
        <v>8489</v>
      </c>
    </row>
    <row r="8364" spans="1:13">
      <c r="A8364" s="10">
        <v>46215</v>
      </c>
      <c r="B8364" t="s">
        <v>201</v>
      </c>
      <c r="C8364" t="s">
        <v>88</v>
      </c>
      <c r="D8364">
        <v>1</v>
      </c>
      <c r="E8364">
        <v>203</v>
      </c>
      <c r="I8364">
        <v>1</v>
      </c>
      <c r="J8364">
        <v>199</v>
      </c>
      <c r="M8364" t="s">
        <v>8490</v>
      </c>
    </row>
    <row r="8365" spans="1:13">
      <c r="A8365" s="10">
        <v>46215</v>
      </c>
      <c r="B8365" t="s">
        <v>201</v>
      </c>
      <c r="C8365" t="s">
        <v>89</v>
      </c>
      <c r="D8365">
        <v>1</v>
      </c>
      <c r="E8365">
        <v>148</v>
      </c>
      <c r="I8365">
        <v>1</v>
      </c>
      <c r="J8365">
        <v>147</v>
      </c>
      <c r="M8365" t="s">
        <v>8491</v>
      </c>
    </row>
    <row r="8366" spans="1:13">
      <c r="A8366" s="10">
        <v>46215</v>
      </c>
      <c r="B8366" t="s">
        <v>201</v>
      </c>
      <c r="C8366" t="s">
        <v>90</v>
      </c>
      <c r="D8366">
        <v>1</v>
      </c>
      <c r="E8366">
        <v>712</v>
      </c>
      <c r="I8366">
        <v>1</v>
      </c>
      <c r="J8366">
        <v>652</v>
      </c>
      <c r="M8366" t="s">
        <v>8492</v>
      </c>
    </row>
    <row r="8367" spans="1:13">
      <c r="A8367" s="10">
        <v>46215</v>
      </c>
      <c r="B8367" t="s">
        <v>201</v>
      </c>
      <c r="C8367" t="s">
        <v>92</v>
      </c>
      <c r="D8367">
        <v>1</v>
      </c>
      <c r="E8367">
        <v>269</v>
      </c>
      <c r="I8367">
        <v>0</v>
      </c>
      <c r="J8367">
        <v>1221</v>
      </c>
      <c r="M8367" t="s">
        <v>8493</v>
      </c>
    </row>
    <row r="8368" spans="1:13">
      <c r="A8368" s="10">
        <v>46215</v>
      </c>
      <c r="B8368" t="s">
        <v>201</v>
      </c>
      <c r="C8368" t="s">
        <v>94</v>
      </c>
      <c r="D8368">
        <v>2</v>
      </c>
      <c r="E8368">
        <v>480</v>
      </c>
      <c r="I8368">
        <v>1</v>
      </c>
      <c r="J8368">
        <v>366</v>
      </c>
      <c r="M8368" t="s">
        <v>8494</v>
      </c>
    </row>
    <row r="8369" spans="1:13">
      <c r="A8369" s="10">
        <v>46215</v>
      </c>
      <c r="B8369" t="s">
        <v>201</v>
      </c>
      <c r="C8369" t="s">
        <v>96</v>
      </c>
      <c r="D8369">
        <v>0</v>
      </c>
      <c r="E8369">
        <v>0</v>
      </c>
      <c r="I8369">
        <v>0</v>
      </c>
      <c r="J8369">
        <v>0</v>
      </c>
      <c r="M8369" t="s">
        <v>8495</v>
      </c>
    </row>
    <row r="8370" spans="1:13">
      <c r="A8370" s="10">
        <v>46215</v>
      </c>
      <c r="B8370" t="s">
        <v>201</v>
      </c>
      <c r="C8370" t="s">
        <v>98</v>
      </c>
      <c r="D8370">
        <v>0</v>
      </c>
      <c r="E8370">
        <v>688</v>
      </c>
      <c r="I8370">
        <v>0</v>
      </c>
      <c r="J8370">
        <v>449</v>
      </c>
      <c r="M8370" t="s">
        <v>8496</v>
      </c>
    </row>
    <row r="8371" spans="1:13">
      <c r="A8371" s="10">
        <v>46215</v>
      </c>
      <c r="B8371" t="s">
        <v>201</v>
      </c>
      <c r="C8371" t="s">
        <v>203</v>
      </c>
      <c r="D8371">
        <v>2</v>
      </c>
      <c r="E8371">
        <v>0</v>
      </c>
      <c r="I8371">
        <v>2</v>
      </c>
      <c r="J8371">
        <v>0</v>
      </c>
      <c r="M8371" t="s">
        <v>8497</v>
      </c>
    </row>
    <row r="8372" spans="1:13">
      <c r="A8372" s="10">
        <v>46215</v>
      </c>
      <c r="B8372" t="s">
        <v>201</v>
      </c>
      <c r="C8372" t="s">
        <v>100</v>
      </c>
      <c r="D8372">
        <v>0</v>
      </c>
      <c r="E8372">
        <v>0</v>
      </c>
      <c r="I8372">
        <v>0</v>
      </c>
      <c r="J8372">
        <v>0</v>
      </c>
      <c r="M8372" t="s">
        <v>8498</v>
      </c>
    </row>
    <row r="8373" spans="1:13">
      <c r="A8373" s="10">
        <v>46215</v>
      </c>
      <c r="B8373" t="s">
        <v>201</v>
      </c>
      <c r="C8373" t="s">
        <v>101</v>
      </c>
      <c r="D8373">
        <v>1</v>
      </c>
      <c r="E8373">
        <v>202</v>
      </c>
      <c r="I8373">
        <v>0</v>
      </c>
      <c r="J8373">
        <v>565</v>
      </c>
      <c r="M8373" t="s">
        <v>8499</v>
      </c>
    </row>
    <row r="8374" spans="1:13">
      <c r="A8374" s="10">
        <v>46215</v>
      </c>
      <c r="B8374" t="s">
        <v>201</v>
      </c>
      <c r="C8374" t="s">
        <v>103</v>
      </c>
      <c r="D8374">
        <v>0</v>
      </c>
      <c r="E8374">
        <v>13</v>
      </c>
      <c r="I8374">
        <v>0</v>
      </c>
      <c r="J8374">
        <v>12</v>
      </c>
      <c r="M8374" t="s">
        <v>8500</v>
      </c>
    </row>
    <row r="8375" spans="1:13">
      <c r="A8375" s="10">
        <v>46215</v>
      </c>
      <c r="B8375" t="s">
        <v>201</v>
      </c>
      <c r="C8375" t="s">
        <v>106</v>
      </c>
      <c r="D8375">
        <v>1</v>
      </c>
      <c r="E8375">
        <v>647</v>
      </c>
      <c r="I8375">
        <v>1</v>
      </c>
      <c r="J8375">
        <v>315</v>
      </c>
      <c r="M8375" t="s">
        <v>8501</v>
      </c>
    </row>
    <row r="8376" spans="1:13">
      <c r="A8376" s="10">
        <v>46215</v>
      </c>
      <c r="B8376" t="s">
        <v>201</v>
      </c>
      <c r="C8376" t="s">
        <v>108</v>
      </c>
      <c r="D8376">
        <v>0</v>
      </c>
      <c r="E8376">
        <v>1092</v>
      </c>
      <c r="I8376">
        <v>0</v>
      </c>
      <c r="J8376">
        <v>1056</v>
      </c>
      <c r="M8376" t="s">
        <v>8502</v>
      </c>
    </row>
    <row r="8377" spans="1:13">
      <c r="A8377" s="10">
        <v>46215</v>
      </c>
      <c r="B8377" t="s">
        <v>201</v>
      </c>
      <c r="C8377" t="s">
        <v>109</v>
      </c>
      <c r="D8377">
        <v>0</v>
      </c>
      <c r="E8377">
        <v>1332</v>
      </c>
      <c r="I8377">
        <v>0</v>
      </c>
      <c r="J8377">
        <v>1192</v>
      </c>
      <c r="M8377" t="s">
        <v>8503</v>
      </c>
    </row>
    <row r="8378" spans="1:13">
      <c r="A8378" s="10">
        <v>46215</v>
      </c>
      <c r="B8378" t="s">
        <v>201</v>
      </c>
      <c r="C8378" t="s">
        <v>112</v>
      </c>
      <c r="D8378">
        <v>1</v>
      </c>
      <c r="E8378">
        <v>56</v>
      </c>
      <c r="I8378">
        <v>1</v>
      </c>
      <c r="J8378">
        <v>50</v>
      </c>
      <c r="M8378" t="s">
        <v>8504</v>
      </c>
    </row>
    <row r="8379" spans="1:13">
      <c r="A8379" s="10">
        <v>46215</v>
      </c>
      <c r="B8379" t="s">
        <v>201</v>
      </c>
      <c r="C8379" t="s">
        <v>114</v>
      </c>
      <c r="D8379">
        <v>1</v>
      </c>
      <c r="E8379">
        <v>56</v>
      </c>
      <c r="I8379">
        <v>1</v>
      </c>
      <c r="J8379">
        <v>38</v>
      </c>
      <c r="M8379" t="s">
        <v>8505</v>
      </c>
    </row>
    <row r="8380" spans="1:13">
      <c r="A8380" s="10">
        <v>46215</v>
      </c>
      <c r="B8380" t="s">
        <v>201</v>
      </c>
      <c r="C8380" t="s">
        <v>115</v>
      </c>
      <c r="D8380">
        <v>1</v>
      </c>
      <c r="E8380">
        <v>23</v>
      </c>
      <c r="I8380">
        <v>1</v>
      </c>
      <c r="J8380">
        <v>16</v>
      </c>
      <c r="M8380" t="s">
        <v>8506</v>
      </c>
    </row>
    <row r="8381" spans="1:13">
      <c r="A8381" s="10">
        <v>46215</v>
      </c>
      <c r="B8381" t="s">
        <v>201</v>
      </c>
      <c r="C8381" t="s">
        <v>116</v>
      </c>
      <c r="D8381">
        <v>2</v>
      </c>
      <c r="E8381">
        <v>15</v>
      </c>
      <c r="I8381">
        <v>2</v>
      </c>
      <c r="J8381">
        <v>2</v>
      </c>
      <c r="M8381" t="s">
        <v>8507</v>
      </c>
    </row>
    <row r="8382" spans="1:13">
      <c r="A8382" s="10">
        <v>46215</v>
      </c>
      <c r="B8382" t="s">
        <v>201</v>
      </c>
      <c r="C8382" t="s">
        <v>119</v>
      </c>
      <c r="D8382">
        <v>4</v>
      </c>
      <c r="E8382">
        <v>0</v>
      </c>
      <c r="I8382">
        <v>3</v>
      </c>
      <c r="M8382" t="s">
        <v>8508</v>
      </c>
    </row>
    <row r="8383" spans="1:13">
      <c r="A8383" s="10">
        <v>46215</v>
      </c>
      <c r="B8383" t="s">
        <v>201</v>
      </c>
      <c r="C8383" t="s">
        <v>120</v>
      </c>
      <c r="D8383">
        <v>1</v>
      </c>
      <c r="E8383">
        <v>0</v>
      </c>
      <c r="I8383">
        <v>1</v>
      </c>
      <c r="M8383" t="s">
        <v>8509</v>
      </c>
    </row>
    <row r="8384" spans="1:13">
      <c r="A8384" s="10">
        <v>46215</v>
      </c>
      <c r="B8384" t="s">
        <v>201</v>
      </c>
      <c r="C8384" t="s">
        <v>121</v>
      </c>
      <c r="D8384">
        <v>2</v>
      </c>
      <c r="E8384">
        <v>0</v>
      </c>
      <c r="I8384">
        <v>2</v>
      </c>
      <c r="M8384" t="s">
        <v>8510</v>
      </c>
    </row>
    <row r="8385" spans="1:13">
      <c r="A8385" s="10">
        <v>46215</v>
      </c>
      <c r="B8385" t="s">
        <v>201</v>
      </c>
      <c r="C8385" t="s">
        <v>123</v>
      </c>
      <c r="D8385">
        <v>2</v>
      </c>
      <c r="E8385">
        <v>0</v>
      </c>
      <c r="I8385">
        <v>2</v>
      </c>
      <c r="M8385" t="s">
        <v>8511</v>
      </c>
    </row>
    <row r="8386" spans="1:13">
      <c r="A8386" s="10">
        <v>46215</v>
      </c>
      <c r="B8386" t="s">
        <v>201</v>
      </c>
      <c r="C8386" t="s">
        <v>124</v>
      </c>
      <c r="D8386">
        <v>1</v>
      </c>
      <c r="E8386">
        <v>0</v>
      </c>
      <c r="I8386">
        <v>1</v>
      </c>
      <c r="M8386" t="s">
        <v>8512</v>
      </c>
    </row>
    <row r="8387" spans="1:13">
      <c r="A8387" s="10">
        <v>46215</v>
      </c>
      <c r="B8387" t="s">
        <v>201</v>
      </c>
      <c r="C8387" t="s">
        <v>125</v>
      </c>
      <c r="D8387">
        <v>2</v>
      </c>
      <c r="E8387">
        <v>0</v>
      </c>
      <c r="I8387">
        <v>2</v>
      </c>
      <c r="M8387" t="s">
        <v>8513</v>
      </c>
    </row>
    <row r="8388" spans="1:13">
      <c r="A8388" s="10">
        <v>46215</v>
      </c>
      <c r="B8388" t="s">
        <v>201</v>
      </c>
      <c r="C8388" t="s">
        <v>126</v>
      </c>
      <c r="D8388">
        <v>2</v>
      </c>
      <c r="E8388">
        <v>0</v>
      </c>
      <c r="I8388">
        <v>2</v>
      </c>
      <c r="M8388" t="s">
        <v>8514</v>
      </c>
    </row>
    <row r="8389" spans="1:13">
      <c r="A8389" s="10">
        <v>46215</v>
      </c>
      <c r="B8389" t="s">
        <v>201</v>
      </c>
      <c r="C8389" t="s">
        <v>128</v>
      </c>
      <c r="D8389">
        <v>2</v>
      </c>
      <c r="E8389">
        <v>0</v>
      </c>
      <c r="I8389">
        <v>1</v>
      </c>
      <c r="M8389" t="s">
        <v>8515</v>
      </c>
    </row>
    <row r="8390" spans="1:13">
      <c r="A8390" s="10">
        <v>46215</v>
      </c>
      <c r="B8390" t="s">
        <v>201</v>
      </c>
      <c r="C8390" t="s">
        <v>130</v>
      </c>
      <c r="D8390">
        <v>4</v>
      </c>
      <c r="E8390">
        <v>0</v>
      </c>
      <c r="I8390">
        <v>3</v>
      </c>
      <c r="M8390" t="s">
        <v>8516</v>
      </c>
    </row>
    <row r="8391" spans="1:13">
      <c r="A8391" s="10">
        <v>46215</v>
      </c>
      <c r="B8391" t="s">
        <v>201</v>
      </c>
      <c r="C8391" t="s">
        <v>285</v>
      </c>
      <c r="D8391">
        <v>2</v>
      </c>
      <c r="E8391">
        <v>0</v>
      </c>
      <c r="I8391">
        <v>1</v>
      </c>
      <c r="M8391" t="s">
        <v>8517</v>
      </c>
    </row>
    <row r="8392" spans="1:13">
      <c r="A8392" s="10">
        <v>46215</v>
      </c>
      <c r="B8392" t="s">
        <v>201</v>
      </c>
      <c r="C8392" t="s">
        <v>287</v>
      </c>
      <c r="D8392">
        <v>5</v>
      </c>
      <c r="E8392">
        <v>0</v>
      </c>
      <c r="I8392">
        <v>5</v>
      </c>
      <c r="M8392" t="s">
        <v>8518</v>
      </c>
    </row>
    <row r="8393" spans="1:13">
      <c r="A8393" s="10">
        <v>46215</v>
      </c>
      <c r="B8393" t="s">
        <v>201</v>
      </c>
      <c r="C8393" t="s">
        <v>289</v>
      </c>
      <c r="D8393">
        <v>2</v>
      </c>
      <c r="E8393">
        <v>0</v>
      </c>
      <c r="I8393">
        <v>2</v>
      </c>
      <c r="M8393" t="s">
        <v>8519</v>
      </c>
    </row>
    <row r="8394" spans="1:13">
      <c r="A8394" s="10">
        <v>46215</v>
      </c>
      <c r="B8394" t="s">
        <v>201</v>
      </c>
      <c r="C8394" t="s">
        <v>291</v>
      </c>
      <c r="D8394">
        <v>1</v>
      </c>
      <c r="E8394">
        <v>0</v>
      </c>
      <c r="I8394">
        <v>1</v>
      </c>
      <c r="M8394" t="s">
        <v>8520</v>
      </c>
    </row>
    <row r="8395" spans="1:13">
      <c r="A8395" s="10">
        <v>46215</v>
      </c>
      <c r="B8395" t="s">
        <v>201</v>
      </c>
      <c r="C8395" t="s">
        <v>293</v>
      </c>
      <c r="D8395">
        <v>3</v>
      </c>
      <c r="E8395">
        <v>0</v>
      </c>
      <c r="I8395">
        <v>3</v>
      </c>
      <c r="M8395" t="s">
        <v>8521</v>
      </c>
    </row>
    <row r="8396" spans="1:13">
      <c r="A8396" s="10">
        <v>46215</v>
      </c>
      <c r="B8396" t="s">
        <v>201</v>
      </c>
      <c r="C8396" s="135" t="s">
        <v>138</v>
      </c>
      <c r="D8396">
        <v>0</v>
      </c>
      <c r="E8396">
        <v>36</v>
      </c>
      <c r="I8396">
        <v>0</v>
      </c>
      <c r="J8396">
        <v>36</v>
      </c>
      <c r="M8396" t="s">
        <v>8522</v>
      </c>
    </row>
    <row r="8397" spans="1:13">
      <c r="A8397" s="10">
        <v>46215</v>
      </c>
      <c r="B8397" t="s">
        <v>201</v>
      </c>
      <c r="C8397" s="135" t="s">
        <v>139</v>
      </c>
      <c r="D8397">
        <v>0</v>
      </c>
      <c r="E8397">
        <v>40</v>
      </c>
      <c r="I8397">
        <v>0</v>
      </c>
      <c r="J8397">
        <v>40</v>
      </c>
      <c r="M8397" t="s">
        <v>8523</v>
      </c>
    </row>
    <row r="8398" spans="1:13">
      <c r="A8398" s="10">
        <v>46215</v>
      </c>
      <c r="B8398" t="s">
        <v>201</v>
      </c>
      <c r="C8398" s="135" t="s">
        <v>140</v>
      </c>
      <c r="D8398">
        <v>0</v>
      </c>
      <c r="E8398">
        <v>46</v>
      </c>
      <c r="I8398">
        <v>0</v>
      </c>
      <c r="J8398">
        <v>46</v>
      </c>
      <c r="M8398" t="s">
        <v>8524</v>
      </c>
    </row>
    <row r="8399" spans="1:13">
      <c r="A8399" s="10">
        <v>46215</v>
      </c>
      <c r="B8399" t="s">
        <v>201</v>
      </c>
      <c r="C8399" s="135" t="s">
        <v>141</v>
      </c>
      <c r="D8399">
        <v>0</v>
      </c>
      <c r="E8399">
        <v>446</v>
      </c>
      <c r="I8399">
        <v>0</v>
      </c>
      <c r="J8399">
        <v>1</v>
      </c>
      <c r="M8399" t="s">
        <v>8525</v>
      </c>
    </row>
    <row r="8400" spans="1:13">
      <c r="A8400" s="10">
        <v>46215</v>
      </c>
      <c r="B8400" t="s">
        <v>201</v>
      </c>
      <c r="C8400" s="135" t="s">
        <v>143</v>
      </c>
      <c r="D8400">
        <v>0</v>
      </c>
      <c r="E8400">
        <v>33</v>
      </c>
      <c r="I8400">
        <v>0</v>
      </c>
      <c r="J8400">
        <v>25</v>
      </c>
      <c r="M8400" t="s">
        <v>8526</v>
      </c>
    </row>
    <row r="8401" spans="1:13">
      <c r="A8401" s="10">
        <v>46215</v>
      </c>
      <c r="B8401" t="s">
        <v>201</v>
      </c>
      <c r="C8401" s="135" t="s">
        <v>145</v>
      </c>
      <c r="D8401">
        <v>0</v>
      </c>
      <c r="E8401">
        <v>38</v>
      </c>
      <c r="I8401">
        <v>0</v>
      </c>
      <c r="J8401">
        <v>37</v>
      </c>
      <c r="M8401" t="s">
        <v>8527</v>
      </c>
    </row>
    <row r="8402" spans="1:13">
      <c r="A8402" s="10">
        <v>46215</v>
      </c>
      <c r="B8402" t="s">
        <v>201</v>
      </c>
      <c r="C8402" s="135" t="s">
        <v>147</v>
      </c>
      <c r="D8402">
        <v>0</v>
      </c>
      <c r="E8402">
        <v>38</v>
      </c>
      <c r="I8402">
        <v>0</v>
      </c>
      <c r="J8402">
        <v>35</v>
      </c>
      <c r="M8402" t="s">
        <v>8528</v>
      </c>
    </row>
    <row r="8403" spans="1:13">
      <c r="A8403" s="10">
        <v>46215</v>
      </c>
      <c r="B8403" t="s">
        <v>201</v>
      </c>
      <c r="C8403" t="s">
        <v>302</v>
      </c>
      <c r="D8403">
        <v>1</v>
      </c>
      <c r="E8403">
        <v>0</v>
      </c>
      <c r="I8403">
        <v>1</v>
      </c>
      <c r="M8403" t="s">
        <v>8529</v>
      </c>
    </row>
    <row r="8404" spans="1:13">
      <c r="A8404" s="10">
        <v>46215</v>
      </c>
      <c r="B8404" t="s">
        <v>201</v>
      </c>
      <c r="C8404" t="s">
        <v>150</v>
      </c>
      <c r="D8404">
        <v>3</v>
      </c>
      <c r="E8404">
        <v>0</v>
      </c>
      <c r="I8404">
        <v>3</v>
      </c>
      <c r="M8404" t="s">
        <v>8530</v>
      </c>
    </row>
    <row r="8405" spans="1:13">
      <c r="A8405" s="10">
        <v>46215</v>
      </c>
      <c r="B8405" t="s">
        <v>201</v>
      </c>
      <c r="C8405" t="s">
        <v>151</v>
      </c>
      <c r="D8405">
        <v>2</v>
      </c>
      <c r="E8405">
        <v>0</v>
      </c>
      <c r="I8405">
        <v>2</v>
      </c>
      <c r="M8405" t="s">
        <v>8531</v>
      </c>
    </row>
    <row r="8406" spans="1:13">
      <c r="A8406" s="10">
        <v>46215</v>
      </c>
      <c r="B8406" t="s">
        <v>201</v>
      </c>
      <c r="C8406" t="s">
        <v>152</v>
      </c>
      <c r="D8406">
        <v>2</v>
      </c>
      <c r="E8406">
        <v>0</v>
      </c>
      <c r="I8406">
        <v>2</v>
      </c>
      <c r="M8406" t="s">
        <v>8532</v>
      </c>
    </row>
    <row r="8407" spans="1:13">
      <c r="A8407" s="10">
        <v>46215</v>
      </c>
      <c r="B8407" t="s">
        <v>201</v>
      </c>
      <c r="C8407" t="s">
        <v>153</v>
      </c>
      <c r="D8407">
        <v>2</v>
      </c>
      <c r="E8407">
        <v>0</v>
      </c>
      <c r="I8407">
        <v>2</v>
      </c>
      <c r="M8407" t="s">
        <v>8533</v>
      </c>
    </row>
    <row r="8408" spans="1:13">
      <c r="A8408" s="10">
        <v>46215</v>
      </c>
      <c r="B8408" t="s">
        <v>201</v>
      </c>
      <c r="C8408" t="s">
        <v>308</v>
      </c>
      <c r="D8408">
        <v>0</v>
      </c>
      <c r="E8408">
        <v>4</v>
      </c>
      <c r="I8408">
        <v>0</v>
      </c>
      <c r="J8408">
        <v>4</v>
      </c>
      <c r="M8408" t="s">
        <v>8534</v>
      </c>
    </row>
    <row r="8409" spans="1:13">
      <c r="A8409" s="10">
        <v>46215</v>
      </c>
      <c r="B8409" t="s">
        <v>201</v>
      </c>
      <c r="C8409" t="s">
        <v>310</v>
      </c>
      <c r="D8409">
        <v>0</v>
      </c>
      <c r="E8409">
        <v>2</v>
      </c>
      <c r="I8409">
        <v>0</v>
      </c>
      <c r="J8409">
        <v>2</v>
      </c>
      <c r="M8409" t="s">
        <v>8535</v>
      </c>
    </row>
    <row r="8410" spans="1:13">
      <c r="A8410" s="10">
        <v>46215</v>
      </c>
      <c r="B8410" t="s">
        <v>201</v>
      </c>
      <c r="C8410" t="s">
        <v>312</v>
      </c>
      <c r="D8410">
        <v>0</v>
      </c>
      <c r="E8410">
        <v>5</v>
      </c>
      <c r="I8410">
        <v>0</v>
      </c>
      <c r="J8410">
        <v>5</v>
      </c>
      <c r="M8410" t="s">
        <v>8536</v>
      </c>
    </row>
    <row r="8411" spans="1:13">
      <c r="A8411" s="10">
        <v>46215</v>
      </c>
      <c r="B8411" t="s">
        <v>201</v>
      </c>
      <c r="C8411" t="s">
        <v>314</v>
      </c>
      <c r="D8411">
        <v>1</v>
      </c>
      <c r="E8411">
        <v>0</v>
      </c>
      <c r="I8411">
        <v>1</v>
      </c>
      <c r="M8411" t="s">
        <v>8537</v>
      </c>
    </row>
    <row r="8412" spans="1:13">
      <c r="A8412" s="10">
        <v>46215</v>
      </c>
      <c r="B8412" t="s">
        <v>201</v>
      </c>
      <c r="C8412" t="s">
        <v>316</v>
      </c>
      <c r="D8412">
        <v>1</v>
      </c>
      <c r="E8412">
        <v>0</v>
      </c>
      <c r="I8412">
        <v>1</v>
      </c>
      <c r="M8412" t="s">
        <v>8538</v>
      </c>
    </row>
    <row r="8413" spans="1:13">
      <c r="A8413" s="10">
        <v>46215</v>
      </c>
      <c r="B8413" t="s">
        <v>201</v>
      </c>
      <c r="C8413" t="s">
        <v>318</v>
      </c>
      <c r="D8413">
        <v>2</v>
      </c>
      <c r="E8413">
        <v>0</v>
      </c>
      <c r="I8413">
        <v>1</v>
      </c>
      <c r="M8413" t="s">
        <v>8539</v>
      </c>
    </row>
    <row r="8414" spans="1:13">
      <c r="A8414" s="10">
        <v>46215</v>
      </c>
      <c r="B8414" t="s">
        <v>201</v>
      </c>
      <c r="C8414" t="s">
        <v>320</v>
      </c>
      <c r="D8414">
        <v>2</v>
      </c>
      <c r="E8414">
        <v>0</v>
      </c>
      <c r="I8414">
        <v>2</v>
      </c>
      <c r="M8414" t="s">
        <v>8540</v>
      </c>
    </row>
    <row r="8415" spans="1:13">
      <c r="A8415" s="10">
        <v>46215</v>
      </c>
      <c r="B8415" t="s">
        <v>201</v>
      </c>
      <c r="C8415" t="s">
        <v>322</v>
      </c>
      <c r="D8415">
        <v>1</v>
      </c>
      <c r="E8415">
        <v>0</v>
      </c>
      <c r="I8415">
        <v>1</v>
      </c>
      <c r="M8415" t="s">
        <v>8541</v>
      </c>
    </row>
    <row r="8416" spans="1:13">
      <c r="A8416" s="10">
        <v>46215</v>
      </c>
      <c r="B8416" t="s">
        <v>201</v>
      </c>
      <c r="C8416" s="135" t="s">
        <v>168</v>
      </c>
      <c r="D8416">
        <v>1</v>
      </c>
      <c r="E8416">
        <v>0</v>
      </c>
      <c r="I8416">
        <v>1</v>
      </c>
      <c r="M8416" t="s">
        <v>8542</v>
      </c>
    </row>
    <row r="8417" spans="1:13">
      <c r="A8417" s="10">
        <v>46215</v>
      </c>
      <c r="B8417" t="s">
        <v>201</v>
      </c>
      <c r="C8417" s="135" t="s">
        <v>170</v>
      </c>
      <c r="D8417">
        <v>1</v>
      </c>
      <c r="E8417">
        <v>0</v>
      </c>
      <c r="I8417">
        <v>1</v>
      </c>
      <c r="M8417" t="s">
        <v>8543</v>
      </c>
    </row>
    <row r="8418" spans="1:13">
      <c r="A8418" s="10">
        <v>46215</v>
      </c>
      <c r="B8418" t="s">
        <v>201</v>
      </c>
      <c r="C8418" s="135" t="s">
        <v>171</v>
      </c>
      <c r="D8418">
        <v>2</v>
      </c>
      <c r="E8418">
        <v>0</v>
      </c>
      <c r="I8418">
        <v>1</v>
      </c>
      <c r="M8418" t="s">
        <v>8544</v>
      </c>
    </row>
    <row r="8419" spans="1:13">
      <c r="A8419" s="10">
        <v>46215</v>
      </c>
      <c r="B8419" t="s">
        <v>201</v>
      </c>
      <c r="C8419" s="135" t="s">
        <v>172</v>
      </c>
      <c r="D8419">
        <v>1</v>
      </c>
      <c r="E8419">
        <v>0</v>
      </c>
      <c r="I8419">
        <v>1</v>
      </c>
      <c r="M8419" t="s">
        <v>8545</v>
      </c>
    </row>
    <row r="8420" spans="1:13">
      <c r="A8420" s="10">
        <v>46215</v>
      </c>
      <c r="B8420" t="s">
        <v>201</v>
      </c>
      <c r="C8420" s="135" t="s">
        <v>173</v>
      </c>
      <c r="D8420">
        <v>0</v>
      </c>
      <c r="E8420">
        <v>0</v>
      </c>
      <c r="I8420">
        <v>0</v>
      </c>
      <c r="M8420" t="s">
        <v>8546</v>
      </c>
    </row>
    <row r="8421" spans="1:13">
      <c r="A8421" s="10">
        <v>46215</v>
      </c>
      <c r="B8421" t="s">
        <v>201</v>
      </c>
      <c r="C8421" t="s">
        <v>176</v>
      </c>
      <c r="D8421">
        <v>0</v>
      </c>
      <c r="E8421">
        <v>21</v>
      </c>
      <c r="I8421">
        <v>0</v>
      </c>
      <c r="J8421">
        <v>21</v>
      </c>
      <c r="M8421" t="s">
        <v>8547</v>
      </c>
    </row>
    <row r="8422" spans="1:13">
      <c r="A8422" s="10">
        <v>46215</v>
      </c>
      <c r="B8422" t="s">
        <v>201</v>
      </c>
      <c r="C8422" t="s">
        <v>178</v>
      </c>
      <c r="D8422">
        <v>0</v>
      </c>
      <c r="E8422">
        <v>20</v>
      </c>
      <c r="H8422">
        <v>1</v>
      </c>
      <c r="I8422">
        <v>0</v>
      </c>
      <c r="J8422">
        <v>19</v>
      </c>
      <c r="M8422" t="s">
        <v>8548</v>
      </c>
    </row>
    <row r="8423" spans="1:13">
      <c r="A8423" s="10">
        <v>46215</v>
      </c>
      <c r="B8423" t="s">
        <v>201</v>
      </c>
      <c r="C8423" t="s">
        <v>179</v>
      </c>
      <c r="D8423">
        <v>0</v>
      </c>
      <c r="E8423">
        <v>14</v>
      </c>
      <c r="I8423">
        <v>0</v>
      </c>
      <c r="J8423">
        <v>14</v>
      </c>
      <c r="M8423" t="s">
        <v>8549</v>
      </c>
    </row>
    <row r="8424" spans="1:13">
      <c r="A8424" s="10">
        <v>46215</v>
      </c>
      <c r="B8424" t="s">
        <v>201</v>
      </c>
      <c r="C8424" t="s">
        <v>180</v>
      </c>
      <c r="D8424">
        <v>0</v>
      </c>
      <c r="E8424">
        <v>15</v>
      </c>
      <c r="H8424">
        <v>4</v>
      </c>
      <c r="I8424">
        <v>0</v>
      </c>
      <c r="J8424">
        <v>11</v>
      </c>
      <c r="M8424" t="s">
        <v>8550</v>
      </c>
    </row>
    <row r="8425" spans="1:13">
      <c r="A8425" s="10">
        <v>46215</v>
      </c>
      <c r="B8425" t="s">
        <v>201</v>
      </c>
      <c r="C8425" s="135" t="s">
        <v>182</v>
      </c>
      <c r="D8425">
        <v>1</v>
      </c>
      <c r="E8425">
        <v>150</v>
      </c>
      <c r="I8425">
        <v>1</v>
      </c>
      <c r="J8425">
        <v>150</v>
      </c>
      <c r="M8425" t="s">
        <v>8551</v>
      </c>
    </row>
    <row r="8426" spans="1:13">
      <c r="A8426" s="10">
        <v>46215</v>
      </c>
      <c r="B8426" t="s">
        <v>201</v>
      </c>
      <c r="C8426" s="135" t="s">
        <v>184</v>
      </c>
      <c r="D8426">
        <v>1</v>
      </c>
      <c r="E8426">
        <v>83</v>
      </c>
      <c r="I8426">
        <v>1</v>
      </c>
      <c r="J8426">
        <v>68</v>
      </c>
      <c r="M8426" t="s">
        <v>8552</v>
      </c>
    </row>
    <row r="8427" spans="1:13">
      <c r="A8427" s="10">
        <v>46215</v>
      </c>
      <c r="B8427" t="s">
        <v>201</v>
      </c>
      <c r="C8427" s="135" t="s">
        <v>185</v>
      </c>
      <c r="D8427">
        <v>1</v>
      </c>
      <c r="E8427">
        <v>20</v>
      </c>
      <c r="I8427">
        <v>1</v>
      </c>
      <c r="J8427">
        <v>20</v>
      </c>
      <c r="M8427" t="s">
        <v>8553</v>
      </c>
    </row>
    <row r="8428" spans="1:13">
      <c r="A8428" s="10">
        <v>46215</v>
      </c>
      <c r="B8428" t="s">
        <v>201</v>
      </c>
      <c r="C8428" s="135" t="s">
        <v>186</v>
      </c>
      <c r="D8428">
        <v>1</v>
      </c>
      <c r="E8428">
        <v>450</v>
      </c>
      <c r="I8428">
        <v>1</v>
      </c>
      <c r="J8428">
        <v>450</v>
      </c>
      <c r="M8428" t="s">
        <v>8554</v>
      </c>
    </row>
    <row r="8429" spans="1:13">
      <c r="A8429" s="10">
        <v>46215</v>
      </c>
      <c r="B8429" t="s">
        <v>201</v>
      </c>
      <c r="C8429" t="s">
        <v>337</v>
      </c>
      <c r="D8429">
        <v>2</v>
      </c>
      <c r="E8429">
        <v>178</v>
      </c>
      <c r="I8429">
        <v>2</v>
      </c>
      <c r="J8429">
        <v>156</v>
      </c>
      <c r="M8429" t="s">
        <v>8555</v>
      </c>
    </row>
    <row r="8430" spans="1:13">
      <c r="A8430" s="10">
        <v>46215</v>
      </c>
      <c r="B8430" t="s">
        <v>201</v>
      </c>
      <c r="C8430" t="s">
        <v>339</v>
      </c>
      <c r="D8430">
        <v>0</v>
      </c>
      <c r="E8430">
        <v>0</v>
      </c>
      <c r="I8430">
        <v>0</v>
      </c>
      <c r="J8430">
        <v>0</v>
      </c>
      <c r="M8430" t="s">
        <v>8556</v>
      </c>
    </row>
    <row r="8431" spans="1:13">
      <c r="A8431" s="10">
        <v>46215</v>
      </c>
      <c r="B8431" t="s">
        <v>201</v>
      </c>
      <c r="C8431" s="135" t="s">
        <v>191</v>
      </c>
      <c r="D8431">
        <v>1</v>
      </c>
      <c r="E8431">
        <v>171</v>
      </c>
      <c r="I8431">
        <v>1</v>
      </c>
      <c r="J8431">
        <v>171</v>
      </c>
      <c r="M8431" t="s">
        <v>8557</v>
      </c>
    </row>
    <row r="8432" spans="1:13">
      <c r="A8432" s="10">
        <v>46215</v>
      </c>
      <c r="B8432" t="s">
        <v>201</v>
      </c>
      <c r="C8432" s="135" t="s">
        <v>193</v>
      </c>
      <c r="D8432">
        <v>0</v>
      </c>
      <c r="E8432">
        <v>644</v>
      </c>
      <c r="I8432">
        <v>0</v>
      </c>
      <c r="J8432">
        <v>549</v>
      </c>
      <c r="M8432" t="s">
        <v>8558</v>
      </c>
    </row>
    <row r="8433" spans="1:13">
      <c r="A8433" s="10">
        <v>46215</v>
      </c>
      <c r="B8433" t="s">
        <v>201</v>
      </c>
      <c r="C8433" s="135" t="s">
        <v>194</v>
      </c>
      <c r="D8433">
        <v>1</v>
      </c>
      <c r="E8433">
        <v>38</v>
      </c>
      <c r="I8433">
        <v>1</v>
      </c>
      <c r="J8433">
        <v>35</v>
      </c>
      <c r="M8433" t="s">
        <v>8559</v>
      </c>
    </row>
    <row r="8434" spans="1:13">
      <c r="A8434" s="10">
        <v>46215</v>
      </c>
      <c r="B8434" t="s">
        <v>201</v>
      </c>
      <c r="C8434" s="135" t="s">
        <v>196</v>
      </c>
      <c r="D8434">
        <v>0</v>
      </c>
      <c r="E8434">
        <v>960</v>
      </c>
      <c r="I8434">
        <v>0</v>
      </c>
      <c r="J8434">
        <v>655</v>
      </c>
      <c r="M8434" t="s">
        <v>8560</v>
      </c>
    </row>
    <row r="8435" spans="1:13">
      <c r="A8435" s="10">
        <v>46215</v>
      </c>
      <c r="B8435" t="s">
        <v>201</v>
      </c>
      <c r="C8435" s="135" t="s">
        <v>199</v>
      </c>
      <c r="D8435">
        <v>0</v>
      </c>
      <c r="E8435">
        <v>405</v>
      </c>
      <c r="I8435">
        <v>0</v>
      </c>
      <c r="J8435">
        <v>388</v>
      </c>
      <c r="M8435" t="s">
        <v>8561</v>
      </c>
    </row>
    <row r="8436" spans="1:13">
      <c r="A8436" s="10">
        <v>46215</v>
      </c>
      <c r="B8436" t="s">
        <v>201</v>
      </c>
      <c r="C8436" s="135" t="s">
        <v>200</v>
      </c>
      <c r="D8436">
        <v>0</v>
      </c>
      <c r="E8436">
        <v>692</v>
      </c>
      <c r="I8436">
        <v>0</v>
      </c>
      <c r="J8436">
        <v>677</v>
      </c>
      <c r="M8436" t="s">
        <v>8562</v>
      </c>
    </row>
    <row r="8437" spans="1:13">
      <c r="A8437" s="10">
        <v>46215</v>
      </c>
      <c r="B8437" t="s">
        <v>201</v>
      </c>
      <c r="C8437" s="135" t="s">
        <v>202</v>
      </c>
      <c r="D8437">
        <v>0</v>
      </c>
      <c r="E8437">
        <v>211</v>
      </c>
      <c r="I8437">
        <v>0</v>
      </c>
      <c r="J8437">
        <v>201</v>
      </c>
      <c r="M8437" t="s">
        <v>8563</v>
      </c>
    </row>
    <row r="8438" spans="1:13">
      <c r="A8438" s="10">
        <v>46216</v>
      </c>
      <c r="B8438" t="s">
        <v>201</v>
      </c>
      <c r="C8438" t="s">
        <v>23</v>
      </c>
      <c r="D8438">
        <v>2</v>
      </c>
      <c r="E8438">
        <v>1479</v>
      </c>
      <c r="I8438">
        <v>1</v>
      </c>
      <c r="J8438">
        <v>1868</v>
      </c>
      <c r="M8438" t="s">
        <v>8564</v>
      </c>
    </row>
    <row r="8439" spans="1:13">
      <c r="A8439" s="10">
        <v>46216</v>
      </c>
      <c r="B8439" t="s">
        <v>201</v>
      </c>
      <c r="C8439" t="s">
        <v>26</v>
      </c>
      <c r="D8439">
        <v>1</v>
      </c>
      <c r="E8439">
        <v>901</v>
      </c>
      <c r="I8439">
        <v>1</v>
      </c>
      <c r="J8439">
        <v>802</v>
      </c>
      <c r="M8439" t="s">
        <v>8565</v>
      </c>
    </row>
    <row r="8440" spans="1:13">
      <c r="A8440" s="10">
        <v>46216</v>
      </c>
      <c r="B8440" t="s">
        <v>201</v>
      </c>
      <c r="C8440" t="s">
        <v>27</v>
      </c>
      <c r="D8440">
        <v>1</v>
      </c>
      <c r="E8440">
        <v>236</v>
      </c>
      <c r="I8440">
        <v>0</v>
      </c>
      <c r="J8440">
        <v>1063</v>
      </c>
      <c r="M8440" t="s">
        <v>8566</v>
      </c>
    </row>
    <row r="8441" spans="1:13">
      <c r="A8441" s="10">
        <v>46216</v>
      </c>
      <c r="B8441" t="s">
        <v>201</v>
      </c>
      <c r="C8441" t="s">
        <v>28</v>
      </c>
      <c r="D8441">
        <v>0</v>
      </c>
      <c r="E8441">
        <v>0</v>
      </c>
      <c r="I8441">
        <v>0</v>
      </c>
      <c r="J8441">
        <v>0</v>
      </c>
      <c r="M8441" t="s">
        <v>8567</v>
      </c>
    </row>
    <row r="8442" spans="1:13">
      <c r="A8442" s="10">
        <v>46216</v>
      </c>
      <c r="B8442" t="s">
        <v>201</v>
      </c>
      <c r="C8442" t="s">
        <v>29</v>
      </c>
      <c r="D8442">
        <v>0</v>
      </c>
      <c r="E8442">
        <v>202</v>
      </c>
      <c r="I8442">
        <v>0</v>
      </c>
      <c r="J8442">
        <v>694</v>
      </c>
      <c r="M8442" t="s">
        <v>8568</v>
      </c>
    </row>
    <row r="8443" spans="1:13">
      <c r="A8443" s="10">
        <v>46216</v>
      </c>
      <c r="B8443" t="s">
        <v>201</v>
      </c>
      <c r="C8443" t="s">
        <v>30</v>
      </c>
      <c r="D8443">
        <v>0</v>
      </c>
      <c r="E8443">
        <v>93</v>
      </c>
      <c r="I8443">
        <v>0</v>
      </c>
      <c r="J8443">
        <v>909</v>
      </c>
      <c r="M8443" t="s">
        <v>8569</v>
      </c>
    </row>
    <row r="8444" spans="1:13">
      <c r="A8444" s="10">
        <v>46216</v>
      </c>
      <c r="B8444" t="s">
        <v>201</v>
      </c>
      <c r="C8444" t="s">
        <v>31</v>
      </c>
      <c r="D8444">
        <v>0</v>
      </c>
      <c r="E8444">
        <v>1188</v>
      </c>
      <c r="I8444">
        <v>0</v>
      </c>
      <c r="J8444">
        <v>1170</v>
      </c>
      <c r="M8444" t="s">
        <v>8570</v>
      </c>
    </row>
    <row r="8445" spans="1:13">
      <c r="A8445" s="10">
        <v>46216</v>
      </c>
      <c r="B8445" t="s">
        <v>201</v>
      </c>
      <c r="C8445" t="s">
        <v>32</v>
      </c>
      <c r="D8445">
        <v>2</v>
      </c>
      <c r="E8445">
        <v>544</v>
      </c>
      <c r="I8445">
        <v>2</v>
      </c>
      <c r="J8445">
        <v>363</v>
      </c>
      <c r="M8445" t="s">
        <v>8571</v>
      </c>
    </row>
    <row r="8446" spans="1:13">
      <c r="A8446" s="10">
        <v>46216</v>
      </c>
      <c r="B8446" t="s">
        <v>201</v>
      </c>
      <c r="C8446" t="s">
        <v>223</v>
      </c>
      <c r="D8446">
        <v>3</v>
      </c>
      <c r="E8446">
        <v>695</v>
      </c>
      <c r="I8446">
        <v>3</v>
      </c>
      <c r="J8446">
        <v>352</v>
      </c>
      <c r="M8446" t="s">
        <v>8572</v>
      </c>
    </row>
    <row r="8447" spans="1:13">
      <c r="A8447" s="10">
        <v>46216</v>
      </c>
      <c r="B8447" t="s">
        <v>201</v>
      </c>
      <c r="C8447" t="s">
        <v>35</v>
      </c>
      <c r="D8447">
        <v>7</v>
      </c>
      <c r="E8447">
        <v>0</v>
      </c>
      <c r="I8447">
        <v>7</v>
      </c>
      <c r="M8447" t="s">
        <v>8573</v>
      </c>
    </row>
    <row r="8448" spans="1:13">
      <c r="A8448" s="10">
        <v>46216</v>
      </c>
      <c r="B8448" t="s">
        <v>201</v>
      </c>
      <c r="C8448" t="s">
        <v>37</v>
      </c>
      <c r="D8448">
        <v>4</v>
      </c>
      <c r="E8448">
        <v>0</v>
      </c>
      <c r="I8448">
        <v>4</v>
      </c>
      <c r="M8448" t="s">
        <v>8574</v>
      </c>
    </row>
    <row r="8449" spans="1:13">
      <c r="A8449" s="10">
        <v>46216</v>
      </c>
      <c r="B8449" t="s">
        <v>201</v>
      </c>
      <c r="C8449" t="s">
        <v>39</v>
      </c>
      <c r="D8449">
        <v>26</v>
      </c>
      <c r="E8449">
        <v>0</v>
      </c>
      <c r="I8449">
        <v>26</v>
      </c>
      <c r="M8449" t="s">
        <v>8575</v>
      </c>
    </row>
    <row r="8450" spans="1:13">
      <c r="A8450" s="10">
        <v>46216</v>
      </c>
      <c r="B8450" t="s">
        <v>201</v>
      </c>
      <c r="C8450" t="s">
        <v>41</v>
      </c>
      <c r="D8450">
        <v>18</v>
      </c>
      <c r="E8450">
        <v>0</v>
      </c>
      <c r="I8450">
        <v>18</v>
      </c>
      <c r="M8450" t="s">
        <v>8576</v>
      </c>
    </row>
    <row r="8451" spans="1:13">
      <c r="A8451" s="10">
        <v>46216</v>
      </c>
      <c r="B8451" t="s">
        <v>201</v>
      </c>
      <c r="C8451" s="135" t="s">
        <v>44</v>
      </c>
      <c r="D8451">
        <v>2</v>
      </c>
      <c r="E8451">
        <v>8766</v>
      </c>
      <c r="I8451">
        <v>2</v>
      </c>
      <c r="J8451">
        <v>8297</v>
      </c>
      <c r="M8451" t="s">
        <v>8577</v>
      </c>
    </row>
    <row r="8452" spans="1:13">
      <c r="A8452" s="10">
        <v>46216</v>
      </c>
      <c r="B8452" t="s">
        <v>201</v>
      </c>
      <c r="C8452" t="s">
        <v>230</v>
      </c>
      <c r="D8452">
        <v>1</v>
      </c>
      <c r="E8452">
        <v>175</v>
      </c>
      <c r="I8452">
        <v>1</v>
      </c>
      <c r="J8452">
        <v>162</v>
      </c>
      <c r="M8452" t="s">
        <v>8578</v>
      </c>
    </row>
    <row r="8453" spans="1:13">
      <c r="A8453" s="10">
        <v>46216</v>
      </c>
      <c r="B8453" t="s">
        <v>201</v>
      </c>
      <c r="C8453" t="s">
        <v>232</v>
      </c>
      <c r="D8453">
        <v>5</v>
      </c>
      <c r="E8453">
        <v>0</v>
      </c>
      <c r="I8453">
        <v>5</v>
      </c>
      <c r="M8453" t="s">
        <v>8579</v>
      </c>
    </row>
    <row r="8454" spans="1:13">
      <c r="A8454" s="10">
        <v>46216</v>
      </c>
      <c r="B8454" t="s">
        <v>201</v>
      </c>
      <c r="C8454" t="s">
        <v>234</v>
      </c>
      <c r="D8454">
        <v>69</v>
      </c>
      <c r="E8454">
        <v>0</v>
      </c>
      <c r="H8454">
        <v>3</v>
      </c>
      <c r="I8454">
        <v>66</v>
      </c>
      <c r="M8454" t="s">
        <v>8580</v>
      </c>
    </row>
    <row r="8455" spans="1:13">
      <c r="A8455" s="10">
        <v>46216</v>
      </c>
      <c r="B8455" t="s">
        <v>201</v>
      </c>
      <c r="C8455" t="s">
        <v>54</v>
      </c>
      <c r="D8455">
        <v>0</v>
      </c>
      <c r="E8455">
        <v>0</v>
      </c>
      <c r="I8455">
        <v>0</v>
      </c>
      <c r="M8455" t="s">
        <v>8581</v>
      </c>
    </row>
    <row r="8456" spans="1:13">
      <c r="A8456" s="10">
        <v>46216</v>
      </c>
      <c r="B8456" t="s">
        <v>201</v>
      </c>
      <c r="C8456" t="s">
        <v>237</v>
      </c>
      <c r="D8456">
        <v>8</v>
      </c>
      <c r="E8456">
        <v>0</v>
      </c>
      <c r="I8456">
        <v>8</v>
      </c>
      <c r="M8456" t="s">
        <v>8582</v>
      </c>
    </row>
    <row r="8457" spans="1:13">
      <c r="A8457" s="10">
        <v>46216</v>
      </c>
      <c r="B8457" t="s">
        <v>201</v>
      </c>
      <c r="C8457" s="135" t="s">
        <v>58</v>
      </c>
      <c r="D8457">
        <v>11</v>
      </c>
      <c r="E8457">
        <v>0</v>
      </c>
      <c r="H8457">
        <v>3</v>
      </c>
      <c r="I8457">
        <v>8</v>
      </c>
      <c r="M8457" t="s">
        <v>8583</v>
      </c>
    </row>
    <row r="8458" spans="1:13">
      <c r="A8458" s="10">
        <v>46216</v>
      </c>
      <c r="B8458" t="s">
        <v>201</v>
      </c>
      <c r="C8458" s="135" t="s">
        <v>60</v>
      </c>
      <c r="D8458">
        <v>7</v>
      </c>
      <c r="E8458">
        <v>0</v>
      </c>
      <c r="I8458">
        <v>7</v>
      </c>
      <c r="M8458" t="s">
        <v>8584</v>
      </c>
    </row>
    <row r="8459" spans="1:13">
      <c r="A8459" s="10">
        <v>46216</v>
      </c>
      <c r="B8459" t="s">
        <v>201</v>
      </c>
      <c r="C8459" s="135" t="s">
        <v>61</v>
      </c>
      <c r="D8459">
        <v>3</v>
      </c>
      <c r="E8459">
        <v>0</v>
      </c>
      <c r="H8459">
        <v>3</v>
      </c>
      <c r="I8459">
        <v>0</v>
      </c>
      <c r="M8459" t="s">
        <v>8585</v>
      </c>
    </row>
    <row r="8460" spans="1:13">
      <c r="A8460" s="10">
        <v>46216</v>
      </c>
      <c r="B8460" t="s">
        <v>201</v>
      </c>
      <c r="C8460" s="135" t="s">
        <v>62</v>
      </c>
      <c r="D8460">
        <v>0</v>
      </c>
      <c r="E8460">
        <v>0</v>
      </c>
      <c r="I8460">
        <v>0</v>
      </c>
      <c r="M8460" t="s">
        <v>8586</v>
      </c>
    </row>
    <row r="8461" spans="1:13">
      <c r="A8461" s="10">
        <v>46216</v>
      </c>
      <c r="B8461" t="s">
        <v>201</v>
      </c>
      <c r="C8461" s="135" t="s">
        <v>63</v>
      </c>
      <c r="D8461">
        <v>5</v>
      </c>
      <c r="E8461">
        <v>0</v>
      </c>
      <c r="I8461">
        <v>5</v>
      </c>
      <c r="M8461" t="s">
        <v>8587</v>
      </c>
    </row>
    <row r="8462" spans="1:13">
      <c r="A8462" s="10">
        <v>46216</v>
      </c>
      <c r="B8462" t="s">
        <v>201</v>
      </c>
      <c r="C8462" s="135" t="s">
        <v>64</v>
      </c>
      <c r="D8462">
        <v>9</v>
      </c>
      <c r="E8462">
        <v>0</v>
      </c>
      <c r="I8462">
        <v>9</v>
      </c>
      <c r="M8462" t="s">
        <v>8588</v>
      </c>
    </row>
    <row r="8463" spans="1:13">
      <c r="A8463" s="10">
        <v>46216</v>
      </c>
      <c r="B8463" t="s">
        <v>201</v>
      </c>
      <c r="C8463" t="s">
        <v>66</v>
      </c>
      <c r="D8463">
        <v>4</v>
      </c>
      <c r="E8463">
        <v>0</v>
      </c>
      <c r="I8463">
        <v>4</v>
      </c>
      <c r="M8463" t="s">
        <v>8589</v>
      </c>
    </row>
    <row r="8464" spans="1:13">
      <c r="A8464" s="10">
        <v>46216</v>
      </c>
      <c r="B8464" t="s">
        <v>201</v>
      </c>
      <c r="C8464" t="s">
        <v>67</v>
      </c>
      <c r="D8464">
        <v>4</v>
      </c>
      <c r="E8464">
        <v>0</v>
      </c>
      <c r="I8464">
        <v>4</v>
      </c>
      <c r="M8464" t="s">
        <v>8590</v>
      </c>
    </row>
    <row r="8465" spans="1:13">
      <c r="A8465" s="10">
        <v>46216</v>
      </c>
      <c r="B8465" t="s">
        <v>201</v>
      </c>
      <c r="C8465" t="s">
        <v>68</v>
      </c>
      <c r="D8465">
        <v>0</v>
      </c>
      <c r="E8465">
        <v>0</v>
      </c>
      <c r="I8465">
        <v>0</v>
      </c>
      <c r="M8465" t="s">
        <v>8591</v>
      </c>
    </row>
    <row r="8466" spans="1:13">
      <c r="A8466" s="10">
        <v>46216</v>
      </c>
      <c r="B8466" t="s">
        <v>201</v>
      </c>
      <c r="C8466" t="s">
        <v>71</v>
      </c>
      <c r="D8466">
        <v>0</v>
      </c>
      <c r="E8466">
        <v>937</v>
      </c>
      <c r="I8466">
        <v>0</v>
      </c>
      <c r="J8466">
        <v>926</v>
      </c>
      <c r="M8466" t="s">
        <v>8592</v>
      </c>
    </row>
    <row r="8467" spans="1:13">
      <c r="A8467" s="10">
        <v>46216</v>
      </c>
      <c r="B8467" t="s">
        <v>201</v>
      </c>
      <c r="C8467" t="s">
        <v>73</v>
      </c>
      <c r="D8467">
        <v>1</v>
      </c>
      <c r="E8467">
        <v>542</v>
      </c>
      <c r="I8467">
        <v>1</v>
      </c>
      <c r="J8467">
        <v>518</v>
      </c>
      <c r="M8467" t="s">
        <v>8593</v>
      </c>
    </row>
    <row r="8468" spans="1:13">
      <c r="A8468" s="10">
        <v>46216</v>
      </c>
      <c r="B8468" t="s">
        <v>201</v>
      </c>
      <c r="C8468" t="s">
        <v>75</v>
      </c>
      <c r="D8468">
        <v>0</v>
      </c>
      <c r="E8468">
        <v>364</v>
      </c>
      <c r="I8468">
        <v>0</v>
      </c>
      <c r="J8468">
        <v>343</v>
      </c>
      <c r="M8468" t="s">
        <v>8594</v>
      </c>
    </row>
    <row r="8469" spans="1:13">
      <c r="A8469" s="10">
        <v>46216</v>
      </c>
      <c r="B8469" t="s">
        <v>201</v>
      </c>
      <c r="C8469" t="s">
        <v>77</v>
      </c>
      <c r="D8469">
        <v>0</v>
      </c>
      <c r="E8469">
        <v>939</v>
      </c>
      <c r="I8469">
        <v>0</v>
      </c>
      <c r="J8469">
        <v>257</v>
      </c>
      <c r="M8469" t="s">
        <v>8595</v>
      </c>
    </row>
    <row r="8470" spans="1:13">
      <c r="A8470" s="10">
        <v>46216</v>
      </c>
      <c r="B8470" t="s">
        <v>201</v>
      </c>
      <c r="C8470" t="s">
        <v>79</v>
      </c>
      <c r="D8470">
        <v>1</v>
      </c>
      <c r="E8470">
        <v>363</v>
      </c>
      <c r="I8470">
        <v>1</v>
      </c>
      <c r="J8470">
        <v>358</v>
      </c>
      <c r="M8470" t="s">
        <v>8596</v>
      </c>
    </row>
    <row r="8471" spans="1:13">
      <c r="A8471" s="10">
        <v>46216</v>
      </c>
      <c r="B8471" t="s">
        <v>201</v>
      </c>
      <c r="C8471" t="s">
        <v>81</v>
      </c>
      <c r="D8471">
        <v>1</v>
      </c>
      <c r="E8471">
        <v>483</v>
      </c>
      <c r="I8471">
        <v>1</v>
      </c>
      <c r="J8471">
        <v>483</v>
      </c>
      <c r="M8471" t="s">
        <v>8597</v>
      </c>
    </row>
    <row r="8472" spans="1:13">
      <c r="A8472" s="10">
        <v>46216</v>
      </c>
      <c r="B8472" t="s">
        <v>201</v>
      </c>
      <c r="C8472" t="s">
        <v>83</v>
      </c>
      <c r="D8472">
        <v>1</v>
      </c>
      <c r="E8472">
        <v>322</v>
      </c>
      <c r="I8472">
        <v>1</v>
      </c>
      <c r="J8472">
        <v>322</v>
      </c>
      <c r="M8472" t="s">
        <v>8598</v>
      </c>
    </row>
    <row r="8473" spans="1:13">
      <c r="A8473" s="10">
        <v>46216</v>
      </c>
      <c r="B8473" t="s">
        <v>201</v>
      </c>
      <c r="C8473" t="s">
        <v>84</v>
      </c>
      <c r="D8473">
        <v>2</v>
      </c>
      <c r="E8473">
        <v>205</v>
      </c>
      <c r="I8473">
        <v>2</v>
      </c>
      <c r="J8473">
        <v>205</v>
      </c>
      <c r="M8473" t="s">
        <v>8599</v>
      </c>
    </row>
    <row r="8474" spans="1:13">
      <c r="A8474" s="10">
        <v>46216</v>
      </c>
      <c r="B8474" t="s">
        <v>201</v>
      </c>
      <c r="C8474" t="s">
        <v>85</v>
      </c>
      <c r="D8474">
        <v>0</v>
      </c>
      <c r="E8474">
        <v>125</v>
      </c>
      <c r="I8474">
        <v>0</v>
      </c>
      <c r="J8474">
        <v>125</v>
      </c>
      <c r="M8474" t="s">
        <v>8600</v>
      </c>
    </row>
    <row r="8475" spans="1:13">
      <c r="A8475" s="10">
        <v>46216</v>
      </c>
      <c r="B8475" t="s">
        <v>201</v>
      </c>
      <c r="C8475" t="s">
        <v>87</v>
      </c>
      <c r="D8475">
        <v>2</v>
      </c>
      <c r="E8475">
        <v>235</v>
      </c>
      <c r="I8475">
        <v>2</v>
      </c>
      <c r="J8475">
        <v>225</v>
      </c>
      <c r="M8475" t="s">
        <v>8601</v>
      </c>
    </row>
    <row r="8476" spans="1:13">
      <c r="A8476" s="10">
        <v>46216</v>
      </c>
      <c r="B8476" t="s">
        <v>201</v>
      </c>
      <c r="C8476" t="s">
        <v>88</v>
      </c>
      <c r="D8476">
        <v>1</v>
      </c>
      <c r="E8476">
        <v>199</v>
      </c>
      <c r="I8476">
        <v>1</v>
      </c>
      <c r="J8476">
        <v>199</v>
      </c>
      <c r="M8476" t="s">
        <v>8602</v>
      </c>
    </row>
    <row r="8477" spans="1:13">
      <c r="A8477" s="10">
        <v>46216</v>
      </c>
      <c r="B8477" t="s">
        <v>201</v>
      </c>
      <c r="C8477" t="s">
        <v>89</v>
      </c>
      <c r="D8477">
        <v>1</v>
      </c>
      <c r="E8477">
        <v>147</v>
      </c>
      <c r="I8477">
        <v>1</v>
      </c>
      <c r="J8477">
        <v>146</v>
      </c>
      <c r="M8477" t="s">
        <v>8603</v>
      </c>
    </row>
    <row r="8478" spans="1:13">
      <c r="A8478" s="10">
        <v>46216</v>
      </c>
      <c r="B8478" t="s">
        <v>201</v>
      </c>
      <c r="C8478" t="s">
        <v>90</v>
      </c>
      <c r="D8478">
        <v>1</v>
      </c>
      <c r="E8478">
        <v>652</v>
      </c>
      <c r="I8478">
        <v>1</v>
      </c>
      <c r="J8478">
        <v>619</v>
      </c>
      <c r="M8478" t="s">
        <v>8604</v>
      </c>
    </row>
    <row r="8479" spans="1:13">
      <c r="A8479" s="10">
        <v>46216</v>
      </c>
      <c r="B8479" t="s">
        <v>201</v>
      </c>
      <c r="C8479" t="s">
        <v>92</v>
      </c>
      <c r="D8479">
        <v>0</v>
      </c>
      <c r="E8479">
        <v>1221</v>
      </c>
      <c r="I8479">
        <v>0</v>
      </c>
      <c r="J8479">
        <v>636</v>
      </c>
      <c r="M8479" t="s">
        <v>8605</v>
      </c>
    </row>
    <row r="8480" spans="1:13">
      <c r="A8480" s="10">
        <v>46216</v>
      </c>
      <c r="B8480" t="s">
        <v>201</v>
      </c>
      <c r="C8480" t="s">
        <v>94</v>
      </c>
      <c r="D8480">
        <v>1</v>
      </c>
      <c r="E8480">
        <v>366</v>
      </c>
      <c r="I8480">
        <v>0</v>
      </c>
      <c r="J8480">
        <v>602</v>
      </c>
      <c r="M8480" t="s">
        <v>8606</v>
      </c>
    </row>
    <row r="8481" spans="1:13">
      <c r="A8481" s="10">
        <v>46216</v>
      </c>
      <c r="B8481" t="s">
        <v>201</v>
      </c>
      <c r="C8481" t="s">
        <v>96</v>
      </c>
      <c r="D8481">
        <v>0</v>
      </c>
      <c r="E8481">
        <v>0</v>
      </c>
      <c r="I8481">
        <v>0</v>
      </c>
      <c r="J8481">
        <v>0</v>
      </c>
      <c r="M8481" t="s">
        <v>8607</v>
      </c>
    </row>
    <row r="8482" spans="1:13">
      <c r="A8482" s="10">
        <v>46216</v>
      </c>
      <c r="B8482" t="s">
        <v>201</v>
      </c>
      <c r="C8482" t="s">
        <v>98</v>
      </c>
      <c r="D8482">
        <v>0</v>
      </c>
      <c r="E8482">
        <v>449</v>
      </c>
      <c r="I8482">
        <v>0</v>
      </c>
      <c r="J8482">
        <v>425</v>
      </c>
      <c r="M8482" t="s">
        <v>8608</v>
      </c>
    </row>
    <row r="8483" spans="1:13">
      <c r="A8483" s="10">
        <v>46216</v>
      </c>
      <c r="B8483" t="s">
        <v>201</v>
      </c>
      <c r="C8483" t="s">
        <v>203</v>
      </c>
      <c r="D8483">
        <v>2</v>
      </c>
      <c r="E8483">
        <v>0</v>
      </c>
      <c r="I8483">
        <v>2</v>
      </c>
      <c r="J8483">
        <v>0</v>
      </c>
      <c r="M8483" t="s">
        <v>8609</v>
      </c>
    </row>
    <row r="8484" spans="1:13">
      <c r="A8484" s="10">
        <v>46216</v>
      </c>
      <c r="B8484" t="s">
        <v>201</v>
      </c>
      <c r="C8484" t="s">
        <v>100</v>
      </c>
      <c r="D8484">
        <v>0</v>
      </c>
      <c r="E8484">
        <v>0</v>
      </c>
      <c r="I8484">
        <v>0</v>
      </c>
      <c r="J8484">
        <v>0</v>
      </c>
      <c r="M8484" t="s">
        <v>8610</v>
      </c>
    </row>
    <row r="8485" spans="1:13">
      <c r="A8485" s="10">
        <v>46216</v>
      </c>
      <c r="B8485" t="s">
        <v>201</v>
      </c>
      <c r="C8485" t="s">
        <v>101</v>
      </c>
      <c r="D8485">
        <v>0</v>
      </c>
      <c r="E8485">
        <v>565</v>
      </c>
      <c r="I8485">
        <v>0</v>
      </c>
      <c r="J8485">
        <v>419</v>
      </c>
      <c r="M8485" t="s">
        <v>8611</v>
      </c>
    </row>
    <row r="8486" spans="1:13">
      <c r="A8486" s="10">
        <v>46216</v>
      </c>
      <c r="B8486" t="s">
        <v>201</v>
      </c>
      <c r="C8486" t="s">
        <v>103</v>
      </c>
      <c r="D8486">
        <v>0</v>
      </c>
      <c r="E8486">
        <v>12</v>
      </c>
      <c r="I8486">
        <v>0</v>
      </c>
      <c r="J8486">
        <v>11</v>
      </c>
      <c r="M8486" t="s">
        <v>8612</v>
      </c>
    </row>
    <row r="8487" spans="1:13">
      <c r="A8487" s="10">
        <v>46216</v>
      </c>
      <c r="B8487" t="s">
        <v>201</v>
      </c>
      <c r="C8487" t="s">
        <v>106</v>
      </c>
      <c r="D8487">
        <v>1</v>
      </c>
      <c r="E8487">
        <v>315</v>
      </c>
      <c r="I8487">
        <v>1</v>
      </c>
      <c r="J8487">
        <v>291</v>
      </c>
      <c r="M8487" t="s">
        <v>8613</v>
      </c>
    </row>
    <row r="8488" spans="1:13">
      <c r="A8488" s="10">
        <v>46216</v>
      </c>
      <c r="B8488" t="s">
        <v>201</v>
      </c>
      <c r="C8488" t="s">
        <v>108</v>
      </c>
      <c r="D8488">
        <v>0</v>
      </c>
      <c r="E8488">
        <v>1056</v>
      </c>
      <c r="I8488">
        <v>0</v>
      </c>
      <c r="J8488">
        <v>1039</v>
      </c>
      <c r="M8488" t="s">
        <v>8614</v>
      </c>
    </row>
    <row r="8489" spans="1:13">
      <c r="A8489" s="10">
        <v>46216</v>
      </c>
      <c r="B8489" t="s">
        <v>201</v>
      </c>
      <c r="C8489" t="s">
        <v>109</v>
      </c>
      <c r="D8489">
        <v>0</v>
      </c>
      <c r="E8489">
        <v>1192</v>
      </c>
      <c r="I8489">
        <v>0</v>
      </c>
      <c r="J8489">
        <v>1123</v>
      </c>
      <c r="M8489" t="s">
        <v>8615</v>
      </c>
    </row>
    <row r="8490" spans="1:13">
      <c r="A8490" s="10">
        <v>46216</v>
      </c>
      <c r="B8490" t="s">
        <v>201</v>
      </c>
      <c r="C8490" t="s">
        <v>112</v>
      </c>
      <c r="D8490">
        <v>1</v>
      </c>
      <c r="E8490">
        <v>50</v>
      </c>
      <c r="I8490">
        <v>1</v>
      </c>
      <c r="J8490">
        <v>49</v>
      </c>
      <c r="M8490" t="s">
        <v>8616</v>
      </c>
    </row>
    <row r="8491" spans="1:13">
      <c r="A8491" s="10">
        <v>46216</v>
      </c>
      <c r="B8491" t="s">
        <v>201</v>
      </c>
      <c r="C8491" t="s">
        <v>114</v>
      </c>
      <c r="D8491">
        <v>1</v>
      </c>
      <c r="E8491">
        <v>38</v>
      </c>
      <c r="I8491">
        <v>1</v>
      </c>
      <c r="J8491">
        <v>32</v>
      </c>
      <c r="M8491" t="s">
        <v>8617</v>
      </c>
    </row>
    <row r="8492" spans="1:13">
      <c r="A8492" s="10">
        <v>46216</v>
      </c>
      <c r="B8492" t="s">
        <v>201</v>
      </c>
      <c r="C8492" t="s">
        <v>115</v>
      </c>
      <c r="D8492">
        <v>1</v>
      </c>
      <c r="E8492">
        <v>16</v>
      </c>
      <c r="I8492">
        <v>1</v>
      </c>
      <c r="J8492">
        <v>14</v>
      </c>
      <c r="M8492" t="s">
        <v>8618</v>
      </c>
    </row>
    <row r="8493" spans="1:13">
      <c r="A8493" s="10">
        <v>46216</v>
      </c>
      <c r="B8493" t="s">
        <v>201</v>
      </c>
      <c r="C8493" t="s">
        <v>116</v>
      </c>
      <c r="D8493">
        <v>2</v>
      </c>
      <c r="E8493">
        <v>2</v>
      </c>
      <c r="I8493">
        <v>1</v>
      </c>
      <c r="J8493">
        <v>48</v>
      </c>
      <c r="M8493" t="s">
        <v>8619</v>
      </c>
    </row>
    <row r="8494" spans="1:13">
      <c r="A8494" s="10">
        <v>46216</v>
      </c>
      <c r="B8494" t="s">
        <v>201</v>
      </c>
      <c r="C8494" t="s">
        <v>119</v>
      </c>
      <c r="D8494">
        <v>3</v>
      </c>
      <c r="E8494">
        <v>0</v>
      </c>
      <c r="I8494">
        <v>3</v>
      </c>
      <c r="M8494" t="s">
        <v>8620</v>
      </c>
    </row>
    <row r="8495" spans="1:13">
      <c r="A8495" s="10">
        <v>46216</v>
      </c>
      <c r="B8495" t="s">
        <v>201</v>
      </c>
      <c r="C8495" t="s">
        <v>120</v>
      </c>
      <c r="D8495">
        <v>1</v>
      </c>
      <c r="E8495">
        <v>0</v>
      </c>
      <c r="I8495">
        <v>1</v>
      </c>
      <c r="M8495" t="s">
        <v>8621</v>
      </c>
    </row>
    <row r="8496" spans="1:13">
      <c r="A8496" s="10">
        <v>46216</v>
      </c>
      <c r="B8496" t="s">
        <v>201</v>
      </c>
      <c r="C8496" t="s">
        <v>121</v>
      </c>
      <c r="D8496">
        <v>2</v>
      </c>
      <c r="E8496">
        <v>0</v>
      </c>
      <c r="I8496">
        <v>2</v>
      </c>
      <c r="M8496" t="s">
        <v>8622</v>
      </c>
    </row>
    <row r="8497" spans="1:13">
      <c r="A8497" s="10">
        <v>46216</v>
      </c>
      <c r="B8497" t="s">
        <v>201</v>
      </c>
      <c r="C8497" t="s">
        <v>123</v>
      </c>
      <c r="D8497">
        <v>2</v>
      </c>
      <c r="E8497">
        <v>0</v>
      </c>
      <c r="I8497">
        <v>2</v>
      </c>
      <c r="M8497" t="s">
        <v>8623</v>
      </c>
    </row>
    <row r="8498" spans="1:13">
      <c r="A8498" s="10">
        <v>46216</v>
      </c>
      <c r="B8498" t="s">
        <v>201</v>
      </c>
      <c r="C8498" t="s">
        <v>124</v>
      </c>
      <c r="D8498">
        <v>1</v>
      </c>
      <c r="E8498">
        <v>0</v>
      </c>
      <c r="I8498">
        <v>1</v>
      </c>
      <c r="M8498" t="s">
        <v>8624</v>
      </c>
    </row>
    <row r="8499" spans="1:13">
      <c r="A8499" s="10">
        <v>46216</v>
      </c>
      <c r="B8499" t="s">
        <v>201</v>
      </c>
      <c r="C8499" t="s">
        <v>125</v>
      </c>
      <c r="D8499">
        <v>2</v>
      </c>
      <c r="E8499">
        <v>0</v>
      </c>
      <c r="I8499">
        <v>2</v>
      </c>
      <c r="M8499" t="s">
        <v>8625</v>
      </c>
    </row>
    <row r="8500" spans="1:13">
      <c r="A8500" s="10">
        <v>46216</v>
      </c>
      <c r="B8500" t="s">
        <v>201</v>
      </c>
      <c r="C8500" t="s">
        <v>126</v>
      </c>
      <c r="D8500">
        <v>2</v>
      </c>
      <c r="E8500">
        <v>0</v>
      </c>
      <c r="I8500">
        <v>2</v>
      </c>
      <c r="M8500" t="s">
        <v>8626</v>
      </c>
    </row>
    <row r="8501" spans="1:13">
      <c r="A8501" s="10">
        <v>46216</v>
      </c>
      <c r="B8501" t="s">
        <v>201</v>
      </c>
      <c r="C8501" t="s">
        <v>128</v>
      </c>
      <c r="D8501">
        <v>1</v>
      </c>
      <c r="E8501">
        <v>0</v>
      </c>
      <c r="I8501">
        <v>1</v>
      </c>
      <c r="M8501" t="s">
        <v>8627</v>
      </c>
    </row>
    <row r="8502" spans="1:13">
      <c r="A8502" s="10">
        <v>46216</v>
      </c>
      <c r="B8502" t="s">
        <v>201</v>
      </c>
      <c r="C8502" t="s">
        <v>130</v>
      </c>
      <c r="D8502">
        <v>3</v>
      </c>
      <c r="E8502">
        <v>0</v>
      </c>
      <c r="I8502">
        <v>2</v>
      </c>
      <c r="M8502" t="s">
        <v>8628</v>
      </c>
    </row>
    <row r="8503" spans="1:13">
      <c r="A8503" s="10">
        <v>46216</v>
      </c>
      <c r="B8503" t="s">
        <v>201</v>
      </c>
      <c r="C8503" t="s">
        <v>285</v>
      </c>
      <c r="D8503">
        <v>1</v>
      </c>
      <c r="E8503">
        <v>0</v>
      </c>
      <c r="I8503">
        <v>1</v>
      </c>
      <c r="M8503" t="s">
        <v>8629</v>
      </c>
    </row>
    <row r="8504" spans="1:13">
      <c r="A8504" s="10">
        <v>46216</v>
      </c>
      <c r="B8504" t="s">
        <v>201</v>
      </c>
      <c r="C8504" t="s">
        <v>287</v>
      </c>
      <c r="D8504">
        <v>5</v>
      </c>
      <c r="E8504">
        <v>0</v>
      </c>
      <c r="I8504">
        <v>5</v>
      </c>
      <c r="M8504" t="s">
        <v>8630</v>
      </c>
    </row>
    <row r="8505" spans="1:13">
      <c r="A8505" s="10">
        <v>46216</v>
      </c>
      <c r="B8505" t="s">
        <v>201</v>
      </c>
      <c r="C8505" t="s">
        <v>289</v>
      </c>
      <c r="D8505">
        <v>2</v>
      </c>
      <c r="E8505">
        <v>0</v>
      </c>
      <c r="I8505">
        <v>2</v>
      </c>
      <c r="M8505" t="s">
        <v>8631</v>
      </c>
    </row>
    <row r="8506" spans="1:13">
      <c r="A8506" s="10">
        <v>46216</v>
      </c>
      <c r="B8506" t="s">
        <v>201</v>
      </c>
      <c r="C8506" t="s">
        <v>291</v>
      </c>
      <c r="D8506">
        <v>1</v>
      </c>
      <c r="E8506">
        <v>0</v>
      </c>
      <c r="I8506">
        <v>1</v>
      </c>
      <c r="M8506" t="s">
        <v>8632</v>
      </c>
    </row>
    <row r="8507" spans="1:13">
      <c r="A8507" s="10">
        <v>46216</v>
      </c>
      <c r="B8507" t="s">
        <v>201</v>
      </c>
      <c r="C8507" t="s">
        <v>293</v>
      </c>
      <c r="D8507">
        <v>3</v>
      </c>
      <c r="E8507">
        <v>0</v>
      </c>
      <c r="I8507">
        <v>3</v>
      </c>
      <c r="M8507" t="s">
        <v>8633</v>
      </c>
    </row>
    <row r="8508" spans="1:13">
      <c r="A8508" s="10">
        <v>46216</v>
      </c>
      <c r="B8508" t="s">
        <v>201</v>
      </c>
      <c r="C8508" s="135" t="s">
        <v>138</v>
      </c>
      <c r="D8508">
        <v>0</v>
      </c>
      <c r="E8508">
        <v>36</v>
      </c>
      <c r="I8508">
        <v>0</v>
      </c>
      <c r="J8508">
        <v>36</v>
      </c>
      <c r="M8508" t="s">
        <v>8634</v>
      </c>
    </row>
    <row r="8509" spans="1:13">
      <c r="A8509" s="10">
        <v>46216</v>
      </c>
      <c r="B8509" t="s">
        <v>201</v>
      </c>
      <c r="C8509" s="135" t="s">
        <v>139</v>
      </c>
      <c r="D8509">
        <v>0</v>
      </c>
      <c r="E8509">
        <v>40</v>
      </c>
      <c r="I8509">
        <v>0</v>
      </c>
      <c r="J8509">
        <v>38</v>
      </c>
      <c r="M8509" t="s">
        <v>8635</v>
      </c>
    </row>
    <row r="8510" spans="1:13">
      <c r="A8510" s="10">
        <v>46216</v>
      </c>
      <c r="B8510" t="s">
        <v>201</v>
      </c>
      <c r="C8510" s="135" t="s">
        <v>140</v>
      </c>
      <c r="D8510">
        <v>0</v>
      </c>
      <c r="E8510">
        <v>46</v>
      </c>
      <c r="I8510">
        <v>0</v>
      </c>
      <c r="J8510">
        <v>46</v>
      </c>
      <c r="M8510" t="s">
        <v>8636</v>
      </c>
    </row>
    <row r="8511" spans="1:13">
      <c r="A8511" s="10">
        <v>46216</v>
      </c>
      <c r="B8511" t="s">
        <v>201</v>
      </c>
      <c r="C8511" s="135" t="s">
        <v>141</v>
      </c>
      <c r="D8511">
        <v>0</v>
      </c>
      <c r="E8511">
        <v>1</v>
      </c>
      <c r="I8511">
        <v>0</v>
      </c>
      <c r="J8511">
        <v>1</v>
      </c>
      <c r="M8511" t="s">
        <v>8637</v>
      </c>
    </row>
    <row r="8512" spans="1:13">
      <c r="A8512" s="10">
        <v>46216</v>
      </c>
      <c r="B8512" t="s">
        <v>201</v>
      </c>
      <c r="C8512" s="135" t="s">
        <v>143</v>
      </c>
      <c r="D8512">
        <v>0</v>
      </c>
      <c r="E8512">
        <v>25</v>
      </c>
      <c r="I8512">
        <v>0</v>
      </c>
      <c r="J8512">
        <v>21</v>
      </c>
      <c r="M8512" t="s">
        <v>8638</v>
      </c>
    </row>
    <row r="8513" spans="1:13">
      <c r="A8513" s="10">
        <v>46216</v>
      </c>
      <c r="B8513" t="s">
        <v>201</v>
      </c>
      <c r="C8513" s="135" t="s">
        <v>145</v>
      </c>
      <c r="D8513">
        <v>0</v>
      </c>
      <c r="E8513">
        <v>37</v>
      </c>
      <c r="I8513">
        <v>0</v>
      </c>
      <c r="J8513">
        <v>36</v>
      </c>
      <c r="M8513" t="s">
        <v>8639</v>
      </c>
    </row>
    <row r="8514" spans="1:13">
      <c r="A8514" s="10">
        <v>46216</v>
      </c>
      <c r="B8514" t="s">
        <v>201</v>
      </c>
      <c r="C8514" s="135" t="s">
        <v>147</v>
      </c>
      <c r="D8514">
        <v>0</v>
      </c>
      <c r="E8514">
        <v>35</v>
      </c>
      <c r="I8514">
        <v>0</v>
      </c>
      <c r="J8514">
        <v>34</v>
      </c>
      <c r="M8514" t="s">
        <v>8640</v>
      </c>
    </row>
    <row r="8515" spans="1:13">
      <c r="A8515" s="10">
        <v>46216</v>
      </c>
      <c r="B8515" t="s">
        <v>201</v>
      </c>
      <c r="C8515" t="s">
        <v>302</v>
      </c>
      <c r="D8515">
        <v>1</v>
      </c>
      <c r="E8515">
        <v>0</v>
      </c>
      <c r="I8515">
        <v>1</v>
      </c>
      <c r="M8515" t="s">
        <v>8641</v>
      </c>
    </row>
    <row r="8516" spans="1:13">
      <c r="A8516" s="10">
        <v>46216</v>
      </c>
      <c r="B8516" t="s">
        <v>201</v>
      </c>
      <c r="C8516" t="s">
        <v>150</v>
      </c>
      <c r="D8516">
        <v>3</v>
      </c>
      <c r="E8516">
        <v>0</v>
      </c>
      <c r="I8516">
        <v>3</v>
      </c>
      <c r="M8516" t="s">
        <v>8642</v>
      </c>
    </row>
    <row r="8517" spans="1:13">
      <c r="A8517" s="10">
        <v>46216</v>
      </c>
      <c r="B8517" t="s">
        <v>201</v>
      </c>
      <c r="C8517" t="s">
        <v>151</v>
      </c>
      <c r="D8517">
        <v>2</v>
      </c>
      <c r="E8517">
        <v>0</v>
      </c>
      <c r="I8517">
        <v>2</v>
      </c>
      <c r="M8517" t="s">
        <v>8643</v>
      </c>
    </row>
    <row r="8518" spans="1:13">
      <c r="A8518" s="10">
        <v>46216</v>
      </c>
      <c r="B8518" t="s">
        <v>201</v>
      </c>
      <c r="C8518" t="s">
        <v>152</v>
      </c>
      <c r="D8518">
        <v>2</v>
      </c>
      <c r="E8518">
        <v>0</v>
      </c>
      <c r="I8518">
        <v>2</v>
      </c>
      <c r="M8518" t="s">
        <v>8644</v>
      </c>
    </row>
    <row r="8519" spans="1:13">
      <c r="A8519" s="10">
        <v>46216</v>
      </c>
      <c r="B8519" t="s">
        <v>201</v>
      </c>
      <c r="C8519" t="s">
        <v>153</v>
      </c>
      <c r="D8519">
        <v>2</v>
      </c>
      <c r="E8519">
        <v>0</v>
      </c>
      <c r="I8519">
        <v>2</v>
      </c>
      <c r="M8519" t="s">
        <v>8645</v>
      </c>
    </row>
    <row r="8520" spans="1:13">
      <c r="A8520" s="10">
        <v>46216</v>
      </c>
      <c r="B8520" t="s">
        <v>201</v>
      </c>
      <c r="C8520" t="s">
        <v>308</v>
      </c>
      <c r="D8520">
        <v>0</v>
      </c>
      <c r="E8520">
        <v>4</v>
      </c>
      <c r="I8520">
        <v>0</v>
      </c>
      <c r="J8520">
        <v>4</v>
      </c>
      <c r="M8520" t="s">
        <v>8646</v>
      </c>
    </row>
    <row r="8521" spans="1:13">
      <c r="A8521" s="10">
        <v>46216</v>
      </c>
      <c r="B8521" t="s">
        <v>201</v>
      </c>
      <c r="C8521" t="s">
        <v>310</v>
      </c>
      <c r="D8521">
        <v>0</v>
      </c>
      <c r="E8521">
        <v>2</v>
      </c>
      <c r="I8521">
        <v>0</v>
      </c>
      <c r="J8521">
        <v>2</v>
      </c>
      <c r="M8521" t="s">
        <v>8647</v>
      </c>
    </row>
    <row r="8522" spans="1:13">
      <c r="A8522" s="10">
        <v>46216</v>
      </c>
      <c r="B8522" t="s">
        <v>201</v>
      </c>
      <c r="C8522" t="s">
        <v>312</v>
      </c>
      <c r="D8522">
        <v>0</v>
      </c>
      <c r="E8522">
        <v>5</v>
      </c>
      <c r="I8522">
        <v>0</v>
      </c>
      <c r="J8522">
        <v>4</v>
      </c>
      <c r="M8522" t="s">
        <v>8648</v>
      </c>
    </row>
    <row r="8523" spans="1:13">
      <c r="A8523" s="10">
        <v>46216</v>
      </c>
      <c r="B8523" t="s">
        <v>201</v>
      </c>
      <c r="C8523" t="s">
        <v>314</v>
      </c>
      <c r="D8523">
        <v>1</v>
      </c>
      <c r="E8523">
        <v>0</v>
      </c>
      <c r="I8523">
        <v>1</v>
      </c>
      <c r="M8523" t="s">
        <v>8649</v>
      </c>
    </row>
    <row r="8524" spans="1:13">
      <c r="A8524" s="10">
        <v>46216</v>
      </c>
      <c r="B8524" t="s">
        <v>201</v>
      </c>
      <c r="C8524" t="s">
        <v>316</v>
      </c>
      <c r="D8524">
        <v>1</v>
      </c>
      <c r="E8524">
        <v>0</v>
      </c>
      <c r="I8524">
        <v>1</v>
      </c>
      <c r="M8524" t="s">
        <v>8650</v>
      </c>
    </row>
    <row r="8525" spans="1:13">
      <c r="A8525" s="10">
        <v>46216</v>
      </c>
      <c r="B8525" t="s">
        <v>201</v>
      </c>
      <c r="C8525" t="s">
        <v>318</v>
      </c>
      <c r="D8525">
        <v>1</v>
      </c>
      <c r="E8525">
        <v>0</v>
      </c>
      <c r="I8525">
        <v>1</v>
      </c>
      <c r="M8525" t="s">
        <v>8651</v>
      </c>
    </row>
    <row r="8526" spans="1:13">
      <c r="A8526" s="10">
        <v>46216</v>
      </c>
      <c r="B8526" t="s">
        <v>201</v>
      </c>
      <c r="C8526" t="s">
        <v>320</v>
      </c>
      <c r="D8526">
        <v>2</v>
      </c>
      <c r="E8526">
        <v>0</v>
      </c>
      <c r="I8526">
        <v>2</v>
      </c>
      <c r="M8526" t="s">
        <v>8652</v>
      </c>
    </row>
    <row r="8527" spans="1:13">
      <c r="A8527" s="10">
        <v>46216</v>
      </c>
      <c r="B8527" t="s">
        <v>201</v>
      </c>
      <c r="C8527" t="s">
        <v>322</v>
      </c>
      <c r="D8527">
        <v>1</v>
      </c>
      <c r="E8527">
        <v>0</v>
      </c>
      <c r="I8527">
        <v>1</v>
      </c>
      <c r="M8527" t="s">
        <v>8653</v>
      </c>
    </row>
    <row r="8528" spans="1:13">
      <c r="A8528" s="10">
        <v>46216</v>
      </c>
      <c r="B8528" t="s">
        <v>201</v>
      </c>
      <c r="C8528" s="135" t="s">
        <v>168</v>
      </c>
      <c r="D8528">
        <v>1</v>
      </c>
      <c r="E8528">
        <v>0</v>
      </c>
      <c r="I8528">
        <v>1</v>
      </c>
      <c r="M8528" t="s">
        <v>8654</v>
      </c>
    </row>
    <row r="8529" spans="1:13">
      <c r="A8529" s="10">
        <v>46216</v>
      </c>
      <c r="B8529" t="s">
        <v>201</v>
      </c>
      <c r="C8529" s="135" t="s">
        <v>170</v>
      </c>
      <c r="D8529">
        <v>1</v>
      </c>
      <c r="E8529">
        <v>0</v>
      </c>
      <c r="I8529">
        <v>1</v>
      </c>
      <c r="M8529" t="s">
        <v>8655</v>
      </c>
    </row>
    <row r="8530" spans="1:13">
      <c r="A8530" s="10">
        <v>46216</v>
      </c>
      <c r="B8530" t="s">
        <v>201</v>
      </c>
      <c r="C8530" s="135" t="s">
        <v>171</v>
      </c>
      <c r="D8530">
        <v>1</v>
      </c>
      <c r="E8530">
        <v>0</v>
      </c>
      <c r="I8530">
        <v>1</v>
      </c>
      <c r="M8530" t="s">
        <v>8656</v>
      </c>
    </row>
    <row r="8531" spans="1:13">
      <c r="A8531" s="10">
        <v>46216</v>
      </c>
      <c r="B8531" t="s">
        <v>201</v>
      </c>
      <c r="C8531" s="135" t="s">
        <v>172</v>
      </c>
      <c r="D8531">
        <v>1</v>
      </c>
      <c r="E8531">
        <v>0</v>
      </c>
      <c r="I8531">
        <v>1</v>
      </c>
      <c r="M8531" t="s">
        <v>8657</v>
      </c>
    </row>
    <row r="8532" spans="1:13">
      <c r="A8532" s="10">
        <v>46216</v>
      </c>
      <c r="B8532" t="s">
        <v>201</v>
      </c>
      <c r="C8532" s="135" t="s">
        <v>173</v>
      </c>
      <c r="D8532">
        <v>0</v>
      </c>
      <c r="E8532">
        <v>0</v>
      </c>
      <c r="I8532">
        <v>0</v>
      </c>
      <c r="M8532" t="s">
        <v>8658</v>
      </c>
    </row>
    <row r="8533" spans="1:13">
      <c r="A8533" s="10">
        <v>46216</v>
      </c>
      <c r="B8533" t="s">
        <v>201</v>
      </c>
      <c r="C8533" t="s">
        <v>176</v>
      </c>
      <c r="D8533">
        <v>0</v>
      </c>
      <c r="E8533">
        <v>21</v>
      </c>
      <c r="H8533">
        <v>1</v>
      </c>
      <c r="I8533">
        <v>0</v>
      </c>
      <c r="J8533">
        <v>20</v>
      </c>
      <c r="M8533" t="s">
        <v>8659</v>
      </c>
    </row>
    <row r="8534" spans="1:13">
      <c r="A8534" s="10">
        <v>46216</v>
      </c>
      <c r="B8534" t="s">
        <v>201</v>
      </c>
      <c r="C8534" t="s">
        <v>178</v>
      </c>
      <c r="D8534">
        <v>0</v>
      </c>
      <c r="E8534">
        <v>19</v>
      </c>
      <c r="I8534">
        <v>0</v>
      </c>
      <c r="J8534">
        <v>19</v>
      </c>
      <c r="M8534" t="s">
        <v>8660</v>
      </c>
    </row>
    <row r="8535" spans="1:13">
      <c r="A8535" s="10">
        <v>46216</v>
      </c>
      <c r="B8535" t="s">
        <v>201</v>
      </c>
      <c r="C8535" t="s">
        <v>179</v>
      </c>
      <c r="D8535">
        <v>0</v>
      </c>
      <c r="E8535">
        <v>14</v>
      </c>
      <c r="I8535">
        <v>0</v>
      </c>
      <c r="J8535">
        <v>14</v>
      </c>
      <c r="M8535" t="s">
        <v>8661</v>
      </c>
    </row>
    <row r="8536" spans="1:13">
      <c r="A8536" s="10">
        <v>46216</v>
      </c>
      <c r="B8536" t="s">
        <v>201</v>
      </c>
      <c r="C8536" t="s">
        <v>180</v>
      </c>
      <c r="D8536">
        <v>0</v>
      </c>
      <c r="E8536">
        <v>11</v>
      </c>
      <c r="I8536">
        <v>0</v>
      </c>
      <c r="J8536">
        <v>11</v>
      </c>
      <c r="M8536" t="s">
        <v>8662</v>
      </c>
    </row>
    <row r="8537" spans="1:13">
      <c r="A8537" s="10">
        <v>46216</v>
      </c>
      <c r="B8537" t="s">
        <v>201</v>
      </c>
      <c r="C8537" s="135" t="s">
        <v>182</v>
      </c>
      <c r="D8537">
        <v>1</v>
      </c>
      <c r="E8537">
        <v>150</v>
      </c>
      <c r="I8537">
        <v>1</v>
      </c>
      <c r="J8537">
        <v>145</v>
      </c>
      <c r="M8537" t="s">
        <v>8663</v>
      </c>
    </row>
    <row r="8538" spans="1:13">
      <c r="A8538" s="10">
        <v>46216</v>
      </c>
      <c r="B8538" t="s">
        <v>201</v>
      </c>
      <c r="C8538" s="135" t="s">
        <v>184</v>
      </c>
      <c r="D8538">
        <v>1</v>
      </c>
      <c r="E8538">
        <v>68</v>
      </c>
      <c r="I8538">
        <v>1</v>
      </c>
      <c r="J8538">
        <v>68</v>
      </c>
      <c r="M8538" t="s">
        <v>8664</v>
      </c>
    </row>
    <row r="8539" spans="1:13">
      <c r="A8539" s="10">
        <v>46216</v>
      </c>
      <c r="B8539" t="s">
        <v>201</v>
      </c>
      <c r="C8539" s="135" t="s">
        <v>185</v>
      </c>
      <c r="D8539">
        <v>1</v>
      </c>
      <c r="E8539">
        <v>20</v>
      </c>
      <c r="I8539">
        <v>1</v>
      </c>
      <c r="J8539">
        <v>20</v>
      </c>
      <c r="M8539" t="s">
        <v>8665</v>
      </c>
    </row>
    <row r="8540" spans="1:13">
      <c r="A8540" s="10">
        <v>46216</v>
      </c>
      <c r="B8540" t="s">
        <v>201</v>
      </c>
      <c r="C8540" s="135" t="s">
        <v>186</v>
      </c>
      <c r="D8540">
        <v>1</v>
      </c>
      <c r="E8540">
        <v>450</v>
      </c>
      <c r="I8540">
        <v>1</v>
      </c>
      <c r="J8540">
        <v>450</v>
      </c>
      <c r="M8540" t="s">
        <v>8666</v>
      </c>
    </row>
    <row r="8541" spans="1:13">
      <c r="A8541" s="10">
        <v>46216</v>
      </c>
      <c r="B8541" t="s">
        <v>201</v>
      </c>
      <c r="C8541" t="s">
        <v>337</v>
      </c>
      <c r="D8541">
        <v>2</v>
      </c>
      <c r="E8541">
        <v>156</v>
      </c>
      <c r="I8541">
        <v>2</v>
      </c>
      <c r="J8541">
        <v>130</v>
      </c>
      <c r="M8541" t="s">
        <v>8667</v>
      </c>
    </row>
    <row r="8542" spans="1:13">
      <c r="A8542" s="10">
        <v>46216</v>
      </c>
      <c r="B8542" t="s">
        <v>201</v>
      </c>
      <c r="C8542" t="s">
        <v>339</v>
      </c>
      <c r="D8542">
        <v>0</v>
      </c>
      <c r="E8542">
        <v>0</v>
      </c>
      <c r="I8542">
        <v>0</v>
      </c>
      <c r="J8542">
        <v>0</v>
      </c>
      <c r="M8542" t="s">
        <v>8668</v>
      </c>
    </row>
    <row r="8543" spans="1:13">
      <c r="A8543" s="10">
        <v>46216</v>
      </c>
      <c r="B8543" t="s">
        <v>201</v>
      </c>
      <c r="C8543" s="135" t="s">
        <v>191</v>
      </c>
      <c r="D8543">
        <v>1</v>
      </c>
      <c r="E8543">
        <v>171</v>
      </c>
      <c r="I8543">
        <v>1</v>
      </c>
      <c r="J8543">
        <v>158</v>
      </c>
      <c r="M8543" t="s">
        <v>8669</v>
      </c>
    </row>
    <row r="8544" spans="1:13">
      <c r="A8544" s="10">
        <v>46216</v>
      </c>
      <c r="B8544" t="s">
        <v>201</v>
      </c>
      <c r="C8544" s="135" t="s">
        <v>193</v>
      </c>
      <c r="D8544">
        <v>0</v>
      </c>
      <c r="E8544">
        <v>549</v>
      </c>
      <c r="I8544">
        <v>0</v>
      </c>
      <c r="J8544">
        <v>549</v>
      </c>
      <c r="M8544" t="s">
        <v>8670</v>
      </c>
    </row>
    <row r="8545" spans="1:13">
      <c r="A8545" s="10">
        <v>46216</v>
      </c>
      <c r="B8545" t="s">
        <v>201</v>
      </c>
      <c r="C8545" s="135" t="s">
        <v>194</v>
      </c>
      <c r="D8545">
        <v>1</v>
      </c>
      <c r="E8545">
        <v>35</v>
      </c>
      <c r="I8545">
        <v>1</v>
      </c>
      <c r="J8545">
        <v>35</v>
      </c>
      <c r="M8545" t="s">
        <v>8671</v>
      </c>
    </row>
    <row r="8546" spans="1:13">
      <c r="A8546" s="10">
        <v>46216</v>
      </c>
      <c r="B8546" t="s">
        <v>201</v>
      </c>
      <c r="C8546" s="135" t="s">
        <v>196</v>
      </c>
      <c r="D8546">
        <v>0</v>
      </c>
      <c r="E8546">
        <v>655</v>
      </c>
      <c r="I8546">
        <v>0</v>
      </c>
      <c r="J8546">
        <v>655</v>
      </c>
      <c r="M8546" t="s">
        <v>8672</v>
      </c>
    </row>
    <row r="8547" spans="1:13">
      <c r="A8547" s="10">
        <v>46216</v>
      </c>
      <c r="B8547" t="s">
        <v>201</v>
      </c>
      <c r="C8547" s="135" t="s">
        <v>199</v>
      </c>
      <c r="D8547">
        <v>0</v>
      </c>
      <c r="E8547">
        <v>388</v>
      </c>
      <c r="I8547">
        <v>0</v>
      </c>
      <c r="J8547">
        <v>388</v>
      </c>
      <c r="M8547" t="s">
        <v>8673</v>
      </c>
    </row>
    <row r="8548" spans="1:13">
      <c r="A8548" s="10">
        <v>46216</v>
      </c>
      <c r="B8548" t="s">
        <v>201</v>
      </c>
      <c r="C8548" s="135" t="s">
        <v>200</v>
      </c>
      <c r="D8548">
        <v>0</v>
      </c>
      <c r="E8548">
        <v>677</v>
      </c>
      <c r="I8548">
        <v>0</v>
      </c>
      <c r="J8548">
        <v>677</v>
      </c>
      <c r="M8548" t="s">
        <v>8674</v>
      </c>
    </row>
    <row r="8549" spans="1:13">
      <c r="A8549" s="10">
        <v>46216</v>
      </c>
      <c r="B8549" t="s">
        <v>201</v>
      </c>
      <c r="C8549" s="135" t="s">
        <v>202</v>
      </c>
      <c r="D8549">
        <v>0</v>
      </c>
      <c r="E8549">
        <v>201</v>
      </c>
      <c r="I8549">
        <v>0</v>
      </c>
      <c r="J8549">
        <v>201</v>
      </c>
      <c r="M8549" t="s">
        <v>8675</v>
      </c>
    </row>
    <row r="8550" spans="1:13">
      <c r="A8550" s="10">
        <v>46214</v>
      </c>
      <c r="B8550" t="s">
        <v>1</v>
      </c>
      <c r="C8550" t="s">
        <v>23</v>
      </c>
      <c r="D8550">
        <v>2</v>
      </c>
      <c r="E8550">
        <v>538</v>
      </c>
      <c r="F8550">
        <v>3</v>
      </c>
      <c r="I8550">
        <v>5</v>
      </c>
      <c r="J8550">
        <v>534</v>
      </c>
      <c r="M8550" t="s">
        <v>8676</v>
      </c>
    </row>
    <row r="8551" spans="1:13">
      <c r="A8551" s="10">
        <v>46214</v>
      </c>
      <c r="B8551" t="s">
        <v>1</v>
      </c>
      <c r="C8551" t="s">
        <v>26</v>
      </c>
      <c r="D8551">
        <v>1</v>
      </c>
      <c r="E8551">
        <v>807</v>
      </c>
      <c r="I8551">
        <v>1</v>
      </c>
      <c r="J8551">
        <v>803</v>
      </c>
      <c r="M8551" t="s">
        <v>8677</v>
      </c>
    </row>
    <row r="8552" spans="1:13">
      <c r="A8552" s="10">
        <v>46214</v>
      </c>
      <c r="B8552" t="s">
        <v>1</v>
      </c>
      <c r="C8552" t="s">
        <v>27</v>
      </c>
      <c r="D8552">
        <v>2</v>
      </c>
      <c r="E8552">
        <v>190</v>
      </c>
      <c r="I8552">
        <v>1</v>
      </c>
      <c r="J8552">
        <v>1187</v>
      </c>
      <c r="M8552" t="s">
        <v>8678</v>
      </c>
    </row>
    <row r="8553" spans="1:13">
      <c r="A8553" s="10">
        <v>46214</v>
      </c>
      <c r="B8553" t="s">
        <v>1</v>
      </c>
      <c r="C8553" t="s">
        <v>28</v>
      </c>
      <c r="D8553">
        <v>0</v>
      </c>
      <c r="E8553">
        <v>0</v>
      </c>
      <c r="I8553">
        <v>0</v>
      </c>
      <c r="J8553">
        <v>0</v>
      </c>
      <c r="M8553" t="s">
        <v>8679</v>
      </c>
    </row>
    <row r="8554" spans="1:13">
      <c r="A8554" s="10">
        <v>46214</v>
      </c>
      <c r="B8554" t="s">
        <v>1</v>
      </c>
      <c r="C8554" t="s">
        <v>29</v>
      </c>
      <c r="D8554">
        <v>0</v>
      </c>
      <c r="E8554">
        <v>995</v>
      </c>
      <c r="I8554">
        <v>0</v>
      </c>
      <c r="J8554">
        <v>930</v>
      </c>
      <c r="M8554" t="s">
        <v>8680</v>
      </c>
    </row>
    <row r="8555" spans="1:13">
      <c r="A8555" s="10">
        <v>46214</v>
      </c>
      <c r="B8555" t="s">
        <v>1</v>
      </c>
      <c r="C8555" t="s">
        <v>30</v>
      </c>
      <c r="D8555">
        <v>1</v>
      </c>
      <c r="E8555">
        <v>547</v>
      </c>
      <c r="I8555">
        <v>1</v>
      </c>
      <c r="J8555">
        <v>542</v>
      </c>
      <c r="M8555" t="s">
        <v>8681</v>
      </c>
    </row>
    <row r="8556" spans="1:13">
      <c r="A8556" s="10">
        <v>46214</v>
      </c>
      <c r="B8556" t="s">
        <v>1</v>
      </c>
      <c r="C8556" t="s">
        <v>31</v>
      </c>
      <c r="D8556">
        <v>0</v>
      </c>
      <c r="E8556">
        <v>912</v>
      </c>
      <c r="I8556">
        <v>0</v>
      </c>
      <c r="J8556">
        <v>830</v>
      </c>
      <c r="M8556" t="s">
        <v>8682</v>
      </c>
    </row>
    <row r="8557" spans="1:13">
      <c r="A8557" s="10">
        <v>46214</v>
      </c>
      <c r="B8557" t="s">
        <v>1</v>
      </c>
      <c r="C8557" t="s">
        <v>32</v>
      </c>
      <c r="D8557">
        <v>1</v>
      </c>
      <c r="E8557">
        <v>119</v>
      </c>
      <c r="F8557">
        <v>1</v>
      </c>
      <c r="I8557">
        <v>2</v>
      </c>
      <c r="J8557">
        <v>119</v>
      </c>
      <c r="M8557" t="s">
        <v>8683</v>
      </c>
    </row>
    <row r="8558" spans="1:13">
      <c r="A8558" s="10">
        <v>46214</v>
      </c>
      <c r="B8558" t="s">
        <v>1</v>
      </c>
      <c r="C8558" t="s">
        <v>223</v>
      </c>
      <c r="D8558">
        <v>1</v>
      </c>
      <c r="E8558">
        <v>201</v>
      </c>
      <c r="F8558">
        <v>4</v>
      </c>
      <c r="I8558">
        <v>5</v>
      </c>
      <c r="J8558">
        <v>100</v>
      </c>
      <c r="M8558" t="s">
        <v>8684</v>
      </c>
    </row>
    <row r="8559" spans="1:13">
      <c r="A8559" s="10">
        <v>46214</v>
      </c>
      <c r="B8559" t="s">
        <v>1</v>
      </c>
      <c r="C8559" t="s">
        <v>35</v>
      </c>
      <c r="D8559">
        <v>0</v>
      </c>
      <c r="E8559">
        <v>0</v>
      </c>
      <c r="F8559">
        <v>8</v>
      </c>
      <c r="I8559">
        <v>8</v>
      </c>
      <c r="M8559" t="s">
        <v>8685</v>
      </c>
    </row>
    <row r="8560" spans="1:13">
      <c r="A8560" s="10">
        <v>46214</v>
      </c>
      <c r="B8560" t="s">
        <v>1</v>
      </c>
      <c r="C8560" t="s">
        <v>37</v>
      </c>
      <c r="D8560">
        <v>1</v>
      </c>
      <c r="E8560">
        <v>0</v>
      </c>
      <c r="F8560">
        <v>2</v>
      </c>
      <c r="I8560">
        <v>3</v>
      </c>
      <c r="M8560" t="s">
        <v>8686</v>
      </c>
    </row>
    <row r="8561" spans="1:13">
      <c r="A8561" s="10">
        <v>46214</v>
      </c>
      <c r="B8561" t="s">
        <v>1</v>
      </c>
      <c r="C8561" t="s">
        <v>39</v>
      </c>
      <c r="D8561">
        <v>16</v>
      </c>
      <c r="E8561">
        <v>0</v>
      </c>
      <c r="I8561">
        <v>16</v>
      </c>
      <c r="M8561" t="s">
        <v>8687</v>
      </c>
    </row>
    <row r="8562" spans="1:13">
      <c r="A8562" s="10">
        <v>46214</v>
      </c>
      <c r="B8562" t="s">
        <v>1</v>
      </c>
      <c r="C8562" t="s">
        <v>41</v>
      </c>
      <c r="D8562">
        <v>13</v>
      </c>
      <c r="E8562">
        <v>0</v>
      </c>
      <c r="F8562">
        <v>10</v>
      </c>
      <c r="H8562">
        <v>1</v>
      </c>
      <c r="I8562">
        <v>22</v>
      </c>
      <c r="M8562" t="s">
        <v>8688</v>
      </c>
    </row>
    <row r="8563" spans="1:13">
      <c r="A8563" s="10">
        <v>46214</v>
      </c>
      <c r="B8563" t="s">
        <v>1</v>
      </c>
      <c r="C8563" s="135" t="s">
        <v>44</v>
      </c>
      <c r="D8563">
        <v>0</v>
      </c>
      <c r="E8563">
        <v>0</v>
      </c>
      <c r="I8563">
        <v>0</v>
      </c>
      <c r="J8563">
        <v>0</v>
      </c>
      <c r="M8563" t="s">
        <v>8689</v>
      </c>
    </row>
    <row r="8564" spans="1:13">
      <c r="A8564" s="10">
        <v>46214</v>
      </c>
      <c r="B8564" t="s">
        <v>1</v>
      </c>
      <c r="C8564" t="s">
        <v>230</v>
      </c>
      <c r="D8564">
        <v>0</v>
      </c>
      <c r="E8564">
        <v>0</v>
      </c>
      <c r="I8564">
        <v>0</v>
      </c>
      <c r="J8564">
        <v>0</v>
      </c>
      <c r="M8564" t="s">
        <v>8690</v>
      </c>
    </row>
    <row r="8565" spans="1:13">
      <c r="A8565" s="10">
        <v>46214</v>
      </c>
      <c r="B8565" t="s">
        <v>1</v>
      </c>
      <c r="C8565" t="s">
        <v>232</v>
      </c>
      <c r="D8565">
        <v>0</v>
      </c>
      <c r="E8565">
        <v>0</v>
      </c>
      <c r="I8565">
        <v>0</v>
      </c>
      <c r="M8565" t="s">
        <v>8691</v>
      </c>
    </row>
    <row r="8566" spans="1:13">
      <c r="A8566" s="10">
        <v>46214</v>
      </c>
      <c r="B8566" t="s">
        <v>1</v>
      </c>
      <c r="C8566" t="s">
        <v>234</v>
      </c>
      <c r="D8566">
        <v>43</v>
      </c>
      <c r="E8566">
        <v>0</v>
      </c>
      <c r="F8566">
        <v>40</v>
      </c>
      <c r="H8566">
        <v>2</v>
      </c>
      <c r="I8566">
        <v>81</v>
      </c>
      <c r="M8566" t="s">
        <v>8692</v>
      </c>
    </row>
    <row r="8567" spans="1:13">
      <c r="A8567" s="10">
        <v>46214</v>
      </c>
      <c r="B8567" t="s">
        <v>1</v>
      </c>
      <c r="C8567" t="s">
        <v>54</v>
      </c>
      <c r="D8567">
        <v>0</v>
      </c>
      <c r="E8567">
        <v>0</v>
      </c>
      <c r="I8567">
        <v>0</v>
      </c>
      <c r="M8567" t="s">
        <v>8693</v>
      </c>
    </row>
    <row r="8568" spans="1:13">
      <c r="A8568" s="10">
        <v>46214</v>
      </c>
      <c r="B8568" t="s">
        <v>1</v>
      </c>
      <c r="C8568" t="s">
        <v>237</v>
      </c>
      <c r="D8568">
        <v>7</v>
      </c>
      <c r="E8568">
        <v>0</v>
      </c>
      <c r="I8568">
        <v>7</v>
      </c>
      <c r="M8568" t="s">
        <v>8694</v>
      </c>
    </row>
    <row r="8569" spans="1:13">
      <c r="A8569" s="10">
        <v>46214</v>
      </c>
      <c r="B8569" t="s">
        <v>1</v>
      </c>
      <c r="C8569" s="135" t="s">
        <v>58</v>
      </c>
      <c r="D8569">
        <v>2</v>
      </c>
      <c r="E8569">
        <v>0</v>
      </c>
      <c r="F8569">
        <v>6</v>
      </c>
      <c r="I8569">
        <v>8</v>
      </c>
      <c r="M8569" t="s">
        <v>8695</v>
      </c>
    </row>
    <row r="8570" spans="1:13">
      <c r="A8570" s="10">
        <v>46214</v>
      </c>
      <c r="B8570" t="s">
        <v>1</v>
      </c>
      <c r="C8570" s="135" t="s">
        <v>60</v>
      </c>
      <c r="D8570">
        <v>0</v>
      </c>
      <c r="E8570">
        <v>0</v>
      </c>
      <c r="F8570">
        <v>6</v>
      </c>
      <c r="I8570">
        <v>6</v>
      </c>
      <c r="M8570" t="s">
        <v>8696</v>
      </c>
    </row>
    <row r="8571" spans="1:13">
      <c r="A8571" s="10">
        <v>46214</v>
      </c>
      <c r="B8571" t="s">
        <v>1</v>
      </c>
      <c r="C8571" s="135" t="s">
        <v>61</v>
      </c>
      <c r="D8571">
        <v>1</v>
      </c>
      <c r="E8571">
        <v>0</v>
      </c>
      <c r="F8571">
        <v>6</v>
      </c>
      <c r="I8571">
        <v>7</v>
      </c>
      <c r="M8571" t="s">
        <v>8697</v>
      </c>
    </row>
    <row r="8572" spans="1:13">
      <c r="A8572" s="10">
        <v>46214</v>
      </c>
      <c r="B8572" t="s">
        <v>1</v>
      </c>
      <c r="C8572" s="135" t="s">
        <v>62</v>
      </c>
      <c r="D8572">
        <v>1</v>
      </c>
      <c r="E8572">
        <v>0</v>
      </c>
      <c r="F8572">
        <v>6</v>
      </c>
      <c r="I8572">
        <v>7</v>
      </c>
      <c r="M8572" t="s">
        <v>8698</v>
      </c>
    </row>
    <row r="8573" spans="1:13">
      <c r="A8573" s="10">
        <v>46214</v>
      </c>
      <c r="B8573" t="s">
        <v>1</v>
      </c>
      <c r="C8573" s="135" t="s">
        <v>63</v>
      </c>
      <c r="D8573">
        <v>4</v>
      </c>
      <c r="E8573">
        <v>0</v>
      </c>
      <c r="F8573">
        <v>3</v>
      </c>
      <c r="I8573">
        <v>7</v>
      </c>
      <c r="M8573" t="s">
        <v>8699</v>
      </c>
    </row>
    <row r="8574" spans="1:13">
      <c r="A8574" s="10">
        <v>46214</v>
      </c>
      <c r="B8574" t="s">
        <v>1</v>
      </c>
      <c r="C8574" s="135" t="s">
        <v>64</v>
      </c>
      <c r="D8574">
        <v>2</v>
      </c>
      <c r="E8574">
        <v>0</v>
      </c>
      <c r="F8574">
        <v>6</v>
      </c>
      <c r="I8574">
        <v>8</v>
      </c>
      <c r="M8574" t="s">
        <v>8700</v>
      </c>
    </row>
    <row r="8575" spans="1:13">
      <c r="A8575" s="10">
        <v>46214</v>
      </c>
      <c r="B8575" t="s">
        <v>1</v>
      </c>
      <c r="C8575" t="s">
        <v>66</v>
      </c>
      <c r="D8575">
        <v>4</v>
      </c>
      <c r="E8575">
        <v>0</v>
      </c>
      <c r="I8575">
        <v>4</v>
      </c>
      <c r="M8575" t="s">
        <v>8701</v>
      </c>
    </row>
    <row r="8576" spans="1:13">
      <c r="A8576" s="10">
        <v>46214</v>
      </c>
      <c r="B8576" t="s">
        <v>1</v>
      </c>
      <c r="C8576" t="s">
        <v>67</v>
      </c>
      <c r="D8576">
        <v>5</v>
      </c>
      <c r="E8576">
        <v>0</v>
      </c>
      <c r="I8576">
        <v>5</v>
      </c>
      <c r="M8576" t="s">
        <v>8702</v>
      </c>
    </row>
    <row r="8577" spans="1:13">
      <c r="A8577" s="10">
        <v>46214</v>
      </c>
      <c r="B8577" t="s">
        <v>1</v>
      </c>
      <c r="C8577" t="s">
        <v>68</v>
      </c>
      <c r="D8577">
        <v>0</v>
      </c>
      <c r="E8577">
        <v>0</v>
      </c>
      <c r="I8577">
        <v>0</v>
      </c>
      <c r="M8577" t="s">
        <v>8703</v>
      </c>
    </row>
    <row r="8578" spans="1:13">
      <c r="A8578" s="10">
        <v>46214</v>
      </c>
      <c r="B8578" t="s">
        <v>1</v>
      </c>
      <c r="C8578" t="s">
        <v>71</v>
      </c>
      <c r="D8578">
        <v>1</v>
      </c>
      <c r="E8578">
        <v>150</v>
      </c>
      <c r="I8578">
        <v>1</v>
      </c>
      <c r="J8578">
        <v>150</v>
      </c>
      <c r="M8578" t="s">
        <v>8704</v>
      </c>
    </row>
    <row r="8579" spans="1:13">
      <c r="A8579" s="10">
        <v>46214</v>
      </c>
      <c r="B8579" t="s">
        <v>1</v>
      </c>
      <c r="C8579" t="s">
        <v>73</v>
      </c>
      <c r="D8579">
        <v>2</v>
      </c>
      <c r="E8579">
        <v>469</v>
      </c>
      <c r="I8579">
        <v>2</v>
      </c>
      <c r="J8579">
        <v>469</v>
      </c>
      <c r="M8579" t="s">
        <v>8705</v>
      </c>
    </row>
    <row r="8580" spans="1:13">
      <c r="A8580" s="10">
        <v>46214</v>
      </c>
      <c r="B8580" t="s">
        <v>1</v>
      </c>
      <c r="C8580" t="s">
        <v>75</v>
      </c>
      <c r="D8580">
        <v>2</v>
      </c>
      <c r="E8580">
        <v>137</v>
      </c>
      <c r="I8580">
        <v>2</v>
      </c>
      <c r="J8580">
        <v>137</v>
      </c>
      <c r="M8580" t="s">
        <v>8706</v>
      </c>
    </row>
    <row r="8581" spans="1:13">
      <c r="A8581" s="10">
        <v>46214</v>
      </c>
      <c r="B8581" t="s">
        <v>1</v>
      </c>
      <c r="C8581" t="s">
        <v>77</v>
      </c>
      <c r="D8581">
        <v>0</v>
      </c>
      <c r="E8581">
        <v>695</v>
      </c>
      <c r="I8581">
        <v>0</v>
      </c>
      <c r="J8581">
        <v>695</v>
      </c>
      <c r="M8581" t="s">
        <v>8707</v>
      </c>
    </row>
    <row r="8582" spans="1:13">
      <c r="A8582" s="10">
        <v>46214</v>
      </c>
      <c r="B8582" t="s">
        <v>1</v>
      </c>
      <c r="C8582" t="s">
        <v>79</v>
      </c>
      <c r="D8582">
        <v>0</v>
      </c>
      <c r="E8582">
        <v>1523</v>
      </c>
      <c r="I8582">
        <v>0</v>
      </c>
      <c r="J8582">
        <v>1523</v>
      </c>
      <c r="M8582" t="s">
        <v>8708</v>
      </c>
    </row>
    <row r="8583" spans="1:13">
      <c r="A8583" s="10">
        <v>46214</v>
      </c>
      <c r="B8583" t="s">
        <v>1</v>
      </c>
      <c r="C8583" t="s">
        <v>81</v>
      </c>
      <c r="D8583">
        <v>1</v>
      </c>
      <c r="E8583">
        <v>131</v>
      </c>
      <c r="I8583">
        <v>1</v>
      </c>
      <c r="J8583">
        <v>131</v>
      </c>
      <c r="M8583" t="s">
        <v>8709</v>
      </c>
    </row>
    <row r="8584" spans="1:13">
      <c r="A8584" s="10">
        <v>46214</v>
      </c>
      <c r="B8584" t="s">
        <v>1</v>
      </c>
      <c r="C8584" t="s">
        <v>83</v>
      </c>
      <c r="D8584">
        <v>1</v>
      </c>
      <c r="E8584">
        <v>50</v>
      </c>
      <c r="I8584">
        <v>1</v>
      </c>
      <c r="J8584">
        <v>50</v>
      </c>
      <c r="M8584" t="s">
        <v>8710</v>
      </c>
    </row>
    <row r="8585" spans="1:13">
      <c r="A8585" s="10">
        <v>46214</v>
      </c>
      <c r="B8585" t="s">
        <v>1</v>
      </c>
      <c r="C8585" t="s">
        <v>84</v>
      </c>
      <c r="D8585">
        <v>1</v>
      </c>
      <c r="E8585">
        <v>404</v>
      </c>
      <c r="I8585">
        <v>1</v>
      </c>
      <c r="J8585">
        <v>404</v>
      </c>
      <c r="M8585" t="s">
        <v>8711</v>
      </c>
    </row>
    <row r="8586" spans="1:13">
      <c r="A8586" s="10">
        <v>46214</v>
      </c>
      <c r="B8586" t="s">
        <v>1</v>
      </c>
      <c r="C8586" t="s">
        <v>85</v>
      </c>
      <c r="D8586">
        <v>0</v>
      </c>
      <c r="E8586">
        <v>120</v>
      </c>
      <c r="I8586">
        <v>0</v>
      </c>
      <c r="J8586">
        <v>120</v>
      </c>
      <c r="M8586" t="s">
        <v>8712</v>
      </c>
    </row>
    <row r="8587" spans="1:13">
      <c r="A8587" s="10">
        <v>46214</v>
      </c>
      <c r="B8587" t="s">
        <v>1</v>
      </c>
      <c r="C8587" t="s">
        <v>87</v>
      </c>
      <c r="D8587">
        <v>2</v>
      </c>
      <c r="E8587">
        <v>269</v>
      </c>
      <c r="I8587">
        <v>2</v>
      </c>
      <c r="J8587">
        <v>269</v>
      </c>
      <c r="M8587" t="s">
        <v>8713</v>
      </c>
    </row>
    <row r="8588" spans="1:13">
      <c r="A8588" s="10">
        <v>46214</v>
      </c>
      <c r="B8588" t="s">
        <v>1</v>
      </c>
      <c r="C8588" t="s">
        <v>88</v>
      </c>
      <c r="D8588">
        <v>1</v>
      </c>
      <c r="E8588">
        <v>204</v>
      </c>
      <c r="I8588">
        <v>1</v>
      </c>
      <c r="J8588">
        <v>204</v>
      </c>
      <c r="M8588" t="s">
        <v>8714</v>
      </c>
    </row>
    <row r="8589" spans="1:13">
      <c r="A8589" s="10">
        <v>46214</v>
      </c>
      <c r="B8589" t="s">
        <v>1</v>
      </c>
      <c r="C8589" t="s">
        <v>89</v>
      </c>
      <c r="D8589">
        <v>1</v>
      </c>
      <c r="E8589">
        <v>84</v>
      </c>
      <c r="I8589">
        <v>1</v>
      </c>
      <c r="J8589">
        <v>84</v>
      </c>
      <c r="M8589" t="s">
        <v>8715</v>
      </c>
    </row>
    <row r="8590" spans="1:13">
      <c r="A8590" s="10">
        <v>46214</v>
      </c>
      <c r="B8590" t="s">
        <v>1</v>
      </c>
      <c r="C8590" t="s">
        <v>90</v>
      </c>
      <c r="D8590">
        <v>1</v>
      </c>
      <c r="E8590">
        <v>530</v>
      </c>
      <c r="I8590">
        <v>1</v>
      </c>
      <c r="J8590">
        <v>530</v>
      </c>
      <c r="M8590" t="s">
        <v>8716</v>
      </c>
    </row>
    <row r="8591" spans="1:13">
      <c r="A8591" s="10">
        <v>46214</v>
      </c>
      <c r="B8591" t="s">
        <v>1</v>
      </c>
      <c r="C8591" t="s">
        <v>92</v>
      </c>
      <c r="D8591">
        <v>1</v>
      </c>
      <c r="E8591">
        <v>598</v>
      </c>
      <c r="I8591">
        <v>1</v>
      </c>
      <c r="J8591">
        <v>598</v>
      </c>
      <c r="M8591" t="s">
        <v>8717</v>
      </c>
    </row>
    <row r="8592" spans="1:13">
      <c r="A8592" s="10">
        <v>46214</v>
      </c>
      <c r="B8592" t="s">
        <v>1</v>
      </c>
      <c r="C8592" t="s">
        <v>94</v>
      </c>
      <c r="D8592">
        <v>1</v>
      </c>
      <c r="E8592">
        <v>748</v>
      </c>
      <c r="F8592">
        <v>3</v>
      </c>
      <c r="I8592">
        <v>3</v>
      </c>
      <c r="J8592">
        <v>0</v>
      </c>
      <c r="M8592" t="s">
        <v>8718</v>
      </c>
    </row>
    <row r="8593" spans="1:13">
      <c r="A8593" s="10">
        <v>46214</v>
      </c>
      <c r="B8593" t="s">
        <v>1</v>
      </c>
      <c r="C8593" t="s">
        <v>96</v>
      </c>
      <c r="D8593">
        <v>0</v>
      </c>
      <c r="E8593">
        <v>0</v>
      </c>
      <c r="I8593">
        <v>0</v>
      </c>
      <c r="J8593">
        <v>0</v>
      </c>
      <c r="M8593" t="s">
        <v>8719</v>
      </c>
    </row>
    <row r="8594" spans="1:13">
      <c r="A8594" s="10">
        <v>46214</v>
      </c>
      <c r="B8594" t="s">
        <v>1</v>
      </c>
      <c r="C8594" t="s">
        <v>98</v>
      </c>
      <c r="D8594">
        <v>2</v>
      </c>
      <c r="E8594">
        <v>187</v>
      </c>
      <c r="I8594">
        <v>1</v>
      </c>
      <c r="J8594">
        <v>177</v>
      </c>
      <c r="M8594" t="s">
        <v>8720</v>
      </c>
    </row>
    <row r="8595" spans="1:13">
      <c r="A8595" s="10">
        <v>46214</v>
      </c>
      <c r="B8595" t="s">
        <v>1</v>
      </c>
      <c r="C8595" t="s">
        <v>203</v>
      </c>
      <c r="D8595">
        <v>2</v>
      </c>
      <c r="E8595">
        <v>0</v>
      </c>
      <c r="F8595">
        <v>2</v>
      </c>
      <c r="I8595">
        <v>4</v>
      </c>
      <c r="J8595">
        <v>0</v>
      </c>
      <c r="M8595" t="s">
        <v>8721</v>
      </c>
    </row>
    <row r="8596" spans="1:13">
      <c r="A8596" s="10">
        <v>46214</v>
      </c>
      <c r="B8596" t="s">
        <v>1</v>
      </c>
      <c r="C8596" t="s">
        <v>100</v>
      </c>
      <c r="D8596">
        <v>0</v>
      </c>
      <c r="E8596">
        <v>0</v>
      </c>
      <c r="I8596">
        <v>0</v>
      </c>
      <c r="J8596">
        <v>0</v>
      </c>
      <c r="M8596" t="s">
        <v>8722</v>
      </c>
    </row>
    <row r="8597" spans="1:13">
      <c r="A8597" s="10">
        <v>46214</v>
      </c>
      <c r="B8597" t="s">
        <v>1</v>
      </c>
      <c r="C8597" t="s">
        <v>101</v>
      </c>
      <c r="D8597">
        <v>0</v>
      </c>
      <c r="E8597">
        <v>226</v>
      </c>
      <c r="F8597">
        <v>1</v>
      </c>
      <c r="I8597">
        <v>1</v>
      </c>
      <c r="J8597">
        <v>224</v>
      </c>
      <c r="M8597" t="s">
        <v>8723</v>
      </c>
    </row>
    <row r="8598" spans="1:13">
      <c r="A8598" s="10">
        <v>46214</v>
      </c>
      <c r="B8598" t="s">
        <v>1</v>
      </c>
      <c r="C8598" t="s">
        <v>103</v>
      </c>
      <c r="D8598">
        <v>0</v>
      </c>
      <c r="E8598">
        <v>0</v>
      </c>
      <c r="I8598">
        <v>0</v>
      </c>
      <c r="J8598">
        <v>0</v>
      </c>
      <c r="M8598" t="s">
        <v>8724</v>
      </c>
    </row>
    <row r="8599" spans="1:13">
      <c r="A8599" s="10">
        <v>46214</v>
      </c>
      <c r="B8599" t="s">
        <v>1</v>
      </c>
      <c r="C8599" t="s">
        <v>106</v>
      </c>
      <c r="D8599">
        <v>1</v>
      </c>
      <c r="E8599">
        <v>672</v>
      </c>
      <c r="I8599">
        <v>1</v>
      </c>
      <c r="J8599">
        <v>664</v>
      </c>
      <c r="M8599" t="s">
        <v>8725</v>
      </c>
    </row>
    <row r="8600" spans="1:13">
      <c r="A8600" s="10">
        <v>46214</v>
      </c>
      <c r="B8600" t="s">
        <v>1</v>
      </c>
      <c r="C8600" t="s">
        <v>108</v>
      </c>
      <c r="D8600">
        <v>1</v>
      </c>
      <c r="E8600">
        <v>695</v>
      </c>
      <c r="I8600">
        <v>1</v>
      </c>
      <c r="J8600">
        <v>695</v>
      </c>
      <c r="M8600" t="s">
        <v>8726</v>
      </c>
    </row>
    <row r="8601" spans="1:13">
      <c r="A8601" s="10">
        <v>46214</v>
      </c>
      <c r="B8601" t="s">
        <v>1</v>
      </c>
      <c r="C8601" t="s">
        <v>109</v>
      </c>
      <c r="D8601">
        <v>1</v>
      </c>
      <c r="E8601">
        <v>785</v>
      </c>
      <c r="I8601">
        <v>1</v>
      </c>
      <c r="J8601">
        <v>785</v>
      </c>
      <c r="M8601" t="s">
        <v>8727</v>
      </c>
    </row>
    <row r="8602" spans="1:13">
      <c r="A8602" s="10">
        <v>46214</v>
      </c>
      <c r="B8602" t="s">
        <v>1</v>
      </c>
      <c r="C8602" t="s">
        <v>112</v>
      </c>
      <c r="D8602">
        <v>1</v>
      </c>
      <c r="E8602">
        <v>12</v>
      </c>
      <c r="I8602">
        <v>1</v>
      </c>
      <c r="J8602">
        <v>11</v>
      </c>
      <c r="M8602" t="s">
        <v>8728</v>
      </c>
    </row>
    <row r="8603" spans="1:13">
      <c r="A8603" s="10">
        <v>46214</v>
      </c>
      <c r="B8603" t="s">
        <v>1</v>
      </c>
      <c r="C8603" t="s">
        <v>114</v>
      </c>
      <c r="D8603">
        <v>2</v>
      </c>
      <c r="E8603">
        <v>8</v>
      </c>
      <c r="I8603">
        <v>2</v>
      </c>
      <c r="J8603">
        <v>8</v>
      </c>
      <c r="M8603" t="s">
        <v>8729</v>
      </c>
    </row>
    <row r="8604" spans="1:13">
      <c r="A8604" s="10">
        <v>46214</v>
      </c>
      <c r="B8604" t="s">
        <v>1</v>
      </c>
      <c r="C8604" t="s">
        <v>115</v>
      </c>
      <c r="D8604">
        <v>1</v>
      </c>
      <c r="E8604">
        <v>8</v>
      </c>
      <c r="I8604">
        <v>1</v>
      </c>
      <c r="J8604">
        <v>8</v>
      </c>
      <c r="M8604" t="s">
        <v>8730</v>
      </c>
    </row>
    <row r="8605" spans="1:13">
      <c r="A8605" s="10">
        <v>46214</v>
      </c>
      <c r="B8605" t="s">
        <v>1</v>
      </c>
      <c r="C8605" t="s">
        <v>116</v>
      </c>
      <c r="D8605">
        <v>1</v>
      </c>
      <c r="E8605">
        <v>31</v>
      </c>
      <c r="F8605">
        <v>1</v>
      </c>
      <c r="I8605">
        <v>2</v>
      </c>
      <c r="J8605">
        <v>29</v>
      </c>
      <c r="M8605" t="s">
        <v>8731</v>
      </c>
    </row>
    <row r="8606" spans="1:13">
      <c r="A8606" s="10">
        <v>46214</v>
      </c>
      <c r="B8606" t="s">
        <v>1</v>
      </c>
      <c r="C8606" t="s">
        <v>119</v>
      </c>
      <c r="D8606">
        <v>2</v>
      </c>
      <c r="E8606">
        <v>0</v>
      </c>
      <c r="I8606">
        <v>2</v>
      </c>
      <c r="M8606" t="s">
        <v>8732</v>
      </c>
    </row>
    <row r="8607" spans="1:13">
      <c r="A8607" s="10">
        <v>46214</v>
      </c>
      <c r="B8607" t="s">
        <v>1</v>
      </c>
      <c r="C8607" t="s">
        <v>120</v>
      </c>
      <c r="D8607">
        <v>2</v>
      </c>
      <c r="E8607">
        <v>0</v>
      </c>
      <c r="I8607">
        <v>2</v>
      </c>
      <c r="M8607" t="s">
        <v>8733</v>
      </c>
    </row>
    <row r="8608" spans="1:13">
      <c r="A8608" s="10">
        <v>46214</v>
      </c>
      <c r="B8608" t="s">
        <v>1</v>
      </c>
      <c r="C8608" t="s">
        <v>121</v>
      </c>
      <c r="D8608">
        <v>2</v>
      </c>
      <c r="E8608">
        <v>0</v>
      </c>
      <c r="I8608">
        <v>2</v>
      </c>
      <c r="M8608" t="s">
        <v>8734</v>
      </c>
    </row>
    <row r="8609" spans="1:13">
      <c r="A8609" s="10">
        <v>46214</v>
      </c>
      <c r="B8609" t="s">
        <v>1</v>
      </c>
      <c r="C8609" t="s">
        <v>123</v>
      </c>
      <c r="D8609">
        <v>2</v>
      </c>
      <c r="E8609">
        <v>0</v>
      </c>
      <c r="I8609">
        <v>2</v>
      </c>
      <c r="M8609" t="s">
        <v>8735</v>
      </c>
    </row>
    <row r="8610" spans="1:13">
      <c r="A8610" s="10">
        <v>46214</v>
      </c>
      <c r="B8610" t="s">
        <v>1</v>
      </c>
      <c r="C8610" t="s">
        <v>124</v>
      </c>
      <c r="D8610">
        <v>0</v>
      </c>
      <c r="E8610">
        <v>0</v>
      </c>
      <c r="F8610">
        <v>1</v>
      </c>
      <c r="I8610">
        <v>1</v>
      </c>
      <c r="M8610" t="s">
        <v>8736</v>
      </c>
    </row>
    <row r="8611" spans="1:13">
      <c r="A8611" s="10">
        <v>46214</v>
      </c>
      <c r="B8611" t="s">
        <v>1</v>
      </c>
      <c r="C8611" t="s">
        <v>125</v>
      </c>
      <c r="D8611">
        <v>2</v>
      </c>
      <c r="E8611">
        <v>0</v>
      </c>
      <c r="I8611">
        <v>2</v>
      </c>
      <c r="M8611" t="s">
        <v>8737</v>
      </c>
    </row>
    <row r="8612" spans="1:13">
      <c r="A8612" s="10">
        <v>46214</v>
      </c>
      <c r="B8612" t="s">
        <v>1</v>
      </c>
      <c r="C8612" t="s">
        <v>126</v>
      </c>
      <c r="D8612">
        <v>2</v>
      </c>
      <c r="E8612">
        <v>0</v>
      </c>
      <c r="I8612">
        <v>2</v>
      </c>
      <c r="M8612" t="s">
        <v>8738</v>
      </c>
    </row>
    <row r="8613" spans="1:13">
      <c r="A8613" s="10">
        <v>46214</v>
      </c>
      <c r="B8613" t="s">
        <v>1</v>
      </c>
      <c r="C8613" t="s">
        <v>128</v>
      </c>
      <c r="D8613">
        <v>2</v>
      </c>
      <c r="E8613">
        <v>0</v>
      </c>
      <c r="I8613">
        <v>2</v>
      </c>
      <c r="M8613" t="s">
        <v>8739</v>
      </c>
    </row>
    <row r="8614" spans="1:13">
      <c r="A8614" s="10">
        <v>46214</v>
      </c>
      <c r="B8614" t="s">
        <v>1</v>
      </c>
      <c r="C8614" t="s">
        <v>130</v>
      </c>
      <c r="D8614">
        <v>4</v>
      </c>
      <c r="E8614">
        <v>0</v>
      </c>
      <c r="I8614">
        <v>4</v>
      </c>
      <c r="M8614" t="s">
        <v>8740</v>
      </c>
    </row>
    <row r="8615" spans="1:13">
      <c r="A8615" s="10">
        <v>46214</v>
      </c>
      <c r="B8615" t="s">
        <v>1</v>
      </c>
      <c r="C8615" t="s">
        <v>285</v>
      </c>
      <c r="D8615">
        <v>2</v>
      </c>
      <c r="E8615">
        <v>0</v>
      </c>
      <c r="I8615">
        <v>2</v>
      </c>
      <c r="M8615" t="s">
        <v>8741</v>
      </c>
    </row>
    <row r="8616" spans="1:13">
      <c r="A8616" s="10">
        <v>46214</v>
      </c>
      <c r="B8616" t="s">
        <v>1</v>
      </c>
      <c r="C8616" t="s">
        <v>287</v>
      </c>
      <c r="D8616">
        <v>2</v>
      </c>
      <c r="E8616">
        <v>0</v>
      </c>
      <c r="I8616">
        <v>2</v>
      </c>
      <c r="M8616" t="s">
        <v>8742</v>
      </c>
    </row>
    <row r="8617" spans="1:13">
      <c r="A8617" s="10">
        <v>46214</v>
      </c>
      <c r="B8617" t="s">
        <v>1</v>
      </c>
      <c r="C8617" t="s">
        <v>289</v>
      </c>
      <c r="D8617">
        <v>2</v>
      </c>
      <c r="E8617">
        <v>0</v>
      </c>
      <c r="I8617">
        <v>2</v>
      </c>
      <c r="M8617" t="s">
        <v>8743</v>
      </c>
    </row>
    <row r="8618" spans="1:13">
      <c r="A8618" s="10">
        <v>46214</v>
      </c>
      <c r="B8618" t="s">
        <v>1</v>
      </c>
      <c r="C8618" t="s">
        <v>291</v>
      </c>
      <c r="D8618">
        <v>2</v>
      </c>
      <c r="E8618">
        <v>0</v>
      </c>
      <c r="I8618">
        <v>2</v>
      </c>
      <c r="M8618" t="s">
        <v>8744</v>
      </c>
    </row>
    <row r="8619" spans="1:13">
      <c r="A8619" s="10">
        <v>46214</v>
      </c>
      <c r="B8619" t="s">
        <v>1</v>
      </c>
      <c r="C8619" t="s">
        <v>293</v>
      </c>
      <c r="D8619">
        <v>3</v>
      </c>
      <c r="E8619">
        <v>0</v>
      </c>
      <c r="I8619">
        <v>3</v>
      </c>
      <c r="M8619" t="s">
        <v>8745</v>
      </c>
    </row>
    <row r="8620" spans="1:13">
      <c r="A8620" s="10">
        <v>46214</v>
      </c>
      <c r="B8620" t="s">
        <v>1</v>
      </c>
      <c r="C8620" s="135" t="s">
        <v>138</v>
      </c>
      <c r="D8620">
        <v>0</v>
      </c>
      <c r="E8620">
        <v>20</v>
      </c>
      <c r="G8620">
        <v>25</v>
      </c>
      <c r="I8620">
        <v>0</v>
      </c>
      <c r="J8620">
        <v>45</v>
      </c>
      <c r="M8620" t="s">
        <v>8746</v>
      </c>
    </row>
    <row r="8621" spans="1:13">
      <c r="A8621" s="10">
        <v>46214</v>
      </c>
      <c r="B8621" t="s">
        <v>1</v>
      </c>
      <c r="C8621" s="135" t="s">
        <v>139</v>
      </c>
      <c r="D8621">
        <v>0</v>
      </c>
      <c r="E8621">
        <v>18</v>
      </c>
      <c r="G8621">
        <v>20</v>
      </c>
      <c r="I8621">
        <v>0</v>
      </c>
      <c r="J8621">
        <v>37</v>
      </c>
      <c r="M8621" t="s">
        <v>8747</v>
      </c>
    </row>
    <row r="8622" spans="1:13">
      <c r="A8622" s="10">
        <v>46214</v>
      </c>
      <c r="B8622" t="s">
        <v>1</v>
      </c>
      <c r="C8622" s="135" t="s">
        <v>140</v>
      </c>
      <c r="D8622">
        <v>0</v>
      </c>
      <c r="E8622">
        <v>25</v>
      </c>
      <c r="I8622">
        <v>0</v>
      </c>
      <c r="J8622">
        <v>25</v>
      </c>
      <c r="M8622" t="s">
        <v>8748</v>
      </c>
    </row>
    <row r="8623" spans="1:13">
      <c r="A8623" s="10">
        <v>46214</v>
      </c>
      <c r="B8623" t="s">
        <v>1</v>
      </c>
      <c r="C8623" s="135" t="s">
        <v>141</v>
      </c>
      <c r="D8623">
        <v>0</v>
      </c>
      <c r="E8623">
        <v>1</v>
      </c>
      <c r="I8623">
        <v>0</v>
      </c>
      <c r="J8623">
        <v>1</v>
      </c>
      <c r="M8623" t="s">
        <v>8749</v>
      </c>
    </row>
    <row r="8624" spans="1:13">
      <c r="A8624" s="10">
        <v>46214</v>
      </c>
      <c r="B8624" t="s">
        <v>1</v>
      </c>
      <c r="C8624" s="135" t="s">
        <v>143</v>
      </c>
      <c r="D8624">
        <v>0</v>
      </c>
      <c r="E8624">
        <v>36</v>
      </c>
      <c r="I8624">
        <v>0</v>
      </c>
      <c r="J8624">
        <v>34</v>
      </c>
      <c r="M8624" t="s">
        <v>8750</v>
      </c>
    </row>
    <row r="8625" spans="1:13">
      <c r="A8625" s="10">
        <v>46214</v>
      </c>
      <c r="B8625" t="s">
        <v>1</v>
      </c>
      <c r="C8625" s="135" t="s">
        <v>145</v>
      </c>
      <c r="D8625">
        <v>0</v>
      </c>
      <c r="E8625">
        <v>61</v>
      </c>
      <c r="I8625">
        <v>0</v>
      </c>
      <c r="J8625">
        <v>61</v>
      </c>
      <c r="M8625" t="s">
        <v>8751</v>
      </c>
    </row>
    <row r="8626" spans="1:13">
      <c r="A8626" s="10">
        <v>46214</v>
      </c>
      <c r="B8626" t="s">
        <v>1</v>
      </c>
      <c r="C8626" s="135" t="s">
        <v>147</v>
      </c>
      <c r="D8626">
        <v>0</v>
      </c>
      <c r="E8626">
        <v>25</v>
      </c>
      <c r="I8626">
        <v>0</v>
      </c>
      <c r="J8626">
        <v>24</v>
      </c>
      <c r="M8626" t="s">
        <v>8752</v>
      </c>
    </row>
    <row r="8627" spans="1:13">
      <c r="A8627" s="10">
        <v>46214</v>
      </c>
      <c r="B8627" t="s">
        <v>1</v>
      </c>
      <c r="C8627" t="s">
        <v>302</v>
      </c>
      <c r="D8627">
        <v>2</v>
      </c>
      <c r="E8627">
        <v>0</v>
      </c>
      <c r="I8627">
        <v>2</v>
      </c>
      <c r="M8627" t="s">
        <v>8753</v>
      </c>
    </row>
    <row r="8628" spans="1:13">
      <c r="A8628" s="10">
        <v>46214</v>
      </c>
      <c r="B8628" t="s">
        <v>1</v>
      </c>
      <c r="C8628" t="s">
        <v>150</v>
      </c>
      <c r="D8628">
        <v>1</v>
      </c>
      <c r="E8628">
        <v>0</v>
      </c>
      <c r="I8628">
        <v>1</v>
      </c>
      <c r="M8628" t="s">
        <v>8754</v>
      </c>
    </row>
    <row r="8629" spans="1:13">
      <c r="A8629" s="10">
        <v>46214</v>
      </c>
      <c r="B8629" t="s">
        <v>1</v>
      </c>
      <c r="C8629" t="s">
        <v>151</v>
      </c>
      <c r="D8629">
        <v>2</v>
      </c>
      <c r="E8629">
        <v>0</v>
      </c>
      <c r="I8629">
        <v>2</v>
      </c>
      <c r="M8629" t="s">
        <v>8755</v>
      </c>
    </row>
    <row r="8630" spans="1:13">
      <c r="A8630" s="10">
        <v>46214</v>
      </c>
      <c r="B8630" t="s">
        <v>1</v>
      </c>
      <c r="C8630" t="s">
        <v>152</v>
      </c>
      <c r="D8630">
        <v>2</v>
      </c>
      <c r="E8630">
        <v>0</v>
      </c>
      <c r="I8630">
        <v>2</v>
      </c>
      <c r="M8630" t="s">
        <v>8756</v>
      </c>
    </row>
    <row r="8631" spans="1:13">
      <c r="A8631" s="10">
        <v>46214</v>
      </c>
      <c r="B8631" t="s">
        <v>1</v>
      </c>
      <c r="C8631" t="s">
        <v>153</v>
      </c>
      <c r="D8631">
        <v>2</v>
      </c>
      <c r="E8631">
        <v>0</v>
      </c>
      <c r="I8631">
        <v>2</v>
      </c>
      <c r="M8631" t="s">
        <v>8757</v>
      </c>
    </row>
    <row r="8632" spans="1:13">
      <c r="A8632" s="10">
        <v>46214</v>
      </c>
      <c r="B8632" t="s">
        <v>1</v>
      </c>
      <c r="C8632" t="s">
        <v>308</v>
      </c>
      <c r="D8632">
        <v>0</v>
      </c>
      <c r="E8632">
        <v>3</v>
      </c>
      <c r="I8632">
        <v>0</v>
      </c>
      <c r="J8632">
        <v>3</v>
      </c>
      <c r="M8632" t="s">
        <v>8758</v>
      </c>
    </row>
    <row r="8633" spans="1:13">
      <c r="A8633" s="10">
        <v>46214</v>
      </c>
      <c r="B8633" t="s">
        <v>1</v>
      </c>
      <c r="C8633" t="s">
        <v>310</v>
      </c>
      <c r="D8633">
        <v>0</v>
      </c>
      <c r="E8633">
        <v>2</v>
      </c>
      <c r="I8633">
        <v>0</v>
      </c>
      <c r="J8633">
        <v>2</v>
      </c>
      <c r="M8633" t="s">
        <v>8759</v>
      </c>
    </row>
    <row r="8634" spans="1:13">
      <c r="A8634" s="10">
        <v>46214</v>
      </c>
      <c r="B8634" t="s">
        <v>1</v>
      </c>
      <c r="C8634" t="s">
        <v>312</v>
      </c>
      <c r="D8634">
        <v>0</v>
      </c>
      <c r="E8634">
        <v>3</v>
      </c>
      <c r="I8634">
        <v>0</v>
      </c>
      <c r="J8634">
        <v>3</v>
      </c>
      <c r="M8634" t="s">
        <v>8760</v>
      </c>
    </row>
    <row r="8635" spans="1:13">
      <c r="A8635" s="10">
        <v>46214</v>
      </c>
      <c r="B8635" t="s">
        <v>1</v>
      </c>
      <c r="C8635" t="s">
        <v>314</v>
      </c>
      <c r="D8635">
        <v>1</v>
      </c>
      <c r="E8635">
        <v>0</v>
      </c>
      <c r="I8635">
        <v>1</v>
      </c>
      <c r="M8635" t="s">
        <v>8761</v>
      </c>
    </row>
    <row r="8636" spans="1:13">
      <c r="A8636" s="10">
        <v>46214</v>
      </c>
      <c r="B8636" t="s">
        <v>1</v>
      </c>
      <c r="C8636" t="s">
        <v>316</v>
      </c>
      <c r="D8636">
        <v>1</v>
      </c>
      <c r="E8636">
        <v>0</v>
      </c>
      <c r="I8636">
        <v>1</v>
      </c>
      <c r="M8636" t="s">
        <v>8762</v>
      </c>
    </row>
    <row r="8637" spans="1:13">
      <c r="A8637" s="10">
        <v>46214</v>
      </c>
      <c r="B8637" t="s">
        <v>1</v>
      </c>
      <c r="C8637" t="s">
        <v>318</v>
      </c>
      <c r="D8637">
        <v>1</v>
      </c>
      <c r="E8637">
        <v>0</v>
      </c>
      <c r="F8637">
        <v>3</v>
      </c>
      <c r="I8637">
        <v>4</v>
      </c>
      <c r="M8637" t="s">
        <v>8763</v>
      </c>
    </row>
    <row r="8638" spans="1:13">
      <c r="A8638" s="10">
        <v>46214</v>
      </c>
      <c r="B8638" t="s">
        <v>1</v>
      </c>
      <c r="C8638" t="s">
        <v>320</v>
      </c>
      <c r="D8638">
        <v>1</v>
      </c>
      <c r="E8638">
        <v>0</v>
      </c>
      <c r="F8638">
        <v>1</v>
      </c>
      <c r="I8638">
        <v>2</v>
      </c>
      <c r="M8638" t="s">
        <v>8764</v>
      </c>
    </row>
    <row r="8639" spans="1:13">
      <c r="A8639" s="10">
        <v>46214</v>
      </c>
      <c r="B8639" t="s">
        <v>1</v>
      </c>
      <c r="C8639" t="s">
        <v>322</v>
      </c>
      <c r="D8639">
        <v>0</v>
      </c>
      <c r="E8639">
        <v>0</v>
      </c>
      <c r="I8639">
        <v>0</v>
      </c>
      <c r="M8639" t="s">
        <v>8765</v>
      </c>
    </row>
    <row r="8640" spans="1:13">
      <c r="A8640" s="10">
        <v>46214</v>
      </c>
      <c r="B8640" t="s">
        <v>1</v>
      </c>
      <c r="C8640" s="135" t="s">
        <v>168</v>
      </c>
      <c r="D8640">
        <v>1</v>
      </c>
      <c r="E8640">
        <v>0</v>
      </c>
      <c r="I8640">
        <v>1</v>
      </c>
      <c r="M8640" t="s">
        <v>8766</v>
      </c>
    </row>
    <row r="8641" spans="1:13">
      <c r="A8641" s="10">
        <v>46214</v>
      </c>
      <c r="B8641" t="s">
        <v>1</v>
      </c>
      <c r="C8641" s="135" t="s">
        <v>170</v>
      </c>
      <c r="D8641">
        <v>1</v>
      </c>
      <c r="E8641">
        <v>0</v>
      </c>
      <c r="I8641">
        <v>1</v>
      </c>
      <c r="M8641" t="s">
        <v>8767</v>
      </c>
    </row>
    <row r="8642" spans="1:13">
      <c r="A8642" s="10">
        <v>46214</v>
      </c>
      <c r="B8642" t="s">
        <v>1</v>
      </c>
      <c r="C8642" s="135" t="s">
        <v>171</v>
      </c>
      <c r="D8642">
        <v>2</v>
      </c>
      <c r="E8642">
        <v>0</v>
      </c>
      <c r="I8642">
        <v>2</v>
      </c>
      <c r="M8642" t="s">
        <v>8768</v>
      </c>
    </row>
    <row r="8643" spans="1:13">
      <c r="A8643" s="10">
        <v>46214</v>
      </c>
      <c r="B8643" t="s">
        <v>1</v>
      </c>
      <c r="C8643" s="135" t="s">
        <v>172</v>
      </c>
      <c r="D8643">
        <v>1</v>
      </c>
      <c r="E8643">
        <v>0</v>
      </c>
      <c r="I8643">
        <v>1</v>
      </c>
      <c r="M8643" t="s">
        <v>8769</v>
      </c>
    </row>
    <row r="8644" spans="1:13">
      <c r="A8644" s="10">
        <v>46214</v>
      </c>
      <c r="B8644" t="s">
        <v>1</v>
      </c>
      <c r="C8644" s="135" t="s">
        <v>173</v>
      </c>
      <c r="D8644">
        <v>0</v>
      </c>
      <c r="E8644">
        <v>0</v>
      </c>
      <c r="I8644">
        <v>0</v>
      </c>
      <c r="M8644" t="s">
        <v>8770</v>
      </c>
    </row>
    <row r="8645" spans="1:13">
      <c r="A8645" s="10">
        <v>46214</v>
      </c>
      <c r="B8645" t="s">
        <v>1</v>
      </c>
      <c r="C8645" t="s">
        <v>176</v>
      </c>
      <c r="D8645">
        <v>0</v>
      </c>
      <c r="E8645">
        <v>11</v>
      </c>
      <c r="I8645">
        <v>0</v>
      </c>
      <c r="J8645">
        <v>11</v>
      </c>
      <c r="M8645" t="s">
        <v>8771</v>
      </c>
    </row>
    <row r="8646" spans="1:13">
      <c r="A8646" s="10">
        <v>46214</v>
      </c>
      <c r="B8646" t="s">
        <v>1</v>
      </c>
      <c r="C8646" t="s">
        <v>178</v>
      </c>
      <c r="D8646">
        <v>0</v>
      </c>
      <c r="E8646">
        <v>8</v>
      </c>
      <c r="G8646">
        <v>10</v>
      </c>
      <c r="I8646">
        <v>0</v>
      </c>
      <c r="J8646">
        <v>18</v>
      </c>
      <c r="M8646" t="s">
        <v>8772</v>
      </c>
    </row>
    <row r="8647" spans="1:13">
      <c r="A8647" s="10">
        <v>46214</v>
      </c>
      <c r="B8647" t="s">
        <v>1</v>
      </c>
      <c r="C8647" t="s">
        <v>179</v>
      </c>
      <c r="D8647">
        <v>0</v>
      </c>
      <c r="E8647">
        <v>17</v>
      </c>
      <c r="I8647">
        <v>0</v>
      </c>
      <c r="J8647">
        <v>17</v>
      </c>
      <c r="M8647" t="s">
        <v>8773</v>
      </c>
    </row>
    <row r="8648" spans="1:13">
      <c r="A8648" s="10">
        <v>46214</v>
      </c>
      <c r="B8648" t="s">
        <v>1</v>
      </c>
      <c r="C8648" t="s">
        <v>180</v>
      </c>
      <c r="D8648">
        <v>0</v>
      </c>
      <c r="E8648">
        <v>19</v>
      </c>
      <c r="I8648">
        <v>0</v>
      </c>
      <c r="J8648">
        <v>19</v>
      </c>
      <c r="M8648" t="s">
        <v>8774</v>
      </c>
    </row>
    <row r="8649" spans="1:13">
      <c r="A8649" s="10">
        <v>46214</v>
      </c>
      <c r="B8649" t="s">
        <v>1</v>
      </c>
      <c r="C8649" s="135" t="s">
        <v>182</v>
      </c>
      <c r="D8649">
        <v>1</v>
      </c>
      <c r="E8649">
        <v>190</v>
      </c>
      <c r="I8649">
        <v>1</v>
      </c>
      <c r="J8649">
        <v>190</v>
      </c>
      <c r="M8649" t="s">
        <v>8775</v>
      </c>
    </row>
    <row r="8650" spans="1:13">
      <c r="A8650" s="10">
        <v>46214</v>
      </c>
      <c r="B8650" t="s">
        <v>1</v>
      </c>
      <c r="C8650" s="135" t="s">
        <v>184</v>
      </c>
      <c r="D8650">
        <v>1</v>
      </c>
      <c r="E8650">
        <v>49</v>
      </c>
      <c r="I8650">
        <v>1</v>
      </c>
      <c r="J8650">
        <v>44</v>
      </c>
      <c r="M8650" t="s">
        <v>8776</v>
      </c>
    </row>
    <row r="8651" spans="1:13">
      <c r="A8651" s="10">
        <v>46214</v>
      </c>
      <c r="B8651" t="s">
        <v>1</v>
      </c>
      <c r="C8651" s="135" t="s">
        <v>185</v>
      </c>
      <c r="D8651">
        <v>1</v>
      </c>
      <c r="E8651">
        <v>14</v>
      </c>
      <c r="I8651">
        <v>1</v>
      </c>
      <c r="J8651">
        <v>14</v>
      </c>
      <c r="M8651" t="s">
        <v>8777</v>
      </c>
    </row>
    <row r="8652" spans="1:13">
      <c r="A8652" s="10">
        <v>46214</v>
      </c>
      <c r="B8652" t="s">
        <v>1</v>
      </c>
      <c r="C8652" s="135" t="s">
        <v>186</v>
      </c>
      <c r="D8652">
        <v>0</v>
      </c>
      <c r="E8652">
        <v>760</v>
      </c>
      <c r="I8652">
        <v>0</v>
      </c>
      <c r="J8652">
        <v>760</v>
      </c>
      <c r="M8652" t="s">
        <v>8778</v>
      </c>
    </row>
    <row r="8653" spans="1:13">
      <c r="A8653" s="10">
        <v>46214</v>
      </c>
      <c r="B8653" t="s">
        <v>1</v>
      </c>
      <c r="C8653" t="s">
        <v>337</v>
      </c>
      <c r="D8653">
        <v>1</v>
      </c>
      <c r="E8653">
        <v>228</v>
      </c>
      <c r="F8653">
        <v>1</v>
      </c>
      <c r="I8653">
        <v>2</v>
      </c>
      <c r="J8653">
        <v>228</v>
      </c>
      <c r="M8653" t="s">
        <v>8779</v>
      </c>
    </row>
    <row r="8654" spans="1:13">
      <c r="A8654" s="10">
        <v>46214</v>
      </c>
      <c r="B8654" t="s">
        <v>1</v>
      </c>
      <c r="C8654" t="s">
        <v>339</v>
      </c>
      <c r="D8654">
        <v>0</v>
      </c>
      <c r="E8654">
        <v>0</v>
      </c>
      <c r="I8654">
        <v>0</v>
      </c>
      <c r="J8654">
        <v>0</v>
      </c>
      <c r="M8654" t="s">
        <v>8780</v>
      </c>
    </row>
    <row r="8655" spans="1:13">
      <c r="A8655" s="10">
        <v>46214</v>
      </c>
      <c r="B8655" t="s">
        <v>1</v>
      </c>
      <c r="C8655" s="135" t="s">
        <v>191</v>
      </c>
      <c r="D8655">
        <v>1</v>
      </c>
      <c r="E8655">
        <v>113</v>
      </c>
      <c r="I8655">
        <v>1</v>
      </c>
      <c r="J8655">
        <v>113</v>
      </c>
      <c r="M8655" t="s">
        <v>8781</v>
      </c>
    </row>
    <row r="8656" spans="1:13">
      <c r="A8656" s="10">
        <v>46214</v>
      </c>
      <c r="B8656" t="s">
        <v>1</v>
      </c>
      <c r="C8656" s="135" t="s">
        <v>193</v>
      </c>
      <c r="D8656">
        <v>0</v>
      </c>
      <c r="E8656">
        <v>447</v>
      </c>
      <c r="I8656">
        <v>0</v>
      </c>
      <c r="J8656">
        <v>447</v>
      </c>
      <c r="M8656" t="s">
        <v>8782</v>
      </c>
    </row>
    <row r="8657" spans="1:13">
      <c r="A8657" s="10">
        <v>46214</v>
      </c>
      <c r="B8657" t="s">
        <v>1</v>
      </c>
      <c r="C8657" s="135" t="s">
        <v>194</v>
      </c>
      <c r="D8657">
        <v>1</v>
      </c>
      <c r="E8657">
        <v>19</v>
      </c>
      <c r="I8657">
        <v>1</v>
      </c>
      <c r="J8657">
        <v>19</v>
      </c>
      <c r="M8657" t="s">
        <v>8783</v>
      </c>
    </row>
    <row r="8658" spans="1:13">
      <c r="A8658" s="10">
        <v>46214</v>
      </c>
      <c r="B8658" t="s">
        <v>1</v>
      </c>
      <c r="C8658" s="135" t="s">
        <v>196</v>
      </c>
      <c r="D8658">
        <v>1</v>
      </c>
      <c r="E8658">
        <v>0</v>
      </c>
      <c r="I8658">
        <v>1</v>
      </c>
      <c r="J8658">
        <v>0</v>
      </c>
      <c r="M8658" t="s">
        <v>8784</v>
      </c>
    </row>
    <row r="8659" spans="1:13">
      <c r="A8659" s="10">
        <v>46216</v>
      </c>
      <c r="B8659" t="s">
        <v>1</v>
      </c>
      <c r="C8659" t="s">
        <v>23</v>
      </c>
      <c r="D8659">
        <v>5</v>
      </c>
      <c r="E8659">
        <v>534</v>
      </c>
      <c r="I8659">
        <v>3</v>
      </c>
      <c r="J8659">
        <v>750</v>
      </c>
      <c r="M8659" t="s">
        <v>8785</v>
      </c>
    </row>
    <row r="8660" spans="1:13">
      <c r="A8660" s="10">
        <v>46216</v>
      </c>
      <c r="B8660" t="s">
        <v>1</v>
      </c>
      <c r="C8660" t="s">
        <v>26</v>
      </c>
      <c r="D8660">
        <v>1</v>
      </c>
      <c r="E8660">
        <v>803</v>
      </c>
      <c r="I8660">
        <v>1</v>
      </c>
      <c r="J8660">
        <v>616</v>
      </c>
      <c r="M8660" t="s">
        <v>8786</v>
      </c>
    </row>
    <row r="8661" spans="1:13">
      <c r="A8661" s="10">
        <v>46216</v>
      </c>
      <c r="B8661" t="s">
        <v>1</v>
      </c>
      <c r="C8661" t="s">
        <v>27</v>
      </c>
      <c r="D8661">
        <v>1</v>
      </c>
      <c r="E8661">
        <v>1187</v>
      </c>
      <c r="I8661">
        <v>1</v>
      </c>
      <c r="J8661">
        <v>1180</v>
      </c>
      <c r="M8661" t="s">
        <v>8787</v>
      </c>
    </row>
    <row r="8662" spans="1:13">
      <c r="A8662" s="10">
        <v>46216</v>
      </c>
      <c r="B8662" t="s">
        <v>1</v>
      </c>
      <c r="C8662" t="s">
        <v>28</v>
      </c>
      <c r="D8662">
        <v>0</v>
      </c>
      <c r="E8662">
        <v>0</v>
      </c>
      <c r="I8662">
        <v>0</v>
      </c>
      <c r="J8662">
        <v>0</v>
      </c>
      <c r="M8662" t="s">
        <v>8788</v>
      </c>
    </row>
    <row r="8663" spans="1:13">
      <c r="A8663" s="10">
        <v>46216</v>
      </c>
      <c r="B8663" t="s">
        <v>1</v>
      </c>
      <c r="C8663" t="s">
        <v>29</v>
      </c>
      <c r="D8663">
        <v>0</v>
      </c>
      <c r="E8663">
        <v>930</v>
      </c>
      <c r="I8663">
        <v>0</v>
      </c>
      <c r="J8663">
        <v>981</v>
      </c>
      <c r="K8663">
        <v>48</v>
      </c>
      <c r="M8663" t="s">
        <v>8789</v>
      </c>
    </row>
    <row r="8664" spans="1:13">
      <c r="A8664" s="10">
        <v>46216</v>
      </c>
      <c r="B8664" t="s">
        <v>1</v>
      </c>
      <c r="C8664" t="s">
        <v>30</v>
      </c>
      <c r="D8664">
        <v>1</v>
      </c>
      <c r="E8664">
        <v>542</v>
      </c>
      <c r="I8664">
        <v>1</v>
      </c>
      <c r="J8664">
        <v>532</v>
      </c>
      <c r="M8664" t="s">
        <v>8790</v>
      </c>
    </row>
    <row r="8665" spans="1:13">
      <c r="A8665" s="10">
        <v>46216</v>
      </c>
      <c r="B8665" t="s">
        <v>1</v>
      </c>
      <c r="C8665" t="s">
        <v>31</v>
      </c>
      <c r="D8665">
        <v>0</v>
      </c>
      <c r="E8665">
        <v>830</v>
      </c>
      <c r="I8665">
        <v>0</v>
      </c>
      <c r="J8665">
        <v>429</v>
      </c>
      <c r="M8665" t="s">
        <v>8791</v>
      </c>
    </row>
    <row r="8666" spans="1:13">
      <c r="A8666" s="10">
        <v>46216</v>
      </c>
      <c r="B8666" t="s">
        <v>1</v>
      </c>
      <c r="C8666" t="s">
        <v>32</v>
      </c>
      <c r="D8666">
        <v>2</v>
      </c>
      <c r="E8666">
        <v>119</v>
      </c>
      <c r="I8666">
        <v>1</v>
      </c>
      <c r="J8666">
        <v>956</v>
      </c>
      <c r="M8666" t="s">
        <v>8792</v>
      </c>
    </row>
    <row r="8667" spans="1:13">
      <c r="A8667" s="10">
        <v>46216</v>
      </c>
      <c r="B8667" t="s">
        <v>1</v>
      </c>
      <c r="C8667" t="s">
        <v>223</v>
      </c>
      <c r="D8667">
        <v>5</v>
      </c>
      <c r="E8667">
        <v>100</v>
      </c>
      <c r="I8667">
        <v>4</v>
      </c>
      <c r="J8667">
        <v>357</v>
      </c>
      <c r="M8667" t="s">
        <v>8793</v>
      </c>
    </row>
    <row r="8668" spans="1:13">
      <c r="A8668" s="10">
        <v>46216</v>
      </c>
      <c r="B8668" t="s">
        <v>1</v>
      </c>
      <c r="C8668" t="s">
        <v>35</v>
      </c>
      <c r="D8668">
        <v>8</v>
      </c>
      <c r="E8668">
        <v>0</v>
      </c>
      <c r="H8668">
        <v>2</v>
      </c>
      <c r="I8668">
        <v>6</v>
      </c>
      <c r="M8668" t="s">
        <v>8794</v>
      </c>
    </row>
    <row r="8669" spans="1:13">
      <c r="A8669" s="10">
        <v>46216</v>
      </c>
      <c r="B8669" t="s">
        <v>1</v>
      </c>
      <c r="C8669" t="s">
        <v>37</v>
      </c>
      <c r="D8669">
        <v>3</v>
      </c>
      <c r="E8669">
        <v>0</v>
      </c>
      <c r="H8669">
        <v>1</v>
      </c>
      <c r="I8669">
        <v>2</v>
      </c>
      <c r="M8669" t="s">
        <v>8795</v>
      </c>
    </row>
    <row r="8670" spans="1:13">
      <c r="A8670" s="10">
        <v>46216</v>
      </c>
      <c r="B8670" t="s">
        <v>1</v>
      </c>
      <c r="C8670" t="s">
        <v>39</v>
      </c>
      <c r="D8670">
        <v>16</v>
      </c>
      <c r="E8670">
        <v>0</v>
      </c>
      <c r="H8670">
        <v>1</v>
      </c>
      <c r="I8670">
        <v>15</v>
      </c>
      <c r="M8670" t="s">
        <v>8796</v>
      </c>
    </row>
    <row r="8671" spans="1:13">
      <c r="A8671" s="10">
        <v>46216</v>
      </c>
      <c r="B8671" t="s">
        <v>1</v>
      </c>
      <c r="C8671" t="s">
        <v>41</v>
      </c>
      <c r="D8671">
        <v>22</v>
      </c>
      <c r="E8671">
        <v>0</v>
      </c>
      <c r="H8671">
        <v>4</v>
      </c>
      <c r="I8671">
        <v>18</v>
      </c>
      <c r="M8671" t="s">
        <v>8797</v>
      </c>
    </row>
    <row r="8672" spans="1:13">
      <c r="A8672" s="10">
        <v>46216</v>
      </c>
      <c r="B8672" t="s">
        <v>1</v>
      </c>
      <c r="C8672" s="136" t="s">
        <v>8798</v>
      </c>
      <c r="D8672">
        <v>0</v>
      </c>
      <c r="E8672">
        <v>0</v>
      </c>
      <c r="I8672">
        <v>0</v>
      </c>
      <c r="J8672">
        <v>0</v>
      </c>
      <c r="M8672" t="s">
        <v>8799</v>
      </c>
    </row>
    <row r="8673" spans="1:13">
      <c r="A8673" s="10">
        <v>46216</v>
      </c>
      <c r="B8673" t="s">
        <v>1</v>
      </c>
      <c r="C8673" t="s">
        <v>230</v>
      </c>
      <c r="D8673">
        <v>0</v>
      </c>
      <c r="E8673">
        <v>0</v>
      </c>
      <c r="I8673">
        <v>0</v>
      </c>
      <c r="J8673">
        <v>0</v>
      </c>
      <c r="M8673" t="s">
        <v>8800</v>
      </c>
    </row>
    <row r="8674" spans="1:13">
      <c r="A8674" s="10">
        <v>46216</v>
      </c>
      <c r="B8674" t="s">
        <v>1</v>
      </c>
      <c r="C8674" t="s">
        <v>232</v>
      </c>
      <c r="D8674">
        <v>0</v>
      </c>
      <c r="E8674">
        <v>0</v>
      </c>
      <c r="I8674">
        <v>0</v>
      </c>
      <c r="M8674" t="s">
        <v>8801</v>
      </c>
    </row>
    <row r="8675" spans="1:13">
      <c r="A8675" s="10">
        <v>46216</v>
      </c>
      <c r="B8675" t="s">
        <v>1</v>
      </c>
      <c r="C8675" t="s">
        <v>234</v>
      </c>
      <c r="D8675">
        <v>81</v>
      </c>
      <c r="E8675">
        <v>0</v>
      </c>
      <c r="H8675">
        <v>8</v>
      </c>
      <c r="I8675">
        <v>73</v>
      </c>
      <c r="M8675" t="s">
        <v>8802</v>
      </c>
    </row>
    <row r="8676" spans="1:13">
      <c r="A8676" s="10">
        <v>46216</v>
      </c>
      <c r="B8676" t="s">
        <v>1</v>
      </c>
      <c r="C8676" t="s">
        <v>54</v>
      </c>
      <c r="D8676">
        <v>0</v>
      </c>
      <c r="E8676">
        <v>0</v>
      </c>
      <c r="I8676">
        <v>0</v>
      </c>
      <c r="M8676" t="s">
        <v>8803</v>
      </c>
    </row>
    <row r="8677" spans="1:13">
      <c r="A8677" s="10">
        <v>46216</v>
      </c>
      <c r="B8677" t="s">
        <v>1</v>
      </c>
      <c r="C8677" t="s">
        <v>237</v>
      </c>
      <c r="D8677">
        <v>7</v>
      </c>
      <c r="E8677">
        <v>0</v>
      </c>
      <c r="I8677">
        <v>7</v>
      </c>
      <c r="M8677" t="s">
        <v>8804</v>
      </c>
    </row>
    <row r="8678" spans="1:13">
      <c r="A8678" s="10">
        <v>46216</v>
      </c>
      <c r="B8678" t="s">
        <v>1</v>
      </c>
      <c r="C8678" s="136" t="s">
        <v>58</v>
      </c>
      <c r="D8678">
        <v>8</v>
      </c>
      <c r="E8678">
        <v>0</v>
      </c>
      <c r="I8678">
        <v>8</v>
      </c>
      <c r="M8678" t="s">
        <v>8805</v>
      </c>
    </row>
    <row r="8679" spans="1:13">
      <c r="A8679" s="10">
        <v>46216</v>
      </c>
      <c r="B8679" t="s">
        <v>1</v>
      </c>
      <c r="C8679" s="136" t="s">
        <v>60</v>
      </c>
      <c r="D8679">
        <v>6</v>
      </c>
      <c r="E8679">
        <v>0</v>
      </c>
      <c r="H8679">
        <v>3</v>
      </c>
      <c r="I8679">
        <v>3</v>
      </c>
      <c r="M8679" t="s">
        <v>8806</v>
      </c>
    </row>
    <row r="8680" spans="1:13">
      <c r="A8680" s="10">
        <v>46216</v>
      </c>
      <c r="B8680" t="s">
        <v>1</v>
      </c>
      <c r="C8680" s="136" t="s">
        <v>61</v>
      </c>
      <c r="D8680">
        <v>7</v>
      </c>
      <c r="E8680">
        <v>0</v>
      </c>
      <c r="H8680">
        <v>3</v>
      </c>
      <c r="I8680">
        <v>4</v>
      </c>
      <c r="M8680" t="s">
        <v>8807</v>
      </c>
    </row>
    <row r="8681" spans="1:13">
      <c r="A8681" s="10">
        <v>46216</v>
      </c>
      <c r="B8681" t="s">
        <v>1</v>
      </c>
      <c r="C8681" s="136" t="s">
        <v>62</v>
      </c>
      <c r="D8681">
        <v>7</v>
      </c>
      <c r="E8681">
        <v>0</v>
      </c>
      <c r="H8681">
        <v>2</v>
      </c>
      <c r="I8681">
        <v>5</v>
      </c>
      <c r="M8681" t="s">
        <v>8808</v>
      </c>
    </row>
    <row r="8682" spans="1:13">
      <c r="A8682" s="10">
        <v>46216</v>
      </c>
      <c r="B8682" t="s">
        <v>1</v>
      </c>
      <c r="C8682" s="136" t="s">
        <v>63</v>
      </c>
      <c r="D8682">
        <v>7</v>
      </c>
      <c r="E8682">
        <v>0</v>
      </c>
      <c r="I8682">
        <v>7</v>
      </c>
      <c r="M8682" t="s">
        <v>8809</v>
      </c>
    </row>
    <row r="8683" spans="1:13">
      <c r="A8683" s="10">
        <v>46216</v>
      </c>
      <c r="B8683" t="s">
        <v>1</v>
      </c>
      <c r="C8683" s="136" t="s">
        <v>64</v>
      </c>
      <c r="D8683">
        <v>8</v>
      </c>
      <c r="E8683">
        <v>0</v>
      </c>
      <c r="I8683">
        <v>8</v>
      </c>
      <c r="M8683" t="s">
        <v>8810</v>
      </c>
    </row>
    <row r="8684" spans="1:13">
      <c r="A8684" s="10">
        <v>46216</v>
      </c>
      <c r="B8684" t="s">
        <v>1</v>
      </c>
      <c r="C8684" t="s">
        <v>66</v>
      </c>
      <c r="D8684">
        <v>4</v>
      </c>
      <c r="E8684">
        <v>0</v>
      </c>
      <c r="I8684">
        <v>4</v>
      </c>
      <c r="M8684" t="s">
        <v>8811</v>
      </c>
    </row>
    <row r="8685" spans="1:13">
      <c r="A8685" s="10">
        <v>46216</v>
      </c>
      <c r="B8685" t="s">
        <v>1</v>
      </c>
      <c r="C8685" t="s">
        <v>67</v>
      </c>
      <c r="D8685">
        <v>5</v>
      </c>
      <c r="E8685">
        <v>0</v>
      </c>
      <c r="I8685">
        <v>5</v>
      </c>
      <c r="M8685" t="s">
        <v>8812</v>
      </c>
    </row>
    <row r="8686" spans="1:13">
      <c r="A8686" s="10">
        <v>46216</v>
      </c>
      <c r="B8686" t="s">
        <v>1</v>
      </c>
      <c r="C8686" t="s">
        <v>68</v>
      </c>
      <c r="D8686">
        <v>0</v>
      </c>
      <c r="E8686">
        <v>0</v>
      </c>
      <c r="I8686">
        <v>0</v>
      </c>
      <c r="M8686" t="s">
        <v>8813</v>
      </c>
    </row>
    <row r="8687" spans="1:13">
      <c r="A8687" s="10">
        <v>46216</v>
      </c>
      <c r="B8687" t="s">
        <v>1</v>
      </c>
      <c r="C8687" t="s">
        <v>71</v>
      </c>
      <c r="D8687">
        <v>1</v>
      </c>
      <c r="E8687">
        <v>150</v>
      </c>
      <c r="I8687">
        <v>1</v>
      </c>
      <c r="J8687">
        <v>46</v>
      </c>
      <c r="M8687" t="s">
        <v>8814</v>
      </c>
    </row>
    <row r="8688" spans="1:13">
      <c r="A8688" s="10">
        <v>46216</v>
      </c>
      <c r="B8688" t="s">
        <v>1</v>
      </c>
      <c r="C8688" t="s">
        <v>73</v>
      </c>
      <c r="D8688">
        <v>2</v>
      </c>
      <c r="E8688">
        <v>469</v>
      </c>
      <c r="I8688">
        <v>2</v>
      </c>
      <c r="J8688">
        <v>406</v>
      </c>
      <c r="M8688" t="s">
        <v>8815</v>
      </c>
    </row>
    <row r="8689" spans="1:13">
      <c r="A8689" s="10">
        <v>46216</v>
      </c>
      <c r="B8689" t="s">
        <v>1</v>
      </c>
      <c r="C8689" t="s">
        <v>75</v>
      </c>
      <c r="D8689">
        <v>2</v>
      </c>
      <c r="E8689">
        <v>137</v>
      </c>
      <c r="I8689">
        <v>2</v>
      </c>
      <c r="J8689">
        <v>66</v>
      </c>
      <c r="M8689" t="s">
        <v>8816</v>
      </c>
    </row>
    <row r="8690" spans="1:13">
      <c r="A8690" s="10">
        <v>46216</v>
      </c>
      <c r="B8690" t="s">
        <v>1</v>
      </c>
      <c r="C8690" t="s">
        <v>77</v>
      </c>
      <c r="D8690">
        <v>0</v>
      </c>
      <c r="E8690">
        <v>695</v>
      </c>
      <c r="I8690">
        <v>0</v>
      </c>
      <c r="J8690">
        <v>695</v>
      </c>
      <c r="M8690" t="s">
        <v>8817</v>
      </c>
    </row>
    <row r="8691" spans="1:13">
      <c r="A8691" s="10">
        <v>46216</v>
      </c>
      <c r="B8691" t="s">
        <v>1</v>
      </c>
      <c r="C8691" t="s">
        <v>79</v>
      </c>
      <c r="D8691">
        <v>0</v>
      </c>
      <c r="E8691">
        <v>1523</v>
      </c>
      <c r="I8691">
        <v>0</v>
      </c>
      <c r="J8691">
        <v>1184</v>
      </c>
      <c r="M8691" t="s">
        <v>8818</v>
      </c>
    </row>
    <row r="8692" spans="1:13">
      <c r="A8692" s="10">
        <v>46216</v>
      </c>
      <c r="B8692" t="s">
        <v>1</v>
      </c>
      <c r="C8692" t="s">
        <v>81</v>
      </c>
      <c r="D8692">
        <v>1</v>
      </c>
      <c r="E8692">
        <v>131</v>
      </c>
      <c r="I8692">
        <v>1</v>
      </c>
      <c r="J8692">
        <v>55</v>
      </c>
      <c r="M8692" t="s">
        <v>8819</v>
      </c>
    </row>
    <row r="8693" spans="1:13">
      <c r="A8693" s="10">
        <v>46216</v>
      </c>
      <c r="B8693" t="s">
        <v>1</v>
      </c>
      <c r="C8693" t="s">
        <v>83</v>
      </c>
      <c r="D8693">
        <v>1</v>
      </c>
      <c r="E8693">
        <v>50</v>
      </c>
      <c r="I8693">
        <v>1</v>
      </c>
      <c r="J8693">
        <v>36</v>
      </c>
      <c r="M8693" t="s">
        <v>8820</v>
      </c>
    </row>
    <row r="8694" spans="1:13">
      <c r="A8694" s="10">
        <v>46216</v>
      </c>
      <c r="B8694" t="s">
        <v>1</v>
      </c>
      <c r="C8694" t="s">
        <v>84</v>
      </c>
      <c r="D8694">
        <v>1</v>
      </c>
      <c r="E8694">
        <v>404</v>
      </c>
      <c r="I8694">
        <v>1</v>
      </c>
      <c r="J8694">
        <v>392</v>
      </c>
      <c r="M8694" t="s">
        <v>8821</v>
      </c>
    </row>
    <row r="8695" spans="1:13">
      <c r="A8695" s="10">
        <v>46216</v>
      </c>
      <c r="B8695" t="s">
        <v>1</v>
      </c>
      <c r="C8695" t="s">
        <v>85</v>
      </c>
      <c r="D8695">
        <v>0</v>
      </c>
      <c r="E8695">
        <v>120</v>
      </c>
      <c r="I8695">
        <v>0</v>
      </c>
      <c r="J8695">
        <v>120</v>
      </c>
      <c r="M8695" t="s">
        <v>8822</v>
      </c>
    </row>
    <row r="8696" spans="1:13">
      <c r="A8696" s="10">
        <v>46216</v>
      </c>
      <c r="B8696" t="s">
        <v>1</v>
      </c>
      <c r="C8696" t="s">
        <v>87</v>
      </c>
      <c r="D8696">
        <v>2</v>
      </c>
      <c r="E8696">
        <v>269</v>
      </c>
      <c r="I8696">
        <v>2</v>
      </c>
      <c r="J8696">
        <v>199</v>
      </c>
      <c r="M8696" t="s">
        <v>8823</v>
      </c>
    </row>
    <row r="8697" spans="1:13">
      <c r="A8697" s="10">
        <v>46216</v>
      </c>
      <c r="B8697" t="s">
        <v>1</v>
      </c>
      <c r="C8697" t="s">
        <v>88</v>
      </c>
      <c r="D8697">
        <v>1</v>
      </c>
      <c r="E8697">
        <v>204</v>
      </c>
      <c r="I8697">
        <v>1</v>
      </c>
      <c r="J8697">
        <v>181</v>
      </c>
      <c r="M8697" t="s">
        <v>8824</v>
      </c>
    </row>
    <row r="8698" spans="1:13">
      <c r="A8698" s="10">
        <v>46216</v>
      </c>
      <c r="B8698" t="s">
        <v>1</v>
      </c>
      <c r="C8698" t="s">
        <v>89</v>
      </c>
      <c r="D8698">
        <v>1</v>
      </c>
      <c r="E8698">
        <v>84</v>
      </c>
      <c r="I8698">
        <v>0</v>
      </c>
      <c r="J8698">
        <v>420</v>
      </c>
      <c r="M8698" t="s">
        <v>8825</v>
      </c>
    </row>
    <row r="8699" spans="1:13">
      <c r="A8699" s="10">
        <v>46216</v>
      </c>
      <c r="B8699" t="s">
        <v>1</v>
      </c>
      <c r="C8699" t="s">
        <v>90</v>
      </c>
      <c r="D8699">
        <v>1</v>
      </c>
      <c r="E8699">
        <v>530</v>
      </c>
      <c r="I8699">
        <v>1</v>
      </c>
      <c r="J8699">
        <v>530</v>
      </c>
      <c r="M8699" t="s">
        <v>8826</v>
      </c>
    </row>
    <row r="8700" spans="1:13">
      <c r="A8700" s="10">
        <v>46216</v>
      </c>
      <c r="B8700" t="s">
        <v>1</v>
      </c>
      <c r="C8700" t="s">
        <v>92</v>
      </c>
      <c r="D8700">
        <v>1</v>
      </c>
      <c r="E8700">
        <v>598</v>
      </c>
      <c r="I8700">
        <v>1</v>
      </c>
      <c r="J8700">
        <v>518</v>
      </c>
      <c r="M8700" t="s">
        <v>8827</v>
      </c>
    </row>
    <row r="8701" spans="1:13">
      <c r="A8701" s="10">
        <v>46216</v>
      </c>
      <c r="B8701" t="s">
        <v>1</v>
      </c>
      <c r="C8701" t="s">
        <v>94</v>
      </c>
      <c r="D8701">
        <v>3</v>
      </c>
      <c r="E8701">
        <v>0</v>
      </c>
      <c r="I8701">
        <v>2</v>
      </c>
      <c r="J8701">
        <v>57</v>
      </c>
      <c r="M8701" t="s">
        <v>8828</v>
      </c>
    </row>
    <row r="8702" spans="1:13">
      <c r="A8702" s="10">
        <v>46216</v>
      </c>
      <c r="B8702" t="s">
        <v>1</v>
      </c>
      <c r="C8702" t="s">
        <v>96</v>
      </c>
      <c r="D8702">
        <v>0</v>
      </c>
      <c r="E8702">
        <v>0</v>
      </c>
      <c r="I8702">
        <v>0</v>
      </c>
      <c r="J8702">
        <v>0</v>
      </c>
      <c r="M8702" t="s">
        <v>8829</v>
      </c>
    </row>
    <row r="8703" spans="1:13">
      <c r="A8703" s="10">
        <v>46216</v>
      </c>
      <c r="B8703" t="s">
        <v>1</v>
      </c>
      <c r="C8703" t="s">
        <v>98</v>
      </c>
      <c r="D8703">
        <v>1</v>
      </c>
      <c r="E8703">
        <v>177</v>
      </c>
      <c r="I8703">
        <v>1</v>
      </c>
      <c r="J8703">
        <v>19</v>
      </c>
      <c r="M8703" t="s">
        <v>8830</v>
      </c>
    </row>
    <row r="8704" spans="1:13">
      <c r="A8704" s="10">
        <v>46216</v>
      </c>
      <c r="B8704" t="s">
        <v>1</v>
      </c>
      <c r="C8704" t="s">
        <v>203</v>
      </c>
      <c r="D8704">
        <v>4</v>
      </c>
      <c r="E8704">
        <v>0</v>
      </c>
      <c r="I8704">
        <v>4</v>
      </c>
      <c r="J8704">
        <v>0</v>
      </c>
      <c r="M8704" t="s">
        <v>8831</v>
      </c>
    </row>
    <row r="8705" spans="1:13">
      <c r="A8705" s="10">
        <v>46216</v>
      </c>
      <c r="B8705" t="s">
        <v>1</v>
      </c>
      <c r="C8705" t="s">
        <v>100</v>
      </c>
      <c r="D8705">
        <v>0</v>
      </c>
      <c r="E8705">
        <v>0</v>
      </c>
      <c r="I8705">
        <v>0</v>
      </c>
      <c r="J8705">
        <v>0</v>
      </c>
      <c r="M8705" t="s">
        <v>8832</v>
      </c>
    </row>
    <row r="8706" spans="1:13">
      <c r="A8706" s="10">
        <v>46216</v>
      </c>
      <c r="B8706" t="s">
        <v>1</v>
      </c>
      <c r="C8706" t="s">
        <v>101</v>
      </c>
      <c r="D8706">
        <v>1</v>
      </c>
      <c r="E8706">
        <v>224</v>
      </c>
      <c r="I8706">
        <v>0</v>
      </c>
      <c r="J8706">
        <v>333</v>
      </c>
      <c r="M8706" t="s">
        <v>8833</v>
      </c>
    </row>
    <row r="8707" spans="1:13">
      <c r="A8707" s="10">
        <v>46216</v>
      </c>
      <c r="B8707" t="s">
        <v>1</v>
      </c>
      <c r="C8707" t="s">
        <v>103</v>
      </c>
      <c r="D8707">
        <v>0</v>
      </c>
      <c r="E8707">
        <v>0</v>
      </c>
      <c r="G8707">
        <v>8</v>
      </c>
      <c r="I8707">
        <v>0</v>
      </c>
      <c r="J8707">
        <v>4</v>
      </c>
      <c r="M8707" t="s">
        <v>8834</v>
      </c>
    </row>
    <row r="8708" spans="1:13">
      <c r="A8708" s="10">
        <v>46216</v>
      </c>
      <c r="B8708" t="s">
        <v>1</v>
      </c>
      <c r="C8708" t="s">
        <v>106</v>
      </c>
      <c r="D8708">
        <v>1</v>
      </c>
      <c r="E8708">
        <v>664</v>
      </c>
      <c r="I8708">
        <v>1</v>
      </c>
      <c r="J8708">
        <v>261</v>
      </c>
      <c r="M8708" t="s">
        <v>8835</v>
      </c>
    </row>
    <row r="8709" spans="1:13">
      <c r="A8709" s="10">
        <v>46216</v>
      </c>
      <c r="B8709" t="s">
        <v>1</v>
      </c>
      <c r="C8709" t="s">
        <v>108</v>
      </c>
      <c r="D8709">
        <v>1</v>
      </c>
      <c r="E8709">
        <v>695</v>
      </c>
      <c r="I8709">
        <v>1</v>
      </c>
      <c r="J8709">
        <v>582</v>
      </c>
      <c r="M8709" t="s">
        <v>8836</v>
      </c>
    </row>
    <row r="8710" spans="1:13">
      <c r="A8710" s="10">
        <v>46216</v>
      </c>
      <c r="B8710" t="s">
        <v>1</v>
      </c>
      <c r="C8710" t="s">
        <v>109</v>
      </c>
      <c r="D8710">
        <v>1</v>
      </c>
      <c r="E8710">
        <v>785</v>
      </c>
      <c r="I8710">
        <v>1</v>
      </c>
      <c r="J8710">
        <v>570</v>
      </c>
      <c r="M8710" t="s">
        <v>8837</v>
      </c>
    </row>
    <row r="8711" spans="1:13">
      <c r="A8711" s="10">
        <v>46216</v>
      </c>
      <c r="B8711" t="s">
        <v>1</v>
      </c>
      <c r="C8711" t="s">
        <v>112</v>
      </c>
      <c r="D8711">
        <v>1</v>
      </c>
      <c r="E8711">
        <v>11</v>
      </c>
      <c r="I8711">
        <v>1</v>
      </c>
      <c r="J8711">
        <v>10</v>
      </c>
      <c r="M8711" t="s">
        <v>8838</v>
      </c>
    </row>
    <row r="8712" spans="1:13">
      <c r="A8712" s="10">
        <v>46216</v>
      </c>
      <c r="B8712" t="s">
        <v>1</v>
      </c>
      <c r="C8712" t="s">
        <v>114</v>
      </c>
      <c r="D8712">
        <v>2</v>
      </c>
      <c r="E8712">
        <v>8</v>
      </c>
      <c r="I8712">
        <v>2</v>
      </c>
      <c r="J8712">
        <v>2</v>
      </c>
      <c r="M8712" t="s">
        <v>8839</v>
      </c>
    </row>
    <row r="8713" spans="1:13">
      <c r="A8713" s="10">
        <v>46216</v>
      </c>
      <c r="B8713" t="s">
        <v>1</v>
      </c>
      <c r="C8713" t="s">
        <v>115</v>
      </c>
      <c r="D8713">
        <v>1</v>
      </c>
      <c r="E8713">
        <v>8</v>
      </c>
      <c r="I8713">
        <v>0</v>
      </c>
      <c r="J8713">
        <v>49</v>
      </c>
      <c r="M8713" t="s">
        <v>8840</v>
      </c>
    </row>
    <row r="8714" spans="1:13">
      <c r="A8714" s="10">
        <v>46216</v>
      </c>
      <c r="B8714" t="s">
        <v>1</v>
      </c>
      <c r="C8714" t="s">
        <v>116</v>
      </c>
      <c r="D8714">
        <v>2</v>
      </c>
      <c r="E8714">
        <v>29</v>
      </c>
      <c r="I8714">
        <v>2</v>
      </c>
      <c r="J8714">
        <v>10</v>
      </c>
      <c r="M8714" t="s">
        <v>8841</v>
      </c>
    </row>
    <row r="8715" spans="1:13">
      <c r="A8715" s="10">
        <v>46216</v>
      </c>
      <c r="B8715" t="s">
        <v>1</v>
      </c>
      <c r="C8715" t="s">
        <v>119</v>
      </c>
      <c r="D8715">
        <v>2</v>
      </c>
      <c r="E8715">
        <v>0</v>
      </c>
      <c r="I8715">
        <v>2</v>
      </c>
      <c r="M8715" t="s">
        <v>8842</v>
      </c>
    </row>
    <row r="8716" spans="1:13">
      <c r="A8716" s="10">
        <v>46216</v>
      </c>
      <c r="B8716" t="s">
        <v>1</v>
      </c>
      <c r="C8716" t="s">
        <v>120</v>
      </c>
      <c r="D8716">
        <v>2</v>
      </c>
      <c r="E8716">
        <v>0</v>
      </c>
      <c r="I8716">
        <v>2</v>
      </c>
      <c r="M8716" t="s">
        <v>8843</v>
      </c>
    </row>
    <row r="8717" spans="1:13">
      <c r="A8717" s="10">
        <v>46216</v>
      </c>
      <c r="B8717" t="s">
        <v>1</v>
      </c>
      <c r="C8717" t="s">
        <v>121</v>
      </c>
      <c r="D8717">
        <v>2</v>
      </c>
      <c r="E8717">
        <v>0</v>
      </c>
      <c r="I8717">
        <v>2</v>
      </c>
      <c r="M8717" t="s">
        <v>8844</v>
      </c>
    </row>
    <row r="8718" spans="1:13">
      <c r="A8718" s="10">
        <v>46216</v>
      </c>
      <c r="B8718" t="s">
        <v>1</v>
      </c>
      <c r="C8718" t="s">
        <v>123</v>
      </c>
      <c r="D8718">
        <v>2</v>
      </c>
      <c r="E8718">
        <v>0</v>
      </c>
      <c r="I8718">
        <v>1</v>
      </c>
      <c r="M8718" t="s">
        <v>8845</v>
      </c>
    </row>
    <row r="8719" spans="1:13">
      <c r="A8719" s="10">
        <v>46216</v>
      </c>
      <c r="B8719" t="s">
        <v>1</v>
      </c>
      <c r="C8719" t="s">
        <v>124</v>
      </c>
      <c r="D8719">
        <v>1</v>
      </c>
      <c r="E8719">
        <v>0</v>
      </c>
      <c r="I8719">
        <v>1</v>
      </c>
      <c r="M8719" t="s">
        <v>8846</v>
      </c>
    </row>
    <row r="8720" spans="1:13">
      <c r="A8720" s="10">
        <v>46216</v>
      </c>
      <c r="B8720" t="s">
        <v>1</v>
      </c>
      <c r="C8720" t="s">
        <v>125</v>
      </c>
      <c r="D8720">
        <v>2</v>
      </c>
      <c r="E8720">
        <v>0</v>
      </c>
      <c r="I8720">
        <v>2</v>
      </c>
      <c r="M8720" t="s">
        <v>8847</v>
      </c>
    </row>
    <row r="8721" spans="1:13">
      <c r="A8721" s="10">
        <v>46216</v>
      </c>
      <c r="B8721" t="s">
        <v>1</v>
      </c>
      <c r="C8721" t="s">
        <v>126</v>
      </c>
      <c r="D8721">
        <v>2</v>
      </c>
      <c r="E8721">
        <v>0</v>
      </c>
      <c r="I8721">
        <v>2</v>
      </c>
      <c r="M8721" t="s">
        <v>8848</v>
      </c>
    </row>
    <row r="8722" spans="1:13">
      <c r="A8722" s="10">
        <v>46216</v>
      </c>
      <c r="B8722" t="s">
        <v>1</v>
      </c>
      <c r="C8722" t="s">
        <v>128</v>
      </c>
      <c r="D8722">
        <v>2</v>
      </c>
      <c r="E8722">
        <v>0</v>
      </c>
      <c r="I8722">
        <v>2</v>
      </c>
      <c r="M8722" t="s">
        <v>8849</v>
      </c>
    </row>
    <row r="8723" spans="1:13">
      <c r="A8723" s="10">
        <v>46216</v>
      </c>
      <c r="B8723" t="s">
        <v>1</v>
      </c>
      <c r="C8723" t="s">
        <v>130</v>
      </c>
      <c r="D8723">
        <v>4</v>
      </c>
      <c r="E8723">
        <v>0</v>
      </c>
      <c r="I8723">
        <v>4</v>
      </c>
      <c r="M8723" t="s">
        <v>8850</v>
      </c>
    </row>
    <row r="8724" spans="1:13">
      <c r="A8724" s="10">
        <v>46216</v>
      </c>
      <c r="B8724" t="s">
        <v>1</v>
      </c>
      <c r="C8724" t="s">
        <v>285</v>
      </c>
      <c r="D8724">
        <v>2</v>
      </c>
      <c r="E8724">
        <v>0</v>
      </c>
      <c r="I8724">
        <v>2</v>
      </c>
      <c r="M8724" t="s">
        <v>8851</v>
      </c>
    </row>
    <row r="8725" spans="1:13">
      <c r="A8725" s="10">
        <v>46216</v>
      </c>
      <c r="B8725" t="s">
        <v>1</v>
      </c>
      <c r="C8725" t="s">
        <v>287</v>
      </c>
      <c r="D8725">
        <v>2</v>
      </c>
      <c r="E8725">
        <v>0</v>
      </c>
      <c r="I8725">
        <v>2</v>
      </c>
      <c r="M8725" t="s">
        <v>8852</v>
      </c>
    </row>
    <row r="8726" spans="1:13">
      <c r="A8726" s="10">
        <v>46216</v>
      </c>
      <c r="B8726" t="s">
        <v>1</v>
      </c>
      <c r="C8726" t="s">
        <v>289</v>
      </c>
      <c r="D8726">
        <v>2</v>
      </c>
      <c r="E8726">
        <v>0</v>
      </c>
      <c r="I8726">
        <v>2</v>
      </c>
      <c r="M8726" t="s">
        <v>8853</v>
      </c>
    </row>
    <row r="8727" spans="1:13">
      <c r="A8727" s="10">
        <v>46216</v>
      </c>
      <c r="B8727" t="s">
        <v>1</v>
      </c>
      <c r="C8727" t="s">
        <v>291</v>
      </c>
      <c r="D8727">
        <v>2</v>
      </c>
      <c r="E8727">
        <v>0</v>
      </c>
      <c r="I8727">
        <v>2</v>
      </c>
      <c r="M8727" t="s">
        <v>8854</v>
      </c>
    </row>
    <row r="8728" spans="1:13">
      <c r="A8728" s="10">
        <v>46216</v>
      </c>
      <c r="B8728" t="s">
        <v>1</v>
      </c>
      <c r="C8728" t="s">
        <v>293</v>
      </c>
      <c r="D8728">
        <v>3</v>
      </c>
      <c r="E8728">
        <v>0</v>
      </c>
      <c r="I8728">
        <v>2</v>
      </c>
      <c r="M8728" t="s">
        <v>8855</v>
      </c>
    </row>
    <row r="8729" spans="1:13">
      <c r="A8729" s="10">
        <v>46216</v>
      </c>
      <c r="B8729" t="s">
        <v>1</v>
      </c>
      <c r="C8729" s="136" t="s">
        <v>138</v>
      </c>
      <c r="D8729">
        <v>0</v>
      </c>
      <c r="E8729">
        <v>45</v>
      </c>
      <c r="I8729">
        <v>0</v>
      </c>
      <c r="J8729">
        <v>45</v>
      </c>
      <c r="M8729" t="s">
        <v>8856</v>
      </c>
    </row>
    <row r="8730" spans="1:13">
      <c r="A8730" s="10">
        <v>46216</v>
      </c>
      <c r="B8730" t="s">
        <v>1</v>
      </c>
      <c r="C8730" s="136" t="s">
        <v>139</v>
      </c>
      <c r="D8730">
        <v>0</v>
      </c>
      <c r="E8730">
        <v>37</v>
      </c>
      <c r="I8730">
        <v>0</v>
      </c>
      <c r="J8730">
        <v>34</v>
      </c>
      <c r="M8730" t="s">
        <v>8857</v>
      </c>
    </row>
    <row r="8731" spans="1:13">
      <c r="A8731" s="10">
        <v>46216</v>
      </c>
      <c r="B8731" t="s">
        <v>1</v>
      </c>
      <c r="C8731" s="136" t="s">
        <v>140</v>
      </c>
      <c r="D8731">
        <v>0</v>
      </c>
      <c r="E8731">
        <v>25</v>
      </c>
      <c r="I8731">
        <v>0</v>
      </c>
      <c r="J8731">
        <v>21</v>
      </c>
      <c r="M8731" t="s">
        <v>8858</v>
      </c>
    </row>
    <row r="8732" spans="1:13">
      <c r="A8732" s="10">
        <v>46216</v>
      </c>
      <c r="B8732" t="s">
        <v>1</v>
      </c>
      <c r="C8732" s="136" t="s">
        <v>141</v>
      </c>
      <c r="D8732">
        <v>0</v>
      </c>
      <c r="E8732">
        <v>1</v>
      </c>
      <c r="I8732">
        <v>0</v>
      </c>
      <c r="J8732">
        <v>1</v>
      </c>
      <c r="M8732" t="s">
        <v>8859</v>
      </c>
    </row>
    <row r="8733" spans="1:13">
      <c r="A8733" s="10">
        <v>46216</v>
      </c>
      <c r="B8733" t="s">
        <v>1</v>
      </c>
      <c r="C8733" s="136" t="s">
        <v>143</v>
      </c>
      <c r="D8733">
        <v>0</v>
      </c>
      <c r="E8733">
        <v>34</v>
      </c>
      <c r="I8733">
        <v>0</v>
      </c>
      <c r="J8733">
        <v>20</v>
      </c>
      <c r="M8733" t="s">
        <v>8860</v>
      </c>
    </row>
    <row r="8734" spans="1:13">
      <c r="A8734" s="10">
        <v>46216</v>
      </c>
      <c r="B8734" t="s">
        <v>1</v>
      </c>
      <c r="C8734" s="136" t="s">
        <v>145</v>
      </c>
      <c r="D8734">
        <v>0</v>
      </c>
      <c r="E8734">
        <v>61</v>
      </c>
      <c r="I8734">
        <v>0</v>
      </c>
      <c r="J8734">
        <v>59</v>
      </c>
      <c r="M8734" t="s">
        <v>8861</v>
      </c>
    </row>
    <row r="8735" spans="1:13">
      <c r="A8735" s="10">
        <v>46216</v>
      </c>
      <c r="B8735" t="s">
        <v>1</v>
      </c>
      <c r="C8735" s="136" t="s">
        <v>8862</v>
      </c>
      <c r="D8735">
        <v>0</v>
      </c>
      <c r="E8735">
        <v>24</v>
      </c>
      <c r="I8735">
        <v>0</v>
      </c>
      <c r="J8735">
        <v>23</v>
      </c>
      <c r="M8735" t="s">
        <v>8863</v>
      </c>
    </row>
    <row r="8736" spans="1:13">
      <c r="A8736" s="10">
        <v>46216</v>
      </c>
      <c r="B8736" t="s">
        <v>1</v>
      </c>
      <c r="C8736" t="s">
        <v>302</v>
      </c>
      <c r="D8736">
        <v>2</v>
      </c>
      <c r="E8736">
        <v>0</v>
      </c>
      <c r="I8736">
        <v>2</v>
      </c>
      <c r="M8736" t="s">
        <v>8864</v>
      </c>
    </row>
    <row r="8737" spans="1:13">
      <c r="A8737" s="10">
        <v>46216</v>
      </c>
      <c r="B8737" t="s">
        <v>1</v>
      </c>
      <c r="C8737" t="s">
        <v>150</v>
      </c>
      <c r="D8737">
        <v>1</v>
      </c>
      <c r="E8737">
        <v>0</v>
      </c>
      <c r="I8737">
        <v>1</v>
      </c>
      <c r="M8737" t="s">
        <v>8865</v>
      </c>
    </row>
    <row r="8738" spans="1:13">
      <c r="A8738" s="10">
        <v>46216</v>
      </c>
      <c r="B8738" t="s">
        <v>1</v>
      </c>
      <c r="C8738" t="s">
        <v>151</v>
      </c>
      <c r="D8738">
        <v>2</v>
      </c>
      <c r="E8738">
        <v>0</v>
      </c>
      <c r="I8738">
        <v>2</v>
      </c>
      <c r="M8738" t="s">
        <v>8866</v>
      </c>
    </row>
    <row r="8739" spans="1:13">
      <c r="A8739" s="10">
        <v>46216</v>
      </c>
      <c r="B8739" t="s">
        <v>1</v>
      </c>
      <c r="C8739" t="s">
        <v>152</v>
      </c>
      <c r="D8739">
        <v>2</v>
      </c>
      <c r="E8739">
        <v>0</v>
      </c>
      <c r="I8739">
        <v>2</v>
      </c>
      <c r="M8739" t="s">
        <v>8867</v>
      </c>
    </row>
    <row r="8740" spans="1:13">
      <c r="A8740" s="10">
        <v>46216</v>
      </c>
      <c r="B8740" t="s">
        <v>1</v>
      </c>
      <c r="C8740" t="s">
        <v>153</v>
      </c>
      <c r="D8740">
        <v>2</v>
      </c>
      <c r="E8740">
        <v>0</v>
      </c>
      <c r="I8740">
        <v>2</v>
      </c>
      <c r="M8740" t="s">
        <v>8868</v>
      </c>
    </row>
    <row r="8741" spans="1:13">
      <c r="A8741" s="10">
        <v>46216</v>
      </c>
      <c r="B8741" t="s">
        <v>1</v>
      </c>
      <c r="C8741" t="s">
        <v>308</v>
      </c>
      <c r="D8741">
        <v>0</v>
      </c>
      <c r="E8741">
        <v>3</v>
      </c>
      <c r="I8741">
        <v>0</v>
      </c>
      <c r="J8741">
        <v>3</v>
      </c>
      <c r="M8741" t="s">
        <v>8869</v>
      </c>
    </row>
    <row r="8742" spans="1:13">
      <c r="A8742" s="10">
        <v>46216</v>
      </c>
      <c r="B8742" t="s">
        <v>1</v>
      </c>
      <c r="C8742" t="s">
        <v>310</v>
      </c>
      <c r="D8742">
        <v>0</v>
      </c>
      <c r="E8742">
        <v>2</v>
      </c>
      <c r="I8742">
        <v>0</v>
      </c>
      <c r="J8742">
        <v>2</v>
      </c>
      <c r="M8742" t="s">
        <v>8870</v>
      </c>
    </row>
    <row r="8743" spans="1:13">
      <c r="A8743" s="10">
        <v>46216</v>
      </c>
      <c r="B8743" t="s">
        <v>1</v>
      </c>
      <c r="C8743" t="s">
        <v>312</v>
      </c>
      <c r="D8743">
        <v>0</v>
      </c>
      <c r="E8743">
        <v>3</v>
      </c>
      <c r="I8743">
        <v>0</v>
      </c>
      <c r="J8743">
        <v>2</v>
      </c>
      <c r="M8743" t="s">
        <v>8871</v>
      </c>
    </row>
    <row r="8744" spans="1:13">
      <c r="A8744" s="10">
        <v>46216</v>
      </c>
      <c r="B8744" t="s">
        <v>1</v>
      </c>
      <c r="C8744" t="s">
        <v>314</v>
      </c>
      <c r="D8744">
        <v>1</v>
      </c>
      <c r="E8744">
        <v>0</v>
      </c>
      <c r="I8744">
        <v>1</v>
      </c>
      <c r="M8744" t="s">
        <v>8872</v>
      </c>
    </row>
    <row r="8745" spans="1:13">
      <c r="A8745" s="10">
        <v>46216</v>
      </c>
      <c r="B8745" t="s">
        <v>1</v>
      </c>
      <c r="C8745" t="s">
        <v>316</v>
      </c>
      <c r="D8745">
        <v>1</v>
      </c>
      <c r="E8745">
        <v>0</v>
      </c>
      <c r="I8745">
        <v>1</v>
      </c>
      <c r="M8745" t="s">
        <v>8873</v>
      </c>
    </row>
    <row r="8746" spans="1:13">
      <c r="A8746" s="10">
        <v>46216</v>
      </c>
      <c r="B8746" t="s">
        <v>1</v>
      </c>
      <c r="C8746" t="s">
        <v>318</v>
      </c>
      <c r="D8746">
        <v>4</v>
      </c>
      <c r="E8746">
        <v>0</v>
      </c>
      <c r="I8746">
        <v>4</v>
      </c>
      <c r="M8746" t="s">
        <v>8874</v>
      </c>
    </row>
    <row r="8747" spans="1:13">
      <c r="A8747" s="10">
        <v>46216</v>
      </c>
      <c r="B8747" t="s">
        <v>1</v>
      </c>
      <c r="C8747" t="s">
        <v>320</v>
      </c>
      <c r="D8747">
        <v>2</v>
      </c>
      <c r="E8747">
        <v>0</v>
      </c>
      <c r="I8747">
        <v>2</v>
      </c>
      <c r="M8747" t="s">
        <v>8875</v>
      </c>
    </row>
    <row r="8748" spans="1:13">
      <c r="A8748" s="10">
        <v>46216</v>
      </c>
      <c r="B8748" t="s">
        <v>1</v>
      </c>
      <c r="C8748" t="s">
        <v>322</v>
      </c>
      <c r="D8748">
        <v>0</v>
      </c>
      <c r="E8748">
        <v>0</v>
      </c>
      <c r="I8748">
        <v>0</v>
      </c>
      <c r="M8748" t="s">
        <v>8876</v>
      </c>
    </row>
    <row r="8749" spans="1:13">
      <c r="A8749" s="10">
        <v>46216</v>
      </c>
      <c r="B8749" t="s">
        <v>1</v>
      </c>
      <c r="C8749" s="136" t="s">
        <v>168</v>
      </c>
      <c r="D8749">
        <v>1</v>
      </c>
      <c r="E8749">
        <v>0</v>
      </c>
      <c r="I8749">
        <v>1</v>
      </c>
      <c r="M8749" t="s">
        <v>8877</v>
      </c>
    </row>
    <row r="8750" spans="1:13">
      <c r="A8750" s="10">
        <v>46216</v>
      </c>
      <c r="B8750" t="s">
        <v>1</v>
      </c>
      <c r="C8750" s="136" t="s">
        <v>170</v>
      </c>
      <c r="D8750">
        <v>1</v>
      </c>
      <c r="E8750">
        <v>0</v>
      </c>
      <c r="I8750">
        <v>1</v>
      </c>
      <c r="M8750" t="s">
        <v>8878</v>
      </c>
    </row>
    <row r="8751" spans="1:13">
      <c r="A8751" s="10">
        <v>46216</v>
      </c>
      <c r="B8751" t="s">
        <v>1</v>
      </c>
      <c r="C8751" s="136" t="s">
        <v>171</v>
      </c>
      <c r="D8751">
        <v>2</v>
      </c>
      <c r="E8751">
        <v>0</v>
      </c>
      <c r="I8751">
        <v>2</v>
      </c>
      <c r="M8751" t="s">
        <v>8879</v>
      </c>
    </row>
    <row r="8752" spans="1:13">
      <c r="A8752" s="10">
        <v>46216</v>
      </c>
      <c r="B8752" t="s">
        <v>1</v>
      </c>
      <c r="C8752" s="136" t="s">
        <v>172</v>
      </c>
      <c r="D8752">
        <v>1</v>
      </c>
      <c r="E8752">
        <v>0</v>
      </c>
      <c r="I8752">
        <v>1</v>
      </c>
      <c r="M8752" t="s">
        <v>8880</v>
      </c>
    </row>
    <row r="8753" spans="1:13">
      <c r="A8753" s="10">
        <v>46216</v>
      </c>
      <c r="B8753" t="s">
        <v>1</v>
      </c>
      <c r="C8753" s="136" t="s">
        <v>173</v>
      </c>
      <c r="D8753">
        <v>0</v>
      </c>
      <c r="E8753">
        <v>0</v>
      </c>
      <c r="I8753">
        <v>0</v>
      </c>
      <c r="M8753" t="s">
        <v>8881</v>
      </c>
    </row>
    <row r="8754" spans="1:13">
      <c r="A8754" s="10">
        <v>46216</v>
      </c>
      <c r="B8754" t="s">
        <v>1</v>
      </c>
      <c r="C8754" t="s">
        <v>176</v>
      </c>
      <c r="D8754">
        <v>0</v>
      </c>
      <c r="E8754">
        <v>11</v>
      </c>
      <c r="I8754">
        <v>0</v>
      </c>
      <c r="J8754">
        <v>11</v>
      </c>
      <c r="M8754" t="s">
        <v>8882</v>
      </c>
    </row>
    <row r="8755" spans="1:13">
      <c r="A8755" s="10">
        <v>46216</v>
      </c>
      <c r="B8755" t="s">
        <v>1</v>
      </c>
      <c r="C8755" t="s">
        <v>178</v>
      </c>
      <c r="D8755">
        <v>0</v>
      </c>
      <c r="E8755">
        <v>18</v>
      </c>
      <c r="H8755">
        <v>1</v>
      </c>
      <c r="I8755">
        <v>0</v>
      </c>
      <c r="J8755">
        <v>17</v>
      </c>
      <c r="M8755" t="s">
        <v>8883</v>
      </c>
    </row>
    <row r="8756" spans="1:13">
      <c r="A8756" s="10">
        <v>46216</v>
      </c>
      <c r="B8756" t="s">
        <v>1</v>
      </c>
      <c r="C8756" t="s">
        <v>179</v>
      </c>
      <c r="D8756">
        <v>0</v>
      </c>
      <c r="E8756">
        <v>17</v>
      </c>
      <c r="I8756">
        <v>0</v>
      </c>
      <c r="J8756">
        <v>17</v>
      </c>
      <c r="M8756" t="s">
        <v>8884</v>
      </c>
    </row>
    <row r="8757" spans="1:13">
      <c r="A8757" s="10">
        <v>46216</v>
      </c>
      <c r="B8757" t="s">
        <v>1</v>
      </c>
      <c r="C8757" t="s">
        <v>180</v>
      </c>
      <c r="D8757">
        <v>0</v>
      </c>
      <c r="E8757">
        <v>19</v>
      </c>
      <c r="H8757">
        <v>1</v>
      </c>
      <c r="I8757">
        <v>0</v>
      </c>
      <c r="J8757">
        <v>18</v>
      </c>
      <c r="M8757" t="s">
        <v>8885</v>
      </c>
    </row>
    <row r="8758" spans="1:13">
      <c r="A8758" s="10">
        <v>46216</v>
      </c>
      <c r="B8758" t="s">
        <v>1</v>
      </c>
      <c r="C8758" s="136" t="s">
        <v>8886</v>
      </c>
      <c r="D8758">
        <v>1</v>
      </c>
      <c r="E8758">
        <v>190</v>
      </c>
      <c r="I8758">
        <v>1</v>
      </c>
      <c r="J8758">
        <v>190</v>
      </c>
      <c r="M8758" t="s">
        <v>8887</v>
      </c>
    </row>
    <row r="8759" spans="1:13">
      <c r="A8759" s="10">
        <v>46216</v>
      </c>
      <c r="B8759" t="s">
        <v>1</v>
      </c>
      <c r="C8759" s="136" t="s">
        <v>8888</v>
      </c>
      <c r="D8759">
        <v>1</v>
      </c>
      <c r="E8759">
        <v>44</v>
      </c>
      <c r="I8759">
        <v>1</v>
      </c>
      <c r="J8759">
        <v>55</v>
      </c>
      <c r="M8759" t="s">
        <v>8889</v>
      </c>
    </row>
    <row r="8760" spans="1:13">
      <c r="A8760" s="10">
        <v>46216</v>
      </c>
      <c r="B8760" t="s">
        <v>1</v>
      </c>
      <c r="C8760" s="136" t="s">
        <v>8890</v>
      </c>
      <c r="D8760">
        <v>1</v>
      </c>
      <c r="E8760">
        <v>14</v>
      </c>
      <c r="I8760">
        <v>1</v>
      </c>
      <c r="J8760">
        <v>14</v>
      </c>
      <c r="M8760" t="s">
        <v>8891</v>
      </c>
    </row>
    <row r="8761" spans="1:13">
      <c r="A8761" s="10">
        <v>46216</v>
      </c>
      <c r="B8761" t="s">
        <v>1</v>
      </c>
      <c r="C8761" s="136" t="s">
        <v>8892</v>
      </c>
      <c r="D8761">
        <v>0</v>
      </c>
      <c r="E8761">
        <v>760</v>
      </c>
      <c r="I8761">
        <v>0</v>
      </c>
      <c r="J8761">
        <v>749</v>
      </c>
      <c r="M8761" t="s">
        <v>8893</v>
      </c>
    </row>
    <row r="8762" spans="1:13">
      <c r="A8762" s="10">
        <v>46216</v>
      </c>
      <c r="B8762" t="s">
        <v>1</v>
      </c>
      <c r="C8762" t="s">
        <v>337</v>
      </c>
      <c r="D8762">
        <v>2</v>
      </c>
      <c r="E8762">
        <v>228</v>
      </c>
      <c r="I8762">
        <v>2</v>
      </c>
      <c r="J8762">
        <v>154</v>
      </c>
      <c r="M8762" t="s">
        <v>8894</v>
      </c>
    </row>
    <row r="8763" spans="1:13">
      <c r="A8763" s="10">
        <v>46216</v>
      </c>
      <c r="B8763" t="s">
        <v>1</v>
      </c>
      <c r="C8763" t="s">
        <v>339</v>
      </c>
      <c r="D8763">
        <v>0</v>
      </c>
      <c r="E8763">
        <v>0</v>
      </c>
      <c r="I8763">
        <v>0</v>
      </c>
      <c r="J8763">
        <v>0</v>
      </c>
      <c r="M8763" t="s">
        <v>8895</v>
      </c>
    </row>
    <row r="8764" spans="1:13">
      <c r="A8764" s="10">
        <v>46216</v>
      </c>
      <c r="B8764" t="s">
        <v>1</v>
      </c>
      <c r="C8764" s="136" t="s">
        <v>8896</v>
      </c>
      <c r="D8764">
        <v>1</v>
      </c>
      <c r="E8764">
        <v>113</v>
      </c>
      <c r="I8764">
        <v>1</v>
      </c>
      <c r="J8764">
        <v>98</v>
      </c>
      <c r="M8764" t="s">
        <v>8897</v>
      </c>
    </row>
    <row r="8765" spans="1:13">
      <c r="A8765" s="10">
        <v>46216</v>
      </c>
      <c r="B8765" t="s">
        <v>1</v>
      </c>
      <c r="C8765" s="136" t="s">
        <v>8898</v>
      </c>
      <c r="D8765">
        <v>0</v>
      </c>
      <c r="E8765">
        <v>447</v>
      </c>
      <c r="I8765">
        <v>0</v>
      </c>
      <c r="J8765">
        <v>421</v>
      </c>
      <c r="M8765" t="s">
        <v>8899</v>
      </c>
    </row>
    <row r="8766" spans="1:13">
      <c r="A8766" s="10">
        <v>46216</v>
      </c>
      <c r="B8766" t="s">
        <v>1</v>
      </c>
      <c r="C8766" s="136" t="s">
        <v>194</v>
      </c>
      <c r="D8766">
        <v>1</v>
      </c>
      <c r="E8766">
        <v>19</v>
      </c>
      <c r="I8766">
        <v>1</v>
      </c>
      <c r="J8766">
        <v>19</v>
      </c>
      <c r="M8766" t="s">
        <v>8900</v>
      </c>
    </row>
    <row r="8767" spans="1:13">
      <c r="A8767" s="10">
        <v>46216</v>
      </c>
      <c r="B8767" t="s">
        <v>1</v>
      </c>
      <c r="C8767" s="136" t="s">
        <v>196</v>
      </c>
      <c r="D8767">
        <v>1</v>
      </c>
      <c r="E8767">
        <v>0</v>
      </c>
      <c r="I8767">
        <v>1</v>
      </c>
      <c r="J8767">
        <v>0</v>
      </c>
      <c r="M8767" t="s">
        <v>8901</v>
      </c>
    </row>
  </sheetData>
  <autoFilter ref="A3:R117" xr:uid="{00000000-0009-0000-0000-000000000000}"/>
  <mergeCells count="5">
    <mergeCell ref="J1:R1"/>
    <mergeCell ref="A2:R2"/>
    <mergeCell ref="G60:H60"/>
    <mergeCell ref="L60:M60"/>
    <mergeCell ref="A119:M119"/>
  </mergeCells>
  <conditionalFormatting sqref="P4:P12">
    <cfRule type="expression" dxfId="14" priority="2">
      <formula>AND(P4&lt;&gt;"",P4&lt;0)</formula>
    </cfRule>
  </conditionalFormatting>
  <conditionalFormatting sqref="P13:P16 P59:P117">
    <cfRule type="expression" dxfId="13" priority="5">
      <formula>AND(P13&lt;&gt;"",P13=0)</formula>
    </cfRule>
    <cfRule type="expression" dxfId="12" priority="6">
      <formula>AND(P13&lt;&gt;"",P13&lt;&gt;0)</formula>
    </cfRule>
  </conditionalFormatting>
  <conditionalFormatting sqref="P17:P18">
    <cfRule type="expression" dxfId="11" priority="3">
      <formula>AND(P17&lt;&gt;"",P17&lt;0)</formula>
    </cfRule>
  </conditionalFormatting>
  <conditionalFormatting sqref="P19">
    <cfRule type="expression" dxfId="10" priority="7">
      <formula>AND(P19&lt;&gt;"",P19=0)</formula>
    </cfRule>
    <cfRule type="expression" dxfId="9" priority="8">
      <formula>AND(P19&lt;&gt;"",P19&lt;&gt;0)</formula>
    </cfRule>
  </conditionalFormatting>
  <conditionalFormatting sqref="P29:P31">
    <cfRule type="expression" dxfId="8" priority="9">
      <formula>AND(P29&lt;&gt;"",P29=0)</formula>
    </cfRule>
    <cfRule type="expression" dxfId="7" priority="10">
      <formula>AND(P29&lt;&gt;"",P29&lt;&gt;0)</formula>
    </cfRule>
  </conditionalFormatting>
  <conditionalFormatting sqref="P32:P54">
    <cfRule type="expression" dxfId="6" priority="4">
      <formula>AND(P32&lt;&gt;"",P32&lt;0)</formula>
    </cfRule>
  </conditionalFormatting>
  <conditionalFormatting sqref="R4:R117">
    <cfRule type="expression" dxfId="5" priority="11">
      <formula>R4="⚠️ ต่ำ"</formula>
    </cfRule>
    <cfRule type="expression" dxfId="4" priority="12">
      <formula>R4="✓ ปกติ"</formula>
    </cfRule>
  </conditionalFormatting>
  <dataValidations count="2">
    <dataValidation type="date" allowBlank="1" promptTitle="📅 วันที่" prompt="กรอกวันที่ เช่น 25/06/2568" sqref="F1" xr:uid="{00000000-0002-0000-0000-000000000000}">
      <formula1>0</formula1>
      <formula2>0</formula2>
    </dataValidation>
    <dataValidation type="list" allowBlank="1" promptTitle="🏪 สาขา" prompt="เลือกสาขา" sqref="I1" xr:uid="{00000000-0002-0000-0000-000001000000}">
      <formula1>"SND,NVP,KCN,NCD"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6"/>
  <sheetViews>
    <sheetView tabSelected="1" zoomScale="135" zoomScaleNormal="135" workbookViewId="0">
      <pane ySplit="3" topLeftCell="A98" activePane="bottomLeft" state="frozen"/>
      <selection pane="bottomLeft" activeCell="E102" sqref="E102"/>
    </sheetView>
  </sheetViews>
  <sheetFormatPr baseColWidth="10" defaultColWidth="8.83203125" defaultRowHeight="15"/>
  <cols>
    <col min="1" max="1" width="20" customWidth="1"/>
    <col min="2" max="2" width="22" customWidth="1"/>
    <col min="3" max="3" width="9" customWidth="1"/>
    <col min="4" max="8" width="8" customWidth="1"/>
    <col min="9" max="10" width="9" customWidth="1"/>
    <col min="11" max="11" width="7" customWidth="1"/>
    <col min="12" max="12" width="28.33203125" customWidth="1"/>
  </cols>
  <sheetData>
    <row r="1" spans="1:12" ht="24" customHeight="1">
      <c r="A1" s="8" t="s">
        <v>8902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7.75" customHeight="1">
      <c r="A2" s="137" t="s">
        <v>8903</v>
      </c>
      <c r="B2" s="138">
        <v>46217</v>
      </c>
      <c r="C2" s="139"/>
      <c r="D2" s="137" t="s">
        <v>8904</v>
      </c>
      <c r="E2" s="140" t="s">
        <v>1</v>
      </c>
      <c r="F2" s="139"/>
      <c r="G2" s="139"/>
      <c r="H2" s="139"/>
      <c r="I2" s="139"/>
      <c r="J2" s="139"/>
      <c r="K2" s="139"/>
      <c r="L2" s="139"/>
    </row>
    <row r="3" spans="1:12" ht="31.5" customHeight="1">
      <c r="A3" s="141" t="s">
        <v>6</v>
      </c>
      <c r="B3" s="141" t="s">
        <v>7</v>
      </c>
      <c r="C3" s="141" t="s">
        <v>8905</v>
      </c>
      <c r="D3" s="142" t="s">
        <v>8906</v>
      </c>
      <c r="E3" s="142" t="s">
        <v>8907</v>
      </c>
      <c r="F3" s="143" t="s">
        <v>8908</v>
      </c>
      <c r="G3" s="143" t="s">
        <v>8909</v>
      </c>
      <c r="H3" s="144" t="s">
        <v>8910</v>
      </c>
      <c r="I3" s="145" t="s">
        <v>8911</v>
      </c>
      <c r="J3" s="145" t="s">
        <v>8912</v>
      </c>
      <c r="K3" s="141" t="s">
        <v>16</v>
      </c>
      <c r="L3" s="141" t="s">
        <v>17</v>
      </c>
    </row>
    <row r="4" spans="1:12" ht="18" customHeight="1">
      <c r="A4" s="146" t="s">
        <v>22</v>
      </c>
      <c r="B4" s="147" t="s">
        <v>23</v>
      </c>
      <c r="C4" s="148" t="s">
        <v>24</v>
      </c>
      <c r="D4" s="149">
        <f>IFERROR(IF(INDEX(บันทึกสต็อครายวัน!$D$122:$D$9999,MATCH(TEXT($B$2,"YYYYMMDD")&amp;"|"&amp;$E$2&amp;"|"&amp;B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4)*บันทึกสต็อครายวัน!$A$122:$A$9999)),"YYYYMMDD")&amp;"|"&amp;$E$2&amp;"|"&amp;B4,บันทึกสต็อครายวัน!$M$122:$M$9999,0))),""),INDEX(บันทึกสต็อครายวัน!$D$122:$D$9999,MATCH(TEXT($B$2,"YYYYMMDD")&amp;"|"&amp;$E$2&amp;"|"&amp;B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4)*บันทึกสต็อครายวัน!$A$122:$A$9999)),"YYYYMMDD")&amp;"|"&amp;$E$2&amp;"|"&amp;B4,บันทึกสต็อครายวัน!$M$122:$M$9999,0))),""))</f>
        <v>3</v>
      </c>
      <c r="E4" s="150">
        <f>IFERROR(IF(INDEX(บันทึกสต็อครายวัน!$E$122:$E$9999,MATCH(TEXT($B$2,"YYYYMMDD")&amp;"|"&amp;$E$2&amp;"|"&amp;B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4)*บันทึกสต็อครายวัน!$A$122:$A$9999)),"YYYYMMDD")&amp;"|"&amp;$E$2&amp;"|"&amp;B4,บันทึกสต็อครายวัน!$M$122:$M$9999,0))),""),INDEX(บันทึกสต็อครายวัน!$E$122:$E$9999,MATCH(TEXT($B$2,"YYYYMMDD")&amp;"|"&amp;$E$2&amp;"|"&amp;B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4)*บันทึกสต็อครายวัน!$A$122:$A$9999)),"YYYYMMDD")&amp;"|"&amp;$E$2&amp;"|"&amp;B4,บันทึกสต็อครายวัน!$M$122:$M$9999,0))),""))</f>
        <v>750</v>
      </c>
      <c r="F4" s="149" t="str">
        <f>IFERROR(IF(ISBLANK(INDEX(บันทึกสต็อครายวัน!$F$122:$F$9999,MATCH(TEXT($B$2,"YYYYMMDD")&amp;"|"&amp;$E$2&amp;"|"&amp;B4,บันทึกสต็อครายวัน!$M$122:$M$9999,0))),"",INDEX(บันทึกสต็อครายวัน!$F$122:$F$9999,MATCH(TEXT($B$2,"YYYYMMDD")&amp;"|"&amp;$E$2&amp;"|"&amp;B4,บันทึกสต็อครายวัน!$M$122:$M$9999,0))),"")</f>
        <v/>
      </c>
      <c r="G4" s="151" t="str">
        <f>IFERROR(IF(ISBLANK(INDEX(บันทึกสต็อครายวัน!$G$122:$G$9999,MATCH(TEXT($B$2,"YYYYMMDD")&amp;"|"&amp;$E$2&amp;"|"&amp;B4,บันทึกสต็อครายวัน!$M$122:$M$9999,0))),"",INDEX(บันทึกสต็อครายวัน!$G$122:$G$9999,MATCH(TEXT($B$2,"YYYYMMDD")&amp;"|"&amp;$E$2&amp;"|"&amp;B4,บันทึกสต็อครายวัน!$M$122:$M$9999,0))),"")</f>
        <v/>
      </c>
      <c r="H4" s="152" t="str">
        <f>IFERROR(IF(ISBLANK(INDEX(บันทึกสต็อครายวัน!$H$122:$H$9999,MATCH(TEXT($B$2,"YYYYMMDD")&amp;"|"&amp;$E$2&amp;"|"&amp;B4,บันทึกสต็อครายวัน!$M$122:$M$9999,0))),"",INDEX(บันทึกสต็อครายวัน!$H$122:$H$9999,MATCH(TEXT($B$2,"YYYYMMDD")&amp;"|"&amp;$E$2&amp;"|"&amp;B4,บันทึกสต็อครายวัน!$M$122:$M$9999,0))),"")</f>
        <v/>
      </c>
      <c r="I4" s="153" t="str">
        <f>IFERROR(IF(ISBLANK(INDEX(บันทึกสต็อครายวัน!$I$122:$I$9999,MATCH(TEXT($B$2,"YYYYMMDD")&amp;"|"&amp;$E$2&amp;"|"&amp;B4,บันทึกสต็อครายวัน!$M$122:$M$9999,0))),"",INDEX(บันทึกสต็อครายวัน!$I$122:$I$9999,MATCH(TEXT($B$2,"YYYYMMDD")&amp;"|"&amp;$E$2&amp;"|"&amp;B4,บันทึกสต็อครายวัน!$M$122:$M$9999,0))),"")</f>
        <v/>
      </c>
      <c r="J4" s="153" t="str">
        <f>IFERROR(IF(ISBLANK(INDEX(บันทึกสต็อครายวัน!$J$122:$J$9999,MATCH(TEXT($B$2,"YYYYMMDD")&amp;"|"&amp;$E$2&amp;"|"&amp;B4,บันทึกสต็อครายวัน!$M$122:$M$9999,0))),"",INDEX(บันทึกสต็อครายวัน!$J$122:$J$9999,MATCH(TEXT($B$2,"YYYYMMDD")&amp;"|"&amp;$E$2&amp;"|"&amp;B4,บันทึกสต็อครายวัน!$M$122:$M$9999,0))),"")</f>
        <v/>
      </c>
      <c r="K4" s="154" t="str">
        <f>IFERROR(IF(ISBLANK(INDEX(บันทึกสต็อครายวัน!$K$122:$K$9999,MATCH(TEXT($B$2,"YYYYMMDD")&amp;"|"&amp;$E$2&amp;"|"&amp;B4,บันทึกสต็อครายวัน!$M$122:$M$9999,0))),"",INDEX(บันทึกสต็อครายวัน!$K$122:$K$9999,MATCH(TEXT($B$2,"YYYYMMDD")&amp;"|"&amp;$E$2&amp;"|"&amp;B4,บันทึกสต็อครายวัน!$M$122:$M$9999,0))),"")</f>
        <v/>
      </c>
      <c r="L4" s="154" t="str">
        <f>IFERROR(IF(ISBLANK(INDEX(บันทึกสต็อครายวัน!$L$122:$L$9999,MATCH(TEXT($B$2,"YYYYMMDD")&amp;"|"&amp;$E$2&amp;"|"&amp;B4,บันทึกสต็อครายวัน!$M$122:$M$9999,0))),"",INDEX(บันทึกสต็อครายวัน!$L$122:$L$9999,MATCH(TEXT($B$2,"YYYYMMDD")&amp;"|"&amp;$E$2&amp;"|"&amp;B4,บันทึกสต็อครายวัน!$M$122:$M$9999,0))),"")</f>
        <v/>
      </c>
    </row>
    <row r="5" spans="1:12" ht="18" customHeight="1">
      <c r="A5" s="146" t="s">
        <v>22</v>
      </c>
      <c r="B5" s="147" t="s">
        <v>26</v>
      </c>
      <c r="C5" s="148" t="s">
        <v>24</v>
      </c>
      <c r="D5" s="149">
        <f>IFERROR(IF(INDEX(บันทึกสต็อครายวัน!$D$122:$D$9999,MATCH(TEXT($B$2,"YYYYMMDD")&amp;"|"&amp;$E$2&amp;"|"&amp;B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5)*บันทึกสต็อครายวัน!$A$122:$A$9999)),"YYYYMMDD")&amp;"|"&amp;$E$2&amp;"|"&amp;B5,บันทึกสต็อครายวัน!$M$122:$M$9999,0))),""),INDEX(บันทึกสต็อครายวัน!$D$122:$D$9999,MATCH(TEXT($B$2,"YYYYMMDD")&amp;"|"&amp;$E$2&amp;"|"&amp;B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5)*บันทึกสต็อครายวัน!$A$122:$A$9999)),"YYYYMMDD")&amp;"|"&amp;$E$2&amp;"|"&amp;B5,บันทึกสต็อครายวัน!$M$122:$M$9999,0))),""))</f>
        <v>1</v>
      </c>
      <c r="E5" s="150">
        <f>IFERROR(IF(INDEX(บันทึกสต็อครายวัน!$E$122:$E$9999,MATCH(TEXT($B$2,"YYYYMMDD")&amp;"|"&amp;$E$2&amp;"|"&amp;B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5)*บันทึกสต็อครายวัน!$A$122:$A$9999)),"YYYYMMDD")&amp;"|"&amp;$E$2&amp;"|"&amp;B5,บันทึกสต็อครายวัน!$M$122:$M$9999,0))),""),INDEX(บันทึกสต็อครายวัน!$E$122:$E$9999,MATCH(TEXT($B$2,"YYYYMMDD")&amp;"|"&amp;$E$2&amp;"|"&amp;B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5)*บันทึกสต็อครายวัน!$A$122:$A$9999)),"YYYYMMDD")&amp;"|"&amp;$E$2&amp;"|"&amp;B5,บันทึกสต็อครายวัน!$M$122:$M$9999,0))),""))</f>
        <v>616</v>
      </c>
      <c r="F5" s="149" t="str">
        <f>IFERROR(IF(ISBLANK(INDEX(บันทึกสต็อครายวัน!$F$122:$F$9999,MATCH(TEXT($B$2,"YYYYMMDD")&amp;"|"&amp;$E$2&amp;"|"&amp;B5,บันทึกสต็อครายวัน!$M$122:$M$9999,0))),"",INDEX(บันทึกสต็อครายวัน!$F$122:$F$9999,MATCH(TEXT($B$2,"YYYYMMDD")&amp;"|"&amp;$E$2&amp;"|"&amp;B5,บันทึกสต็อครายวัน!$M$122:$M$9999,0))),"")</f>
        <v/>
      </c>
      <c r="G5" s="149" t="str">
        <f>IFERROR(IF(ISBLANK(INDEX(บันทึกสต็อครายวัน!$G$122:$G$9999,MATCH(TEXT($B$2,"YYYYMMDD")&amp;"|"&amp;$E$2&amp;"|"&amp;B5,บันทึกสต็อครายวัน!$M$122:$M$9999,0))),"",INDEX(บันทึกสต็อครายวัน!$G$122:$G$9999,MATCH(TEXT($B$2,"YYYYMMDD")&amp;"|"&amp;$E$2&amp;"|"&amp;B5,บันทึกสต็อครายวัน!$M$122:$M$9999,0))),"")</f>
        <v/>
      </c>
      <c r="H5" s="152" t="str">
        <f>IFERROR(IF(ISBLANK(INDEX(บันทึกสต็อครายวัน!$H$122:$H$9999,MATCH(TEXT($B$2,"YYYYMMDD")&amp;"|"&amp;$E$2&amp;"|"&amp;B5,บันทึกสต็อครายวัน!$M$122:$M$9999,0))),"",INDEX(บันทึกสต็อครายวัน!$H$122:$H$9999,MATCH(TEXT($B$2,"YYYYMMDD")&amp;"|"&amp;$E$2&amp;"|"&amp;B5,บันทึกสต็อครายวัน!$M$122:$M$9999,0))),"")</f>
        <v/>
      </c>
      <c r="I5" s="153" t="str">
        <f>IFERROR(IF(ISBLANK(INDEX(บันทึกสต็อครายวัน!$I$122:$I$9999,MATCH(TEXT($B$2,"YYYYMMDD")&amp;"|"&amp;$E$2&amp;"|"&amp;B5,บันทึกสต็อครายวัน!$M$122:$M$9999,0))),"",INDEX(บันทึกสต็อครายวัน!$I$122:$I$9999,MATCH(TEXT($B$2,"YYYYMMDD")&amp;"|"&amp;$E$2&amp;"|"&amp;B5,บันทึกสต็อครายวัน!$M$122:$M$9999,0))),"")</f>
        <v/>
      </c>
      <c r="J5" s="153" t="str">
        <f>IFERROR(IF(ISBLANK(INDEX(บันทึกสต็อครายวัน!$J$122:$J$9999,MATCH(TEXT($B$2,"YYYYMMDD")&amp;"|"&amp;$E$2&amp;"|"&amp;B5,บันทึกสต็อครายวัน!$M$122:$M$9999,0))),"",INDEX(บันทึกสต็อครายวัน!$J$122:$J$9999,MATCH(TEXT($B$2,"YYYYMMDD")&amp;"|"&amp;$E$2&amp;"|"&amp;B5,บันทึกสต็อครายวัน!$M$122:$M$9999,0))),"")</f>
        <v/>
      </c>
      <c r="K5" s="154" t="str">
        <f>IFERROR(IF(ISBLANK(INDEX(บันทึกสต็อครายวัน!$K$122:$K$9999,MATCH(TEXT($B$2,"YYYYMMDD")&amp;"|"&amp;$E$2&amp;"|"&amp;B5,บันทึกสต็อครายวัน!$M$122:$M$9999,0))),"",INDEX(บันทึกสต็อครายวัน!$K$122:$K$9999,MATCH(TEXT($B$2,"YYYYMMDD")&amp;"|"&amp;$E$2&amp;"|"&amp;B5,บันทึกสต็อครายวัน!$M$122:$M$9999,0))),"")</f>
        <v/>
      </c>
      <c r="L5" s="154" t="str">
        <f>IFERROR(IF(ISBLANK(INDEX(บันทึกสต็อครายวัน!$L$122:$L$9999,MATCH(TEXT($B$2,"YYYYMMDD")&amp;"|"&amp;$E$2&amp;"|"&amp;B5,บันทึกสต็อครายวัน!$M$122:$M$9999,0))),"",INDEX(บันทึกสต็อครายวัน!$L$122:$L$9999,MATCH(TEXT($B$2,"YYYYMMDD")&amp;"|"&amp;$E$2&amp;"|"&amp;B5,บันทึกสต็อครายวัน!$M$122:$M$9999,0))),"")</f>
        <v/>
      </c>
    </row>
    <row r="6" spans="1:12" ht="18" customHeight="1">
      <c r="A6" s="146" t="s">
        <v>22</v>
      </c>
      <c r="B6" s="147" t="s">
        <v>27</v>
      </c>
      <c r="C6" s="148" t="s">
        <v>24</v>
      </c>
      <c r="D6" s="149">
        <f>IFERROR(IF(INDEX(บันทึกสต็อครายวัน!$D$122:$D$9999,MATCH(TEXT($B$2,"YYYYMMDD")&amp;"|"&amp;$E$2&amp;"|"&amp;B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6)*บันทึกสต็อครายวัน!$A$122:$A$9999)),"YYYYMMDD")&amp;"|"&amp;$E$2&amp;"|"&amp;B6,บันทึกสต็อครายวัน!$M$122:$M$9999,0))),""),INDEX(บันทึกสต็อครายวัน!$D$122:$D$9999,MATCH(TEXT($B$2,"YYYYMMDD")&amp;"|"&amp;$E$2&amp;"|"&amp;B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6)*บันทึกสต็อครายวัน!$A$122:$A$9999)),"YYYYMMDD")&amp;"|"&amp;$E$2&amp;"|"&amp;B6,บันทึกสต็อครายวัน!$M$122:$M$9999,0))),""))</f>
        <v>1</v>
      </c>
      <c r="E6" s="150">
        <f>IFERROR(IF(INDEX(บันทึกสต็อครายวัน!$E$122:$E$9999,MATCH(TEXT($B$2,"YYYYMMDD")&amp;"|"&amp;$E$2&amp;"|"&amp;B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6)*บันทึกสต็อครายวัน!$A$122:$A$9999)),"YYYYMMDD")&amp;"|"&amp;$E$2&amp;"|"&amp;B6,บันทึกสต็อครายวัน!$M$122:$M$9999,0))),""),INDEX(บันทึกสต็อครายวัน!$E$122:$E$9999,MATCH(TEXT($B$2,"YYYYMMDD")&amp;"|"&amp;$E$2&amp;"|"&amp;B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6)*บันทึกสต็อครายวัน!$A$122:$A$9999)),"YYYYMMDD")&amp;"|"&amp;$E$2&amp;"|"&amp;B6,บันทึกสต็อครายวัน!$M$122:$M$9999,0))),""))</f>
        <v>1180</v>
      </c>
      <c r="F6" s="149" t="str">
        <f>IFERROR(IF(ISBLANK(INDEX(บันทึกสต็อครายวัน!$F$122:$F$9999,MATCH(TEXT($B$2,"YYYYMMDD")&amp;"|"&amp;$E$2&amp;"|"&amp;B6,บันทึกสต็อครายวัน!$M$122:$M$9999,0))),"",INDEX(บันทึกสต็อครายวัน!$F$122:$F$9999,MATCH(TEXT($B$2,"YYYYMMDD")&amp;"|"&amp;$E$2&amp;"|"&amp;B6,บันทึกสต็อครายวัน!$M$122:$M$9999,0))),"")</f>
        <v/>
      </c>
      <c r="G6" s="149" t="str">
        <f>IFERROR(IF(ISBLANK(INDEX(บันทึกสต็อครายวัน!$G$122:$G$9999,MATCH(TEXT($B$2,"YYYYMMDD")&amp;"|"&amp;$E$2&amp;"|"&amp;B6,บันทึกสต็อครายวัน!$M$122:$M$9999,0))),"",INDEX(บันทึกสต็อครายวัน!$G$122:$G$9999,MATCH(TEXT($B$2,"YYYYMMDD")&amp;"|"&amp;$E$2&amp;"|"&amp;B6,บันทึกสต็อครายวัน!$M$122:$M$9999,0))),"")</f>
        <v/>
      </c>
      <c r="H6" s="152" t="str">
        <f>IFERROR(IF(ISBLANK(INDEX(บันทึกสต็อครายวัน!$H$122:$H$9999,MATCH(TEXT($B$2,"YYYYMMDD")&amp;"|"&amp;$E$2&amp;"|"&amp;B6,บันทึกสต็อครายวัน!$M$122:$M$9999,0))),"",INDEX(บันทึกสต็อครายวัน!$H$122:$H$9999,MATCH(TEXT($B$2,"YYYYMMDD")&amp;"|"&amp;$E$2&amp;"|"&amp;B6,บันทึกสต็อครายวัน!$M$122:$M$9999,0))),"")</f>
        <v/>
      </c>
      <c r="I6" s="153" t="str">
        <f>IFERROR(IF(ISBLANK(INDEX(บันทึกสต็อครายวัน!$I$122:$I$9999,MATCH(TEXT($B$2,"YYYYMMDD")&amp;"|"&amp;$E$2&amp;"|"&amp;B6,บันทึกสต็อครายวัน!$M$122:$M$9999,0))),"",INDEX(บันทึกสต็อครายวัน!$I$122:$I$9999,MATCH(TEXT($B$2,"YYYYMMDD")&amp;"|"&amp;$E$2&amp;"|"&amp;B6,บันทึกสต็อครายวัน!$M$122:$M$9999,0))),"")</f>
        <v/>
      </c>
      <c r="J6" s="153" t="str">
        <f>IFERROR(IF(ISBLANK(INDEX(บันทึกสต็อครายวัน!$J$122:$J$9999,MATCH(TEXT($B$2,"YYYYMMDD")&amp;"|"&amp;$E$2&amp;"|"&amp;B6,บันทึกสต็อครายวัน!$M$122:$M$9999,0))),"",INDEX(บันทึกสต็อครายวัน!$J$122:$J$9999,MATCH(TEXT($B$2,"YYYYMMDD")&amp;"|"&amp;$E$2&amp;"|"&amp;B6,บันทึกสต็อครายวัน!$M$122:$M$9999,0))),"")</f>
        <v/>
      </c>
      <c r="K6" s="154" t="str">
        <f>IFERROR(IF(ISBLANK(INDEX(บันทึกสต็อครายวัน!$K$122:$K$9999,MATCH(TEXT($B$2,"YYYYMMDD")&amp;"|"&amp;$E$2&amp;"|"&amp;B6,บันทึกสต็อครายวัน!$M$122:$M$9999,0))),"",INDEX(บันทึกสต็อครายวัน!$K$122:$K$9999,MATCH(TEXT($B$2,"YYYYMMDD")&amp;"|"&amp;$E$2&amp;"|"&amp;B6,บันทึกสต็อครายวัน!$M$122:$M$9999,0))),"")</f>
        <v/>
      </c>
      <c r="L6" s="154" t="str">
        <f>IFERROR(IF(ISBLANK(INDEX(บันทึกสต็อครายวัน!$L$122:$L$9999,MATCH(TEXT($B$2,"YYYYMMDD")&amp;"|"&amp;$E$2&amp;"|"&amp;B6,บันทึกสต็อครายวัน!$M$122:$M$9999,0))),"",INDEX(บันทึกสต็อครายวัน!$L$122:$L$9999,MATCH(TEXT($B$2,"YYYYMMDD")&amp;"|"&amp;$E$2&amp;"|"&amp;B6,บันทึกสต็อครายวัน!$M$122:$M$9999,0))),"")</f>
        <v/>
      </c>
    </row>
    <row r="7" spans="1:12" ht="18" customHeight="1">
      <c r="A7" s="146" t="s">
        <v>22</v>
      </c>
      <c r="B7" s="147" t="s">
        <v>28</v>
      </c>
      <c r="C7" s="148" t="s">
        <v>24</v>
      </c>
      <c r="D7" s="149">
        <f>IFERROR(IF(INDEX(บันทึกสต็อครายวัน!$D$122:$D$9999,MATCH(TEXT($B$2,"YYYYMMDD")&amp;"|"&amp;$E$2&amp;"|"&amp;B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7)*บันทึกสต็อครายวัน!$A$122:$A$9999)),"YYYYMMDD")&amp;"|"&amp;$E$2&amp;"|"&amp;B7,บันทึกสต็อครายวัน!$M$122:$M$9999,0))),""),INDEX(บันทึกสต็อครายวัน!$D$122:$D$9999,MATCH(TEXT($B$2,"YYYYMMDD")&amp;"|"&amp;$E$2&amp;"|"&amp;B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7)*บันทึกสต็อครายวัน!$A$122:$A$9999)),"YYYYMMDD")&amp;"|"&amp;$E$2&amp;"|"&amp;B7,บันทึกสต็อครายวัน!$M$122:$M$9999,0))),""))</f>
        <v>0</v>
      </c>
      <c r="E7" s="150">
        <f>IFERROR(IF(INDEX(บันทึกสต็อครายวัน!$E$122:$E$9999,MATCH(TEXT($B$2,"YYYYMMDD")&amp;"|"&amp;$E$2&amp;"|"&amp;B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7)*บันทึกสต็อครายวัน!$A$122:$A$9999)),"YYYYMMDD")&amp;"|"&amp;$E$2&amp;"|"&amp;B7,บันทึกสต็อครายวัน!$M$122:$M$9999,0))),""),INDEX(บันทึกสต็อครายวัน!$E$122:$E$9999,MATCH(TEXT($B$2,"YYYYMMDD")&amp;"|"&amp;$E$2&amp;"|"&amp;B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7)*บันทึกสต็อครายวัน!$A$122:$A$9999)),"YYYYMMDD")&amp;"|"&amp;$E$2&amp;"|"&amp;B7,บันทึกสต็อครายวัน!$M$122:$M$9999,0))),""))</f>
        <v>0</v>
      </c>
      <c r="F7" s="149" t="str">
        <f>IFERROR(IF(ISBLANK(INDEX(บันทึกสต็อครายวัน!$F$122:$F$9999,MATCH(TEXT($B$2,"YYYYMMDD")&amp;"|"&amp;$E$2&amp;"|"&amp;B7,บันทึกสต็อครายวัน!$M$122:$M$9999,0))),"",INDEX(บันทึกสต็อครายวัน!$F$122:$F$9999,MATCH(TEXT($B$2,"YYYYMMDD")&amp;"|"&amp;$E$2&amp;"|"&amp;B7,บันทึกสต็อครายวัน!$M$122:$M$9999,0))),"")</f>
        <v/>
      </c>
      <c r="G7" s="149" t="str">
        <f>IFERROR(IF(ISBLANK(INDEX(บันทึกสต็อครายวัน!$G$122:$G$9999,MATCH(TEXT($B$2,"YYYYMMDD")&amp;"|"&amp;$E$2&amp;"|"&amp;B7,บันทึกสต็อครายวัน!$M$122:$M$9999,0))),"",INDEX(บันทึกสต็อครายวัน!$G$122:$G$9999,MATCH(TEXT($B$2,"YYYYMMDD")&amp;"|"&amp;$E$2&amp;"|"&amp;B7,บันทึกสต็อครายวัน!$M$122:$M$9999,0))),"")</f>
        <v/>
      </c>
      <c r="H7" s="152" t="str">
        <f>IFERROR(IF(ISBLANK(INDEX(บันทึกสต็อครายวัน!$H$122:$H$9999,MATCH(TEXT($B$2,"YYYYMMDD")&amp;"|"&amp;$E$2&amp;"|"&amp;B7,บันทึกสต็อครายวัน!$M$122:$M$9999,0))),"",INDEX(บันทึกสต็อครายวัน!$H$122:$H$9999,MATCH(TEXT($B$2,"YYYYMMDD")&amp;"|"&amp;$E$2&amp;"|"&amp;B7,บันทึกสต็อครายวัน!$M$122:$M$9999,0))),"")</f>
        <v/>
      </c>
      <c r="I7" s="153" t="str">
        <f>IFERROR(IF(ISBLANK(INDEX(บันทึกสต็อครายวัน!$I$122:$I$9999,MATCH(TEXT($B$2,"YYYYMMDD")&amp;"|"&amp;$E$2&amp;"|"&amp;B7,บันทึกสต็อครายวัน!$M$122:$M$9999,0))),"",INDEX(บันทึกสต็อครายวัน!$I$122:$I$9999,MATCH(TEXT($B$2,"YYYYMMDD")&amp;"|"&amp;$E$2&amp;"|"&amp;B7,บันทึกสต็อครายวัน!$M$122:$M$9999,0))),"")</f>
        <v/>
      </c>
      <c r="J7" s="153" t="str">
        <f>IFERROR(IF(ISBLANK(INDEX(บันทึกสต็อครายวัน!$J$122:$J$9999,MATCH(TEXT($B$2,"YYYYMMDD")&amp;"|"&amp;$E$2&amp;"|"&amp;B7,บันทึกสต็อครายวัน!$M$122:$M$9999,0))),"",INDEX(บันทึกสต็อครายวัน!$J$122:$J$9999,MATCH(TEXT($B$2,"YYYYMMDD")&amp;"|"&amp;$E$2&amp;"|"&amp;B7,บันทึกสต็อครายวัน!$M$122:$M$9999,0))),"")</f>
        <v/>
      </c>
      <c r="K7" s="154" t="str">
        <f>IFERROR(IF(ISBLANK(INDEX(บันทึกสต็อครายวัน!$K$122:$K$9999,MATCH(TEXT($B$2,"YYYYMMDD")&amp;"|"&amp;$E$2&amp;"|"&amp;B7,บันทึกสต็อครายวัน!$M$122:$M$9999,0))),"",INDEX(บันทึกสต็อครายวัน!$K$122:$K$9999,MATCH(TEXT($B$2,"YYYYMMDD")&amp;"|"&amp;$E$2&amp;"|"&amp;B7,บันทึกสต็อครายวัน!$M$122:$M$9999,0))),"")</f>
        <v/>
      </c>
      <c r="L7" s="154" t="str">
        <f>IFERROR(IF(ISBLANK(INDEX(บันทึกสต็อครายวัน!$L$122:$L$9999,MATCH(TEXT($B$2,"YYYYMMDD")&amp;"|"&amp;$E$2&amp;"|"&amp;B7,บันทึกสต็อครายวัน!$M$122:$M$9999,0))),"",INDEX(บันทึกสต็อครายวัน!$L$122:$L$9999,MATCH(TEXT($B$2,"YYYYMMDD")&amp;"|"&amp;$E$2&amp;"|"&amp;B7,บันทึกสต็อครายวัน!$M$122:$M$9999,0))),"")</f>
        <v/>
      </c>
    </row>
    <row r="8" spans="1:12" ht="18" customHeight="1">
      <c r="A8" s="146" t="s">
        <v>22</v>
      </c>
      <c r="B8" s="147" t="s">
        <v>29</v>
      </c>
      <c r="C8" s="148" t="s">
        <v>24</v>
      </c>
      <c r="D8" s="149">
        <f>IFERROR(IF(INDEX(บันทึกสต็อครายวัน!$D$122:$D$9999,MATCH(TEXT($B$2,"YYYYMMDD")&amp;"|"&amp;$E$2&amp;"|"&amp;B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8)*บันทึกสต็อครายวัน!$A$122:$A$9999)),"YYYYMMDD")&amp;"|"&amp;$E$2&amp;"|"&amp;B8,บันทึกสต็อครายวัน!$M$122:$M$9999,0))),""),INDEX(บันทึกสต็อครายวัน!$D$122:$D$9999,MATCH(TEXT($B$2,"YYYYMMDD")&amp;"|"&amp;$E$2&amp;"|"&amp;B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8)*บันทึกสต็อครายวัน!$A$122:$A$9999)),"YYYYMMDD")&amp;"|"&amp;$E$2&amp;"|"&amp;B8,บันทึกสต็อครายวัน!$M$122:$M$9999,0))),""))</f>
        <v>0</v>
      </c>
      <c r="E8" s="150">
        <f>IFERROR(IF(INDEX(บันทึกสต็อครายวัน!$E$122:$E$9999,MATCH(TEXT($B$2,"YYYYMMDD")&amp;"|"&amp;$E$2&amp;"|"&amp;B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8)*บันทึกสต็อครายวัน!$A$122:$A$9999)),"YYYYMMDD")&amp;"|"&amp;$E$2&amp;"|"&amp;B8,บันทึกสต็อครายวัน!$M$122:$M$9999,0))),""),INDEX(บันทึกสต็อครายวัน!$E$122:$E$9999,MATCH(TEXT($B$2,"YYYYMMDD")&amp;"|"&amp;$E$2&amp;"|"&amp;B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8)*บันทึกสต็อครายวัน!$A$122:$A$9999)),"YYYYMMDD")&amp;"|"&amp;$E$2&amp;"|"&amp;B8,บันทึกสต็อครายวัน!$M$122:$M$9999,0))),""))</f>
        <v>981</v>
      </c>
      <c r="F8" s="149" t="str">
        <f>IFERROR(IF(ISBLANK(INDEX(บันทึกสต็อครายวัน!$F$122:$F$9999,MATCH(TEXT($B$2,"YYYYMMDD")&amp;"|"&amp;$E$2&amp;"|"&amp;B8,บันทึกสต็อครายวัน!$M$122:$M$9999,0))),"",INDEX(บันทึกสต็อครายวัน!$F$122:$F$9999,MATCH(TEXT($B$2,"YYYYMMDD")&amp;"|"&amp;$E$2&amp;"|"&amp;B8,บันทึกสต็อครายวัน!$M$122:$M$9999,0))),"")</f>
        <v/>
      </c>
      <c r="G8" s="149" t="str">
        <f>IFERROR(IF(ISBLANK(INDEX(บันทึกสต็อครายวัน!$G$122:$G$9999,MATCH(TEXT($B$2,"YYYYMMDD")&amp;"|"&amp;$E$2&amp;"|"&amp;B8,บันทึกสต็อครายวัน!$M$122:$M$9999,0))),"",INDEX(บันทึกสต็อครายวัน!$G$122:$G$9999,MATCH(TEXT($B$2,"YYYYMMDD")&amp;"|"&amp;$E$2&amp;"|"&amp;B8,บันทึกสต็อครายวัน!$M$122:$M$9999,0))),"")</f>
        <v/>
      </c>
      <c r="H8" s="152" t="str">
        <f>IFERROR(IF(ISBLANK(INDEX(บันทึกสต็อครายวัน!$H$122:$H$9999,MATCH(TEXT($B$2,"YYYYMMDD")&amp;"|"&amp;$E$2&amp;"|"&amp;B8,บันทึกสต็อครายวัน!$M$122:$M$9999,0))),"",INDEX(บันทึกสต็อครายวัน!$H$122:$H$9999,MATCH(TEXT($B$2,"YYYYMMDD")&amp;"|"&amp;$E$2&amp;"|"&amp;B8,บันทึกสต็อครายวัน!$M$122:$M$9999,0))),"")</f>
        <v/>
      </c>
      <c r="I8" s="153" t="str">
        <f>IFERROR(IF(ISBLANK(INDEX(บันทึกสต็อครายวัน!$I$122:$I$9999,MATCH(TEXT($B$2,"YYYYMMDD")&amp;"|"&amp;$E$2&amp;"|"&amp;B8,บันทึกสต็อครายวัน!$M$122:$M$9999,0))),"",INDEX(บันทึกสต็อครายวัน!$I$122:$I$9999,MATCH(TEXT($B$2,"YYYYMMDD")&amp;"|"&amp;$E$2&amp;"|"&amp;B8,บันทึกสต็อครายวัน!$M$122:$M$9999,0))),"")</f>
        <v/>
      </c>
      <c r="J8" s="153" t="str">
        <f>IFERROR(IF(ISBLANK(INDEX(บันทึกสต็อครายวัน!$J$122:$J$9999,MATCH(TEXT($B$2,"YYYYMMDD")&amp;"|"&amp;$E$2&amp;"|"&amp;B8,บันทึกสต็อครายวัน!$M$122:$M$9999,0))),"",INDEX(บันทึกสต็อครายวัน!$J$122:$J$9999,MATCH(TEXT($B$2,"YYYYMMDD")&amp;"|"&amp;$E$2&amp;"|"&amp;B8,บันทึกสต็อครายวัน!$M$122:$M$9999,0))),"")</f>
        <v/>
      </c>
      <c r="K8" s="154" t="str">
        <f>IFERROR(IF(ISBLANK(INDEX(บันทึกสต็อครายวัน!$K$122:$K$9999,MATCH(TEXT($B$2,"YYYYMMDD")&amp;"|"&amp;$E$2&amp;"|"&amp;B8,บันทึกสต็อครายวัน!$M$122:$M$9999,0))),"",INDEX(บันทึกสต็อครายวัน!$K$122:$K$9999,MATCH(TEXT($B$2,"YYYYMMDD")&amp;"|"&amp;$E$2&amp;"|"&amp;B8,บันทึกสต็อครายวัน!$M$122:$M$9999,0))),"")</f>
        <v/>
      </c>
      <c r="L8" s="154" t="str">
        <f>IFERROR(IF(ISBLANK(INDEX(บันทึกสต็อครายวัน!$L$122:$L$9999,MATCH(TEXT($B$2,"YYYYMMDD")&amp;"|"&amp;$E$2&amp;"|"&amp;B8,บันทึกสต็อครายวัน!$M$122:$M$9999,0))),"",INDEX(บันทึกสต็อครายวัน!$L$122:$L$9999,MATCH(TEXT($B$2,"YYYYMMDD")&amp;"|"&amp;$E$2&amp;"|"&amp;B8,บันทึกสต็อครายวัน!$M$122:$M$9999,0))),"")</f>
        <v/>
      </c>
    </row>
    <row r="9" spans="1:12" ht="18" customHeight="1">
      <c r="A9" s="146" t="s">
        <v>22</v>
      </c>
      <c r="B9" s="147" t="s">
        <v>30</v>
      </c>
      <c r="C9" s="148" t="s">
        <v>24</v>
      </c>
      <c r="D9" s="149">
        <f>IFERROR(IF(INDEX(บันทึกสต็อครายวัน!$D$122:$D$9999,MATCH(TEXT($B$2,"YYYYMMDD")&amp;"|"&amp;$E$2&amp;"|"&amp;B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9)*บันทึกสต็อครายวัน!$A$122:$A$9999)),"YYYYMMDD")&amp;"|"&amp;$E$2&amp;"|"&amp;B9,บันทึกสต็อครายวัน!$M$122:$M$9999,0))),""),INDEX(บันทึกสต็อครายวัน!$D$122:$D$9999,MATCH(TEXT($B$2,"YYYYMMDD")&amp;"|"&amp;$E$2&amp;"|"&amp;B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9)*บันทึกสต็อครายวัน!$A$122:$A$9999)),"YYYYMMDD")&amp;"|"&amp;$E$2&amp;"|"&amp;B9,บันทึกสต็อครายวัน!$M$122:$M$9999,0))),""))</f>
        <v>1</v>
      </c>
      <c r="E9" s="150">
        <f>IFERROR(IF(INDEX(บันทึกสต็อครายวัน!$E$122:$E$9999,MATCH(TEXT($B$2,"YYYYMMDD")&amp;"|"&amp;$E$2&amp;"|"&amp;B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9)*บันทึกสต็อครายวัน!$A$122:$A$9999)),"YYYYMMDD")&amp;"|"&amp;$E$2&amp;"|"&amp;B9,บันทึกสต็อครายวัน!$M$122:$M$9999,0))),""),INDEX(บันทึกสต็อครายวัน!$E$122:$E$9999,MATCH(TEXT($B$2,"YYYYMMDD")&amp;"|"&amp;$E$2&amp;"|"&amp;B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9)*บันทึกสต็อครายวัน!$A$122:$A$9999)),"YYYYMMDD")&amp;"|"&amp;$E$2&amp;"|"&amp;B9,บันทึกสต็อครายวัน!$M$122:$M$9999,0))),""))</f>
        <v>532</v>
      </c>
      <c r="F9" s="149" t="str">
        <f>IFERROR(IF(ISBLANK(INDEX(บันทึกสต็อครายวัน!$F$122:$F$9999,MATCH(TEXT($B$2,"YYYYMMDD")&amp;"|"&amp;$E$2&amp;"|"&amp;B9,บันทึกสต็อครายวัน!$M$122:$M$9999,0))),"",INDEX(บันทึกสต็อครายวัน!$F$122:$F$9999,MATCH(TEXT($B$2,"YYYYMMDD")&amp;"|"&amp;$E$2&amp;"|"&amp;B9,บันทึกสต็อครายวัน!$M$122:$M$9999,0))),"")</f>
        <v/>
      </c>
      <c r="G9" s="149" t="str">
        <f>IFERROR(IF(ISBLANK(INDEX(บันทึกสต็อครายวัน!$G$122:$G$9999,MATCH(TEXT($B$2,"YYYYMMDD")&amp;"|"&amp;$E$2&amp;"|"&amp;B9,บันทึกสต็อครายวัน!$M$122:$M$9999,0))),"",INDEX(บันทึกสต็อครายวัน!$G$122:$G$9999,MATCH(TEXT($B$2,"YYYYMMDD")&amp;"|"&amp;$E$2&amp;"|"&amp;B9,บันทึกสต็อครายวัน!$M$122:$M$9999,0))),"")</f>
        <v/>
      </c>
      <c r="H9" s="152" t="str">
        <f>IFERROR(IF(ISBLANK(INDEX(บันทึกสต็อครายวัน!$H$122:$H$9999,MATCH(TEXT($B$2,"YYYYMMDD")&amp;"|"&amp;$E$2&amp;"|"&amp;B9,บันทึกสต็อครายวัน!$M$122:$M$9999,0))),"",INDEX(บันทึกสต็อครายวัน!$H$122:$H$9999,MATCH(TEXT($B$2,"YYYYMMDD")&amp;"|"&amp;$E$2&amp;"|"&amp;B9,บันทึกสต็อครายวัน!$M$122:$M$9999,0))),"")</f>
        <v/>
      </c>
      <c r="I9" s="153" t="str">
        <f>IFERROR(IF(ISBLANK(INDEX(บันทึกสต็อครายวัน!$I$122:$I$9999,MATCH(TEXT($B$2,"YYYYMMDD")&amp;"|"&amp;$E$2&amp;"|"&amp;B9,บันทึกสต็อครายวัน!$M$122:$M$9999,0))),"",INDEX(บันทึกสต็อครายวัน!$I$122:$I$9999,MATCH(TEXT($B$2,"YYYYMMDD")&amp;"|"&amp;$E$2&amp;"|"&amp;B9,บันทึกสต็อครายวัน!$M$122:$M$9999,0))),"")</f>
        <v/>
      </c>
      <c r="J9" s="153" t="str">
        <f>IFERROR(IF(ISBLANK(INDEX(บันทึกสต็อครายวัน!$J$122:$J$9999,MATCH(TEXT($B$2,"YYYYMMDD")&amp;"|"&amp;$E$2&amp;"|"&amp;B9,บันทึกสต็อครายวัน!$M$122:$M$9999,0))),"",INDEX(บันทึกสต็อครายวัน!$J$122:$J$9999,MATCH(TEXT($B$2,"YYYYMMDD")&amp;"|"&amp;$E$2&amp;"|"&amp;B9,บันทึกสต็อครายวัน!$M$122:$M$9999,0))),"")</f>
        <v/>
      </c>
      <c r="K9" s="154" t="str">
        <f>IFERROR(IF(ISBLANK(INDEX(บันทึกสต็อครายวัน!$K$122:$K$9999,MATCH(TEXT($B$2,"YYYYMMDD")&amp;"|"&amp;$E$2&amp;"|"&amp;B9,บันทึกสต็อครายวัน!$M$122:$M$9999,0))),"",INDEX(บันทึกสต็อครายวัน!$K$122:$K$9999,MATCH(TEXT($B$2,"YYYYMMDD")&amp;"|"&amp;$E$2&amp;"|"&amp;B9,บันทึกสต็อครายวัน!$M$122:$M$9999,0))),"")</f>
        <v/>
      </c>
      <c r="L9" s="154" t="str">
        <f>IFERROR(IF(ISBLANK(INDEX(บันทึกสต็อครายวัน!$L$122:$L$9999,MATCH(TEXT($B$2,"YYYYMMDD")&amp;"|"&amp;$E$2&amp;"|"&amp;B9,บันทึกสต็อครายวัน!$M$122:$M$9999,0))),"",INDEX(บันทึกสต็อครายวัน!$L$122:$L$9999,MATCH(TEXT($B$2,"YYYYMMDD")&amp;"|"&amp;$E$2&amp;"|"&amp;B9,บันทึกสต็อครายวัน!$M$122:$M$9999,0))),"")</f>
        <v/>
      </c>
    </row>
    <row r="10" spans="1:12" ht="18" customHeight="1">
      <c r="A10" s="146" t="s">
        <v>22</v>
      </c>
      <c r="B10" s="147" t="s">
        <v>31</v>
      </c>
      <c r="C10" s="148" t="s">
        <v>24</v>
      </c>
      <c r="D10" s="149">
        <f>IFERROR(IF(INDEX(บันทึกสต็อครายวัน!$D$122:$D$9999,MATCH(TEXT($B$2,"YYYYMMDD")&amp;"|"&amp;$E$2&amp;"|"&amp;B10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10)*บันทึกสต็อครายวัน!$A$122:$A$9999)),"YYYYMMDD")&amp;"|"&amp;$E$2&amp;"|"&amp;B10,บันทึกสต็อครายวัน!$M$122:$M$9999,0))),""),INDEX(บันทึกสต็อครายวัน!$D$122:$D$9999,MATCH(TEXT($B$2,"YYYYMMDD")&amp;"|"&amp;$E$2&amp;"|"&amp;B10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10)*บันทึกสต็อครายวัน!$A$122:$A$9999)),"YYYYMMDD")&amp;"|"&amp;$E$2&amp;"|"&amp;B10,บันทึกสต็อครายวัน!$M$122:$M$9999,0))),""))</f>
        <v>0</v>
      </c>
      <c r="E10" s="150">
        <f>IFERROR(IF(INDEX(บันทึกสต็อครายวัน!$E$122:$E$9999,MATCH(TEXT($B$2,"YYYYMMDD")&amp;"|"&amp;$E$2&amp;"|"&amp;B10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10)*บันทึกสต็อครายวัน!$A$122:$A$9999)),"YYYYMMDD")&amp;"|"&amp;$E$2&amp;"|"&amp;B10,บันทึกสต็อครายวัน!$M$122:$M$9999,0))),""),INDEX(บันทึกสต็อครายวัน!$E$122:$E$9999,MATCH(TEXT($B$2,"YYYYMMDD")&amp;"|"&amp;$E$2&amp;"|"&amp;B10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10)*บันทึกสต็อครายวัน!$A$122:$A$9999)),"YYYYMMDD")&amp;"|"&amp;$E$2&amp;"|"&amp;B10,บันทึกสต็อครายวัน!$M$122:$M$9999,0))),""))</f>
        <v>429</v>
      </c>
      <c r="F10" s="149" t="str">
        <f>IFERROR(IF(ISBLANK(INDEX(บันทึกสต็อครายวัน!$F$122:$F$9999,MATCH(TEXT($B$2,"YYYYMMDD")&amp;"|"&amp;$E$2&amp;"|"&amp;B10,บันทึกสต็อครายวัน!$M$122:$M$9999,0))),"",INDEX(บันทึกสต็อครายวัน!$F$122:$F$9999,MATCH(TEXT($B$2,"YYYYMMDD")&amp;"|"&amp;$E$2&amp;"|"&amp;B10,บันทึกสต็อครายวัน!$M$122:$M$9999,0))),"")</f>
        <v/>
      </c>
      <c r="G10" s="149" t="str">
        <f>IFERROR(IF(ISBLANK(INDEX(บันทึกสต็อครายวัน!$G$122:$G$9999,MATCH(TEXT($B$2,"YYYYMMDD")&amp;"|"&amp;$E$2&amp;"|"&amp;B10,บันทึกสต็อครายวัน!$M$122:$M$9999,0))),"",INDEX(บันทึกสต็อครายวัน!$G$122:$G$9999,MATCH(TEXT($B$2,"YYYYMMDD")&amp;"|"&amp;$E$2&amp;"|"&amp;B10,บันทึกสต็อครายวัน!$M$122:$M$9999,0))),"")</f>
        <v/>
      </c>
      <c r="H10" s="152" t="str">
        <f>IFERROR(IF(ISBLANK(INDEX(บันทึกสต็อครายวัน!$H$122:$H$9999,MATCH(TEXT($B$2,"YYYYMMDD")&amp;"|"&amp;$E$2&amp;"|"&amp;B10,บันทึกสต็อครายวัน!$M$122:$M$9999,0))),"",INDEX(บันทึกสต็อครายวัน!$H$122:$H$9999,MATCH(TEXT($B$2,"YYYYMMDD")&amp;"|"&amp;$E$2&amp;"|"&amp;B10,บันทึกสต็อครายวัน!$M$122:$M$9999,0))),"")</f>
        <v/>
      </c>
      <c r="I10" s="153" t="str">
        <f>IFERROR(IF(ISBLANK(INDEX(บันทึกสต็อครายวัน!$I$122:$I$9999,MATCH(TEXT($B$2,"YYYYMMDD")&amp;"|"&amp;$E$2&amp;"|"&amp;B10,บันทึกสต็อครายวัน!$M$122:$M$9999,0))),"",INDEX(บันทึกสต็อครายวัน!$I$122:$I$9999,MATCH(TEXT($B$2,"YYYYMMDD")&amp;"|"&amp;$E$2&amp;"|"&amp;B10,บันทึกสต็อครายวัน!$M$122:$M$9999,0))),"")</f>
        <v/>
      </c>
      <c r="J10" s="153" t="str">
        <f>IFERROR(IF(ISBLANK(INDEX(บันทึกสต็อครายวัน!$J$122:$J$9999,MATCH(TEXT($B$2,"YYYYMMDD")&amp;"|"&amp;$E$2&amp;"|"&amp;B10,บันทึกสต็อครายวัน!$M$122:$M$9999,0))),"",INDEX(บันทึกสต็อครายวัน!$J$122:$J$9999,MATCH(TEXT($B$2,"YYYYMMDD")&amp;"|"&amp;$E$2&amp;"|"&amp;B10,บันทึกสต็อครายวัน!$M$122:$M$9999,0))),"")</f>
        <v/>
      </c>
      <c r="K10" s="154" t="str">
        <f>IFERROR(IF(ISBLANK(INDEX(บันทึกสต็อครายวัน!$K$122:$K$9999,MATCH(TEXT($B$2,"YYYYMMDD")&amp;"|"&amp;$E$2&amp;"|"&amp;B10,บันทึกสต็อครายวัน!$M$122:$M$9999,0))),"",INDEX(บันทึกสต็อครายวัน!$K$122:$K$9999,MATCH(TEXT($B$2,"YYYYMMDD")&amp;"|"&amp;$E$2&amp;"|"&amp;B10,บันทึกสต็อครายวัน!$M$122:$M$9999,0))),"")</f>
        <v/>
      </c>
      <c r="L10" s="154" t="str">
        <f>IFERROR(IF(ISBLANK(INDEX(บันทึกสต็อครายวัน!$L$122:$L$9999,MATCH(TEXT($B$2,"YYYYMMDD")&amp;"|"&amp;$E$2&amp;"|"&amp;B10,บันทึกสต็อครายวัน!$M$122:$M$9999,0))),"",INDEX(บันทึกสต็อครายวัน!$L$122:$L$9999,MATCH(TEXT($B$2,"YYYYMMDD")&amp;"|"&amp;$E$2&amp;"|"&amp;B10,บันทึกสต็อครายวัน!$M$122:$M$9999,0))),"")</f>
        <v/>
      </c>
    </row>
    <row r="11" spans="1:12" ht="18" customHeight="1">
      <c r="A11" s="146" t="s">
        <v>22</v>
      </c>
      <c r="B11" s="147" t="s">
        <v>32</v>
      </c>
      <c r="C11" s="148" t="s">
        <v>24</v>
      </c>
      <c r="D11" s="149">
        <f>IFERROR(IF(INDEX(บันทึกสต็อครายวัน!$D$122:$D$9999,MATCH(TEXT($B$2,"YYYYMMDD")&amp;"|"&amp;$E$2&amp;"|"&amp;B11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11)*บันทึกสต็อครายวัน!$A$122:$A$9999)),"YYYYMMDD")&amp;"|"&amp;$E$2&amp;"|"&amp;B11,บันทึกสต็อครายวัน!$M$122:$M$9999,0))),""),INDEX(บันทึกสต็อครายวัน!$D$122:$D$9999,MATCH(TEXT($B$2,"YYYYMMDD")&amp;"|"&amp;$E$2&amp;"|"&amp;B11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11)*บันทึกสต็อครายวัน!$A$122:$A$9999)),"YYYYMMDD")&amp;"|"&amp;$E$2&amp;"|"&amp;B11,บันทึกสต็อครายวัน!$M$122:$M$9999,0))),""))</f>
        <v>1</v>
      </c>
      <c r="E11" s="150">
        <f>IFERROR(IF(INDEX(บันทึกสต็อครายวัน!$E$122:$E$9999,MATCH(TEXT($B$2,"YYYYMMDD")&amp;"|"&amp;$E$2&amp;"|"&amp;B11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11)*บันทึกสต็อครายวัน!$A$122:$A$9999)),"YYYYMMDD")&amp;"|"&amp;$E$2&amp;"|"&amp;B11,บันทึกสต็อครายวัน!$M$122:$M$9999,0))),""),INDEX(บันทึกสต็อครายวัน!$E$122:$E$9999,MATCH(TEXT($B$2,"YYYYMMDD")&amp;"|"&amp;$E$2&amp;"|"&amp;B11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11)*บันทึกสต็อครายวัน!$A$122:$A$9999)),"YYYYMMDD")&amp;"|"&amp;$E$2&amp;"|"&amp;B11,บันทึกสต็อครายวัน!$M$122:$M$9999,0))),""))</f>
        <v>956</v>
      </c>
      <c r="F11" s="149" t="str">
        <f>IFERROR(IF(ISBLANK(INDEX(บันทึกสต็อครายวัน!$F$122:$F$9999,MATCH(TEXT($B$2,"YYYYMMDD")&amp;"|"&amp;$E$2&amp;"|"&amp;B11,บันทึกสต็อครายวัน!$M$122:$M$9999,0))),"",INDEX(บันทึกสต็อครายวัน!$F$122:$F$9999,MATCH(TEXT($B$2,"YYYYMMDD")&amp;"|"&amp;$E$2&amp;"|"&amp;B11,บันทึกสต็อครายวัน!$M$122:$M$9999,0))),"")</f>
        <v/>
      </c>
      <c r="G11" s="155" t="str">
        <f>IFERROR(IF(ISBLANK(INDEX(บันทึกสต็อครายวัน!$G$122:$G$9999,MATCH(TEXT($B$2,"YYYYMMDD")&amp;"|"&amp;$E$2&amp;"|"&amp;B11,บันทึกสต็อครายวัน!$M$122:$M$9999,0))),"",INDEX(บันทึกสต็อครายวัน!$G$122:$G$9999,MATCH(TEXT($B$2,"YYYYMMDD")&amp;"|"&amp;$E$2&amp;"|"&amp;B11,บันทึกสต็อครายวัน!$M$122:$M$9999,0))),"")</f>
        <v/>
      </c>
      <c r="H11" s="152" t="str">
        <f>IFERROR(IF(ISBLANK(INDEX(บันทึกสต็อครายวัน!$H$122:$H$9999,MATCH(TEXT($B$2,"YYYYMMDD")&amp;"|"&amp;$E$2&amp;"|"&amp;B11,บันทึกสต็อครายวัน!$M$122:$M$9999,0))),"",INDEX(บันทึกสต็อครายวัน!$H$122:$H$9999,MATCH(TEXT($B$2,"YYYYMMDD")&amp;"|"&amp;$E$2&amp;"|"&amp;B11,บันทึกสต็อครายวัน!$M$122:$M$9999,0))),"")</f>
        <v/>
      </c>
      <c r="I11" s="153" t="str">
        <f>IFERROR(IF(ISBLANK(INDEX(บันทึกสต็อครายวัน!$I$122:$I$9999,MATCH(TEXT($B$2,"YYYYMMDD")&amp;"|"&amp;$E$2&amp;"|"&amp;B11,บันทึกสต็อครายวัน!$M$122:$M$9999,0))),"",INDEX(บันทึกสต็อครายวัน!$I$122:$I$9999,MATCH(TEXT($B$2,"YYYYMMDD")&amp;"|"&amp;$E$2&amp;"|"&amp;B11,บันทึกสต็อครายวัน!$M$122:$M$9999,0))),"")</f>
        <v/>
      </c>
      <c r="J11" s="153" t="str">
        <f>IFERROR(IF(ISBLANK(INDEX(บันทึกสต็อครายวัน!$J$122:$J$9999,MATCH(TEXT($B$2,"YYYYMMDD")&amp;"|"&amp;$E$2&amp;"|"&amp;B11,บันทึกสต็อครายวัน!$M$122:$M$9999,0))),"",INDEX(บันทึกสต็อครายวัน!$J$122:$J$9999,MATCH(TEXT($B$2,"YYYYMMDD")&amp;"|"&amp;$E$2&amp;"|"&amp;B11,บันทึกสต็อครายวัน!$M$122:$M$9999,0))),"")</f>
        <v/>
      </c>
      <c r="K11" s="154" t="str">
        <f>IFERROR(IF(ISBLANK(INDEX(บันทึกสต็อครายวัน!$K$122:$K$9999,MATCH(TEXT($B$2,"YYYYMMDD")&amp;"|"&amp;$E$2&amp;"|"&amp;B11,บันทึกสต็อครายวัน!$M$122:$M$9999,0))),"",INDEX(บันทึกสต็อครายวัน!$K$122:$K$9999,MATCH(TEXT($B$2,"YYYYMMDD")&amp;"|"&amp;$E$2&amp;"|"&amp;B11,บันทึกสต็อครายวัน!$M$122:$M$9999,0))),"")</f>
        <v/>
      </c>
      <c r="L11" s="154" t="str">
        <f>IFERROR(IF(ISBLANK(INDEX(บันทึกสต็อครายวัน!$L$122:$L$9999,MATCH(TEXT($B$2,"YYYYMMDD")&amp;"|"&amp;$E$2&amp;"|"&amp;B11,บันทึกสต็อครายวัน!$M$122:$M$9999,0))),"",INDEX(บันทึกสต็อครายวัน!$L$122:$L$9999,MATCH(TEXT($B$2,"YYYYMMDD")&amp;"|"&amp;$E$2&amp;"|"&amp;B11,บันทึกสต็อครายวัน!$M$122:$M$9999,0))),"")</f>
        <v/>
      </c>
    </row>
    <row r="12" spans="1:12" ht="18" customHeight="1">
      <c r="A12" s="146" t="s">
        <v>22</v>
      </c>
      <c r="B12" s="147" t="s">
        <v>33</v>
      </c>
      <c r="C12" s="148" t="s">
        <v>24</v>
      </c>
      <c r="D12" s="149">
        <f>IFERROR(IF(INDEX(บันทึกสต็อครายวัน!$D$122:$D$9999,MATCH(TEXT($B$2,"YYYYMMDD")&amp;"|"&amp;$E$2&amp;"|"&amp;B12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12)*บันทึกสต็อครายวัน!$A$122:$A$9999)),"YYYYMMDD")&amp;"|"&amp;$E$2&amp;"|"&amp;B12,บันทึกสต็อครายวัน!$M$122:$M$9999,0))),""),INDEX(บันทึกสต็อครายวัน!$D$122:$D$9999,MATCH(TEXT($B$2,"YYYYMMDD")&amp;"|"&amp;$E$2&amp;"|"&amp;B12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12)*บันทึกสต็อครายวัน!$A$122:$A$9999)),"YYYYMMDD")&amp;"|"&amp;$E$2&amp;"|"&amp;B12,บันทึกสต็อครายวัน!$M$122:$M$9999,0))),""))</f>
        <v>4</v>
      </c>
      <c r="E12" s="150">
        <f>IFERROR(IF(INDEX(บันทึกสต็อครายวัน!$E$122:$E$9999,MATCH(TEXT($B$2,"YYYYMMDD")&amp;"|"&amp;$E$2&amp;"|"&amp;B12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12)*บันทึกสต็อครายวัน!$A$122:$A$9999)),"YYYYMMDD")&amp;"|"&amp;$E$2&amp;"|"&amp;B12,บันทึกสต็อครายวัน!$M$122:$M$9999,0))),""),INDEX(บันทึกสต็อครายวัน!$E$122:$E$9999,MATCH(TEXT($B$2,"YYYYMMDD")&amp;"|"&amp;$E$2&amp;"|"&amp;B12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12)*บันทึกสต็อครายวัน!$A$122:$A$9999)),"YYYYMMDD")&amp;"|"&amp;$E$2&amp;"|"&amp;B12,บันทึกสต็อครายวัน!$M$122:$M$9999,0))),""))</f>
        <v>357</v>
      </c>
      <c r="F12" s="149" t="str">
        <f>IFERROR(IF(ISBLANK(INDEX(บันทึกสต็อครายวัน!$F$122:$F$9999,MATCH(TEXT($B$2,"YYYYMMDD")&amp;"|"&amp;$E$2&amp;"|"&amp;B12,บันทึกสต็อครายวัน!$M$122:$M$9999,0))),"",INDEX(บันทึกสต็อครายวัน!$F$122:$F$9999,MATCH(TEXT($B$2,"YYYYMMDD")&amp;"|"&amp;$E$2&amp;"|"&amp;B12,บันทึกสต็อครายวัน!$M$122:$M$9999,0))),"")</f>
        <v/>
      </c>
      <c r="G12" s="151" t="str">
        <f>IFERROR(IF(ISBLANK(INDEX(บันทึกสต็อครายวัน!$G$122:$G$9999,MATCH(TEXT($B$2,"YYYYMMDD")&amp;"|"&amp;$E$2&amp;"|"&amp;B12,บันทึกสต็อครายวัน!$M$122:$M$9999,0))),"",INDEX(บันทึกสต็อครายวัน!$G$122:$G$9999,MATCH(TEXT($B$2,"YYYYMMDD")&amp;"|"&amp;$E$2&amp;"|"&amp;B12,บันทึกสต็อครายวัน!$M$122:$M$9999,0))),"")</f>
        <v/>
      </c>
      <c r="H12" s="152" t="str">
        <f>IFERROR(IF(ISBLANK(INDEX(บันทึกสต็อครายวัน!$H$122:$H$9999,MATCH(TEXT($B$2,"YYYYMMDD")&amp;"|"&amp;$E$2&amp;"|"&amp;B12,บันทึกสต็อครายวัน!$M$122:$M$9999,0))),"",INDEX(บันทึกสต็อครายวัน!$H$122:$H$9999,MATCH(TEXT($B$2,"YYYYMMDD")&amp;"|"&amp;$E$2&amp;"|"&amp;B12,บันทึกสต็อครายวัน!$M$122:$M$9999,0))),"")</f>
        <v/>
      </c>
      <c r="I12" s="153" t="str">
        <f>IFERROR(IF(ISBLANK(INDEX(บันทึกสต็อครายวัน!$I$122:$I$9999,MATCH(TEXT($B$2,"YYYYMMDD")&amp;"|"&amp;$E$2&amp;"|"&amp;B12,บันทึกสต็อครายวัน!$M$122:$M$9999,0))),"",INDEX(บันทึกสต็อครายวัน!$I$122:$I$9999,MATCH(TEXT($B$2,"YYYYMMDD")&amp;"|"&amp;$E$2&amp;"|"&amp;B12,บันทึกสต็อครายวัน!$M$122:$M$9999,0))),"")</f>
        <v/>
      </c>
      <c r="J12" s="153" t="str">
        <f>IFERROR(IF(ISBLANK(INDEX(บันทึกสต็อครายวัน!$J$122:$J$9999,MATCH(TEXT($B$2,"YYYYMMDD")&amp;"|"&amp;$E$2&amp;"|"&amp;B12,บันทึกสต็อครายวัน!$M$122:$M$9999,0))),"",INDEX(บันทึกสต็อครายวัน!$J$122:$J$9999,MATCH(TEXT($B$2,"YYYYMMDD")&amp;"|"&amp;$E$2&amp;"|"&amp;B12,บันทึกสต็อครายวัน!$M$122:$M$9999,0))),"")</f>
        <v/>
      </c>
      <c r="K12" s="154" t="str">
        <f>IFERROR(IF(ISBLANK(INDEX(บันทึกสต็อครายวัน!$K$122:$K$9999,MATCH(TEXT($B$2,"YYYYMMDD")&amp;"|"&amp;$E$2&amp;"|"&amp;B12,บันทึกสต็อครายวัน!$M$122:$M$9999,0))),"",INDEX(บันทึกสต็อครายวัน!$K$122:$K$9999,MATCH(TEXT($B$2,"YYYYMMDD")&amp;"|"&amp;$E$2&amp;"|"&amp;B12,บันทึกสต็อครายวัน!$M$122:$M$9999,0))),"")</f>
        <v/>
      </c>
      <c r="L12" s="154" t="str">
        <f>IFERROR(IF(ISBLANK(INDEX(บันทึกสต็อครายวัน!$L$122:$L$9999,MATCH(TEXT($B$2,"YYYYMMDD")&amp;"|"&amp;$E$2&amp;"|"&amp;B12,บันทึกสต็อครายวัน!$M$122:$M$9999,0))),"",INDEX(บันทึกสต็อครายวัน!$L$122:$L$9999,MATCH(TEXT($B$2,"YYYYMMDD")&amp;"|"&amp;$E$2&amp;"|"&amp;B12,บันทึกสต็อครายวัน!$M$122:$M$9999,0))),"")</f>
        <v/>
      </c>
    </row>
    <row r="13" spans="1:12" ht="18" customHeight="1">
      <c r="A13" s="146" t="s">
        <v>34</v>
      </c>
      <c r="B13" s="147" t="s">
        <v>35</v>
      </c>
      <c r="C13" s="148" t="s">
        <v>36</v>
      </c>
      <c r="D13" s="149">
        <f>IFERROR(IF(INDEX(บันทึกสต็อครายวัน!$D$122:$D$9999,MATCH(TEXT($B$2,"YYYYMMDD")&amp;"|"&amp;$E$2&amp;"|"&amp;B13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13)*บันทึกสต็อครายวัน!$A$122:$A$9999)),"YYYYMMDD")&amp;"|"&amp;$E$2&amp;"|"&amp;B13,บันทึกสต็อครายวัน!$M$122:$M$9999,0))),""),INDEX(บันทึกสต็อครายวัน!$D$122:$D$9999,MATCH(TEXT($B$2,"YYYYMMDD")&amp;"|"&amp;$E$2&amp;"|"&amp;B13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13)*บันทึกสต็อครายวัน!$A$122:$A$9999)),"YYYYMMDD")&amp;"|"&amp;$E$2&amp;"|"&amp;B13,บันทึกสต็อครายวัน!$M$122:$M$9999,0))),""))</f>
        <v>6</v>
      </c>
      <c r="E13" s="150">
        <f>IFERROR(IF(INDEX(บันทึกสต็อครายวัน!$E$122:$E$9999,MATCH(TEXT($B$2,"YYYYMMDD")&amp;"|"&amp;$E$2&amp;"|"&amp;B13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13)*บันทึกสต็อครายวัน!$A$122:$A$9999)),"YYYYMMDD")&amp;"|"&amp;$E$2&amp;"|"&amp;B13,บันทึกสต็อครายวัน!$M$122:$M$9999,0))),""),INDEX(บันทึกสต็อครายวัน!$E$122:$E$9999,MATCH(TEXT($B$2,"YYYYMMDD")&amp;"|"&amp;$E$2&amp;"|"&amp;B13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13)*บันทึกสต็อครายวัน!$A$122:$A$9999)),"YYYYMMDD")&amp;"|"&amp;$E$2&amp;"|"&amp;B13,บันทึกสต็อครายวัน!$M$122:$M$9999,0))),""))</f>
        <v>0</v>
      </c>
      <c r="F13" s="149" t="str">
        <f>IFERROR(IF(ISBLANK(INDEX(บันทึกสต็อครายวัน!$F$122:$F$9999,MATCH(TEXT($B$2,"YYYYMMDD")&amp;"|"&amp;$E$2&amp;"|"&amp;B13,บันทึกสต็อครายวัน!$M$122:$M$9999,0))),"",INDEX(บันทึกสต็อครายวัน!$F$122:$F$9999,MATCH(TEXT($B$2,"YYYYMMDD")&amp;"|"&amp;$E$2&amp;"|"&amp;B13,บันทึกสต็อครายวัน!$M$122:$M$9999,0))),"")</f>
        <v/>
      </c>
      <c r="G13" s="155" t="str">
        <f>IFERROR(IF(ISBLANK(INDEX(บันทึกสต็อครายวัน!$G$122:$G$9999,MATCH(TEXT($B$2,"YYYYMMDD")&amp;"|"&amp;$E$2&amp;"|"&amp;B13,บันทึกสต็อครายวัน!$M$122:$M$9999,0))),"",INDEX(บันทึกสต็อครายวัน!$G$122:$G$9999,MATCH(TEXT($B$2,"YYYYMMDD")&amp;"|"&amp;$E$2&amp;"|"&amp;B13,บันทึกสต็อครายวัน!$M$122:$M$9999,0))),"")</f>
        <v/>
      </c>
      <c r="H13" s="156" t="str">
        <f>IFERROR(IF(ISBLANK(INDEX(บันทึกสต็อครายวัน!$H$122:$H$9999,MATCH(TEXT($B$2,"YYYYMMDD")&amp;"|"&amp;$E$2&amp;"|"&amp;B13,บันทึกสต็อครายวัน!$M$122:$M$9999,0))),"",INDEX(บันทึกสต็อครายวัน!$H$122:$H$9999,MATCH(TEXT($B$2,"YYYYMMDD")&amp;"|"&amp;$E$2&amp;"|"&amp;B13,บันทึกสต็อครายวัน!$M$122:$M$9999,0))),"")</f>
        <v/>
      </c>
      <c r="I13" s="153" t="str">
        <f>IFERROR(IF(ISBLANK(INDEX(บันทึกสต็อครายวัน!$I$122:$I$9999,MATCH(TEXT($B$2,"YYYYMMDD")&amp;"|"&amp;$E$2&amp;"|"&amp;B13,บันทึกสต็อครายวัน!$M$122:$M$9999,0))),"",INDEX(บันทึกสต็อครายวัน!$I$122:$I$9999,MATCH(TEXT($B$2,"YYYYMMDD")&amp;"|"&amp;$E$2&amp;"|"&amp;B13,บันทึกสต็อครายวัน!$M$122:$M$9999,0))),"")</f>
        <v/>
      </c>
      <c r="J13" s="155" t="str">
        <f>IFERROR(IF(ISBLANK(INDEX(บันทึกสต็อครายวัน!$J$122:$J$9999,MATCH(TEXT($B$2,"YYYYMMDD")&amp;"|"&amp;$E$2&amp;"|"&amp;B13,บันทึกสต็อครายวัน!$M$122:$M$9999,0))),"",INDEX(บันทึกสต็อครายวัน!$J$122:$J$9999,MATCH(TEXT($B$2,"YYYYMMDD")&amp;"|"&amp;$E$2&amp;"|"&amp;B13,บันทึกสต็อครายวัน!$M$122:$M$9999,0))),"")</f>
        <v/>
      </c>
      <c r="K13" s="154" t="str">
        <f>IFERROR(IF(ISBLANK(INDEX(บันทึกสต็อครายวัน!$K$122:$K$9999,MATCH(TEXT($B$2,"YYYYMMDD")&amp;"|"&amp;$E$2&amp;"|"&amp;B13,บันทึกสต็อครายวัน!$M$122:$M$9999,0))),"",INDEX(บันทึกสต็อครายวัน!$K$122:$K$9999,MATCH(TEXT($B$2,"YYYYMMDD")&amp;"|"&amp;$E$2&amp;"|"&amp;B13,บันทึกสต็อครายวัน!$M$122:$M$9999,0))),"")</f>
        <v/>
      </c>
      <c r="L13" s="154" t="str">
        <f>IFERROR(IF(ISBLANK(INDEX(บันทึกสต็อครายวัน!$L$122:$L$9999,MATCH(TEXT($B$2,"YYYYMMDD")&amp;"|"&amp;$E$2&amp;"|"&amp;B13,บันทึกสต็อครายวัน!$M$122:$M$9999,0))),"",INDEX(บันทึกสต็อครายวัน!$L$122:$L$9999,MATCH(TEXT($B$2,"YYYYMMDD")&amp;"|"&amp;$E$2&amp;"|"&amp;B13,บันทึกสต็อครายวัน!$M$122:$M$9999,0))),"")</f>
        <v/>
      </c>
    </row>
    <row r="14" spans="1:12" ht="18" customHeight="1">
      <c r="A14" s="146" t="s">
        <v>34</v>
      </c>
      <c r="B14" s="147" t="s">
        <v>37</v>
      </c>
      <c r="C14" s="148" t="s">
        <v>36</v>
      </c>
      <c r="D14" s="149">
        <f>IFERROR(IF(INDEX(บันทึกสต็อครายวัน!$D$122:$D$9999,MATCH(TEXT($B$2,"YYYYMMDD")&amp;"|"&amp;$E$2&amp;"|"&amp;B14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14)*บันทึกสต็อครายวัน!$A$122:$A$9999)),"YYYYMMDD")&amp;"|"&amp;$E$2&amp;"|"&amp;B14,บันทึกสต็อครายวัน!$M$122:$M$9999,0))),""),INDEX(บันทึกสต็อครายวัน!$D$122:$D$9999,MATCH(TEXT($B$2,"YYYYMMDD")&amp;"|"&amp;$E$2&amp;"|"&amp;B14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14)*บันทึกสต็อครายวัน!$A$122:$A$9999)),"YYYYMMDD")&amp;"|"&amp;$E$2&amp;"|"&amp;B14,บันทึกสต็อครายวัน!$M$122:$M$9999,0))),""))</f>
        <v>2</v>
      </c>
      <c r="E14" s="150">
        <f>IFERROR(IF(INDEX(บันทึกสต็อครายวัน!$E$122:$E$9999,MATCH(TEXT($B$2,"YYYYMMDD")&amp;"|"&amp;$E$2&amp;"|"&amp;B14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14)*บันทึกสต็อครายวัน!$A$122:$A$9999)),"YYYYMMDD")&amp;"|"&amp;$E$2&amp;"|"&amp;B14,บันทึกสต็อครายวัน!$M$122:$M$9999,0))),""),INDEX(บันทึกสต็อครายวัน!$E$122:$E$9999,MATCH(TEXT($B$2,"YYYYMMDD")&amp;"|"&amp;$E$2&amp;"|"&amp;B14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14)*บันทึกสต็อครายวัน!$A$122:$A$9999)),"YYYYMMDD")&amp;"|"&amp;$E$2&amp;"|"&amp;B14,บันทึกสต็อครายวัน!$M$122:$M$9999,0))),""))</f>
        <v>0</v>
      </c>
      <c r="F14" s="149" t="str">
        <f>IFERROR(IF(ISBLANK(INDEX(บันทึกสต็อครายวัน!$F$122:$F$9999,MATCH(TEXT($B$2,"YYYYMMDD")&amp;"|"&amp;$E$2&amp;"|"&amp;B14,บันทึกสต็อครายวัน!$M$122:$M$9999,0))),"",INDEX(บันทึกสต็อครายวัน!$F$122:$F$9999,MATCH(TEXT($B$2,"YYYYMMDD")&amp;"|"&amp;$E$2&amp;"|"&amp;B14,บันทึกสต็อครายวัน!$M$122:$M$9999,0))),"")</f>
        <v/>
      </c>
      <c r="G14" s="155" t="str">
        <f>IFERROR(IF(ISBLANK(INDEX(บันทึกสต็อครายวัน!$G$122:$G$9999,MATCH(TEXT($B$2,"YYYYMMDD")&amp;"|"&amp;$E$2&amp;"|"&amp;B14,บันทึกสต็อครายวัน!$M$122:$M$9999,0))),"",INDEX(บันทึกสต็อครายวัน!$G$122:$G$9999,MATCH(TEXT($B$2,"YYYYMMDD")&amp;"|"&amp;$E$2&amp;"|"&amp;B14,บันทึกสต็อครายวัน!$M$122:$M$9999,0))),"")</f>
        <v/>
      </c>
      <c r="H14" s="156" t="str">
        <f>IFERROR(IF(ISBLANK(INDEX(บันทึกสต็อครายวัน!$H$122:$H$9999,MATCH(TEXT($B$2,"YYYYMMDD")&amp;"|"&amp;$E$2&amp;"|"&amp;B14,บันทึกสต็อครายวัน!$M$122:$M$9999,0))),"",INDEX(บันทึกสต็อครายวัน!$H$122:$H$9999,MATCH(TEXT($B$2,"YYYYMMDD")&amp;"|"&amp;$E$2&amp;"|"&amp;B14,บันทึกสต็อครายวัน!$M$122:$M$9999,0))),"")</f>
        <v/>
      </c>
      <c r="I14" s="153" t="str">
        <f>IFERROR(IF(ISBLANK(INDEX(บันทึกสต็อครายวัน!$I$122:$I$9999,MATCH(TEXT($B$2,"YYYYMMDD")&amp;"|"&amp;$E$2&amp;"|"&amp;B14,บันทึกสต็อครายวัน!$M$122:$M$9999,0))),"",INDEX(บันทึกสต็อครายวัน!$I$122:$I$9999,MATCH(TEXT($B$2,"YYYYMMDD")&amp;"|"&amp;$E$2&amp;"|"&amp;B14,บันทึกสต็อครายวัน!$M$122:$M$9999,0))),"")</f>
        <v/>
      </c>
      <c r="J14" s="155" t="str">
        <f>IFERROR(IF(ISBLANK(INDEX(บันทึกสต็อครายวัน!$J$122:$J$9999,MATCH(TEXT($B$2,"YYYYMMDD")&amp;"|"&amp;$E$2&amp;"|"&amp;B14,บันทึกสต็อครายวัน!$M$122:$M$9999,0))),"",INDEX(บันทึกสต็อครายวัน!$J$122:$J$9999,MATCH(TEXT($B$2,"YYYYMMDD")&amp;"|"&amp;$E$2&amp;"|"&amp;B14,บันทึกสต็อครายวัน!$M$122:$M$9999,0))),"")</f>
        <v/>
      </c>
      <c r="K14" s="154" t="str">
        <f>IFERROR(IF(ISBLANK(INDEX(บันทึกสต็อครายวัน!$K$122:$K$9999,MATCH(TEXT($B$2,"YYYYMMDD")&amp;"|"&amp;$E$2&amp;"|"&amp;B14,บันทึกสต็อครายวัน!$M$122:$M$9999,0))),"",INDEX(บันทึกสต็อครายวัน!$K$122:$K$9999,MATCH(TEXT($B$2,"YYYYMMDD")&amp;"|"&amp;$E$2&amp;"|"&amp;B14,บันทึกสต็อครายวัน!$M$122:$M$9999,0))),"")</f>
        <v/>
      </c>
      <c r="L14" s="154" t="str">
        <f>IFERROR(IF(ISBLANK(INDEX(บันทึกสต็อครายวัน!$L$122:$L$9999,MATCH(TEXT($B$2,"YYYYMMDD")&amp;"|"&amp;$E$2&amp;"|"&amp;B14,บันทึกสต็อครายวัน!$M$122:$M$9999,0))),"",INDEX(บันทึกสต็อครายวัน!$L$122:$L$9999,MATCH(TEXT($B$2,"YYYYMMDD")&amp;"|"&amp;$E$2&amp;"|"&amp;B14,บันทึกสต็อครายวัน!$M$122:$M$9999,0))),"")</f>
        <v/>
      </c>
    </row>
    <row r="15" spans="1:12" ht="18" customHeight="1">
      <c r="A15" s="146" t="s">
        <v>38</v>
      </c>
      <c r="B15" s="147" t="s">
        <v>39</v>
      </c>
      <c r="C15" s="148" t="s">
        <v>40</v>
      </c>
      <c r="D15" s="149">
        <f>IFERROR(IF(INDEX(บันทึกสต็อครายวัน!$D$122:$D$9999,MATCH(TEXT($B$2,"YYYYMMDD")&amp;"|"&amp;$E$2&amp;"|"&amp;B15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15)*บันทึกสต็อครายวัน!$A$122:$A$9999)),"YYYYMMDD")&amp;"|"&amp;$E$2&amp;"|"&amp;B15,บันทึกสต็อครายวัน!$M$122:$M$9999,0))),""),INDEX(บันทึกสต็อครายวัน!$D$122:$D$9999,MATCH(TEXT($B$2,"YYYYMMDD")&amp;"|"&amp;$E$2&amp;"|"&amp;B15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15)*บันทึกสต็อครายวัน!$A$122:$A$9999)),"YYYYMMDD")&amp;"|"&amp;$E$2&amp;"|"&amp;B15,บันทึกสต็อครายวัน!$M$122:$M$9999,0))),""))</f>
        <v>15</v>
      </c>
      <c r="E15" s="150">
        <f>IFERROR(IF(INDEX(บันทึกสต็อครายวัน!$E$122:$E$9999,MATCH(TEXT($B$2,"YYYYMMDD")&amp;"|"&amp;$E$2&amp;"|"&amp;B15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15)*บันทึกสต็อครายวัน!$A$122:$A$9999)),"YYYYMMDD")&amp;"|"&amp;$E$2&amp;"|"&amp;B15,บันทึกสต็อครายวัน!$M$122:$M$9999,0))),""),INDEX(บันทึกสต็อครายวัน!$E$122:$E$9999,MATCH(TEXT($B$2,"YYYYMMDD")&amp;"|"&amp;$E$2&amp;"|"&amp;B15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15)*บันทึกสต็อครายวัน!$A$122:$A$9999)),"YYYYMMDD")&amp;"|"&amp;$E$2&amp;"|"&amp;B15,บันทึกสต็อครายวัน!$M$122:$M$9999,0))),""))</f>
        <v>0</v>
      </c>
      <c r="F15" s="149" t="str">
        <f>IFERROR(IF(ISBLANK(INDEX(บันทึกสต็อครายวัน!$F$122:$F$9999,MATCH(TEXT($B$2,"YYYYMMDD")&amp;"|"&amp;$E$2&amp;"|"&amp;B15,บันทึกสต็อครายวัน!$M$122:$M$9999,0))),"",INDEX(บันทึกสต็อครายวัน!$F$122:$F$9999,MATCH(TEXT($B$2,"YYYYMMDD")&amp;"|"&amp;$E$2&amp;"|"&amp;B15,บันทึกสต็อครายวัน!$M$122:$M$9999,0))),"")</f>
        <v/>
      </c>
      <c r="G15" s="155" t="str">
        <f>IFERROR(IF(ISBLANK(INDEX(บันทึกสต็อครายวัน!$G$122:$G$9999,MATCH(TEXT($B$2,"YYYYMMDD")&amp;"|"&amp;$E$2&amp;"|"&amp;B15,บันทึกสต็อครายวัน!$M$122:$M$9999,0))),"",INDEX(บันทึกสต็อครายวัน!$G$122:$G$9999,MATCH(TEXT($B$2,"YYYYMMDD")&amp;"|"&amp;$E$2&amp;"|"&amp;B15,บันทึกสต็อครายวัน!$M$122:$M$9999,0))),"")</f>
        <v/>
      </c>
      <c r="H15" s="156" t="str">
        <f>IFERROR(IF(ISBLANK(INDEX(บันทึกสต็อครายวัน!$H$122:$H$9999,MATCH(TEXT($B$2,"YYYYMMDD")&amp;"|"&amp;$E$2&amp;"|"&amp;B15,บันทึกสต็อครายวัน!$M$122:$M$9999,0))),"",INDEX(บันทึกสต็อครายวัน!$H$122:$H$9999,MATCH(TEXT($B$2,"YYYYMMDD")&amp;"|"&amp;$E$2&amp;"|"&amp;B15,บันทึกสต็อครายวัน!$M$122:$M$9999,0))),"")</f>
        <v/>
      </c>
      <c r="I15" s="153" t="str">
        <f>IFERROR(IF(ISBLANK(INDEX(บันทึกสต็อครายวัน!$I$122:$I$9999,MATCH(TEXT($B$2,"YYYYMMDD")&amp;"|"&amp;$E$2&amp;"|"&amp;B15,บันทึกสต็อครายวัน!$M$122:$M$9999,0))),"",INDEX(บันทึกสต็อครายวัน!$I$122:$I$9999,MATCH(TEXT($B$2,"YYYYMMDD")&amp;"|"&amp;$E$2&amp;"|"&amp;B15,บันทึกสต็อครายวัน!$M$122:$M$9999,0))),"")</f>
        <v/>
      </c>
      <c r="J15" s="155" t="str">
        <f>IFERROR(IF(ISBLANK(INDEX(บันทึกสต็อครายวัน!$J$122:$J$9999,MATCH(TEXT($B$2,"YYYYMMDD")&amp;"|"&amp;$E$2&amp;"|"&amp;B15,บันทึกสต็อครายวัน!$M$122:$M$9999,0))),"",INDEX(บันทึกสต็อครายวัน!$J$122:$J$9999,MATCH(TEXT($B$2,"YYYYMMDD")&amp;"|"&amp;$E$2&amp;"|"&amp;B15,บันทึกสต็อครายวัน!$M$122:$M$9999,0))),"")</f>
        <v/>
      </c>
      <c r="K15" s="154" t="str">
        <f>IFERROR(IF(ISBLANK(INDEX(บันทึกสต็อครายวัน!$K$122:$K$9999,MATCH(TEXT($B$2,"YYYYMMDD")&amp;"|"&amp;$E$2&amp;"|"&amp;B15,บันทึกสต็อครายวัน!$M$122:$M$9999,0))),"",INDEX(บันทึกสต็อครายวัน!$K$122:$K$9999,MATCH(TEXT($B$2,"YYYYMMDD")&amp;"|"&amp;$E$2&amp;"|"&amp;B15,บันทึกสต็อครายวัน!$M$122:$M$9999,0))),"")</f>
        <v/>
      </c>
      <c r="L15" s="154" t="str">
        <f>IFERROR(IF(ISBLANK(INDEX(บันทึกสต็อครายวัน!$L$122:$L$9999,MATCH(TEXT($B$2,"YYYYMMDD")&amp;"|"&amp;$E$2&amp;"|"&amp;B15,บันทึกสต็อครายวัน!$M$122:$M$9999,0))),"",INDEX(บันทึกสต็อครายวัน!$L$122:$L$9999,MATCH(TEXT($B$2,"YYYYMMDD")&amp;"|"&amp;$E$2&amp;"|"&amp;B15,บันทึกสต็อครายวัน!$M$122:$M$9999,0))),"")</f>
        <v/>
      </c>
    </row>
    <row r="16" spans="1:12" ht="18" customHeight="1">
      <c r="A16" s="146" t="s">
        <v>38</v>
      </c>
      <c r="B16" s="147" t="s">
        <v>41</v>
      </c>
      <c r="C16" s="148" t="s">
        <v>42</v>
      </c>
      <c r="D16" s="149">
        <f>IFERROR(IF(INDEX(บันทึกสต็อครายวัน!$D$122:$D$9999,MATCH(TEXT($B$2,"YYYYMMDD")&amp;"|"&amp;$E$2&amp;"|"&amp;B16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16)*บันทึกสต็อครายวัน!$A$122:$A$9999)),"YYYYMMDD")&amp;"|"&amp;$E$2&amp;"|"&amp;B16,บันทึกสต็อครายวัน!$M$122:$M$9999,0))),""),INDEX(บันทึกสต็อครายวัน!$D$122:$D$9999,MATCH(TEXT($B$2,"YYYYMMDD")&amp;"|"&amp;$E$2&amp;"|"&amp;B16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16)*บันทึกสต็อครายวัน!$A$122:$A$9999)),"YYYYMMDD")&amp;"|"&amp;$E$2&amp;"|"&amp;B16,บันทึกสต็อครายวัน!$M$122:$M$9999,0))),""))</f>
        <v>18</v>
      </c>
      <c r="E16" s="150">
        <f>IFERROR(IF(INDEX(บันทึกสต็อครายวัน!$E$122:$E$9999,MATCH(TEXT($B$2,"YYYYMMDD")&amp;"|"&amp;$E$2&amp;"|"&amp;B16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16)*บันทึกสต็อครายวัน!$A$122:$A$9999)),"YYYYMMDD")&amp;"|"&amp;$E$2&amp;"|"&amp;B16,บันทึกสต็อครายวัน!$M$122:$M$9999,0))),""),INDEX(บันทึกสต็อครายวัน!$E$122:$E$9999,MATCH(TEXT($B$2,"YYYYMMDD")&amp;"|"&amp;$E$2&amp;"|"&amp;B16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16)*บันทึกสต็อครายวัน!$A$122:$A$9999)),"YYYYMMDD")&amp;"|"&amp;$E$2&amp;"|"&amp;B16,บันทึกสต็อครายวัน!$M$122:$M$9999,0))),""))</f>
        <v>0</v>
      </c>
      <c r="F16" s="149" t="str">
        <f>IFERROR(IF(ISBLANK(INDEX(บันทึกสต็อครายวัน!$F$122:$F$9999,MATCH(TEXT($B$2,"YYYYMMDD")&amp;"|"&amp;$E$2&amp;"|"&amp;B16,บันทึกสต็อครายวัน!$M$122:$M$9999,0))),"",INDEX(บันทึกสต็อครายวัน!$F$122:$F$9999,MATCH(TEXT($B$2,"YYYYMMDD")&amp;"|"&amp;$E$2&amp;"|"&amp;B16,บันทึกสต็อครายวัน!$M$122:$M$9999,0))),"")</f>
        <v/>
      </c>
      <c r="G16" s="155" t="str">
        <f>IFERROR(IF(ISBLANK(INDEX(บันทึกสต็อครายวัน!$G$122:$G$9999,MATCH(TEXT($B$2,"YYYYMMDD")&amp;"|"&amp;$E$2&amp;"|"&amp;B16,บันทึกสต็อครายวัน!$M$122:$M$9999,0))),"",INDEX(บันทึกสต็อครายวัน!$G$122:$G$9999,MATCH(TEXT($B$2,"YYYYMMDD")&amp;"|"&amp;$E$2&amp;"|"&amp;B16,บันทึกสต็อครายวัน!$M$122:$M$9999,0))),"")</f>
        <v/>
      </c>
      <c r="H16" s="156" t="str">
        <f>IFERROR(IF(ISBLANK(INDEX(บันทึกสต็อครายวัน!$H$122:$H$9999,MATCH(TEXT($B$2,"YYYYMMDD")&amp;"|"&amp;$E$2&amp;"|"&amp;B16,บันทึกสต็อครายวัน!$M$122:$M$9999,0))),"",INDEX(บันทึกสต็อครายวัน!$H$122:$H$9999,MATCH(TEXT($B$2,"YYYYMMDD")&amp;"|"&amp;$E$2&amp;"|"&amp;B16,บันทึกสต็อครายวัน!$M$122:$M$9999,0))),"")</f>
        <v/>
      </c>
      <c r="I16" s="153" t="str">
        <f>IFERROR(IF(ISBLANK(INDEX(บันทึกสต็อครายวัน!$I$122:$I$9999,MATCH(TEXT($B$2,"YYYYMMDD")&amp;"|"&amp;$E$2&amp;"|"&amp;B16,บันทึกสต็อครายวัน!$M$122:$M$9999,0))),"",INDEX(บันทึกสต็อครายวัน!$I$122:$I$9999,MATCH(TEXT($B$2,"YYYYMMDD")&amp;"|"&amp;$E$2&amp;"|"&amp;B16,บันทึกสต็อครายวัน!$M$122:$M$9999,0))),"")</f>
        <v/>
      </c>
      <c r="J16" s="155" t="str">
        <f>IFERROR(IF(ISBLANK(INDEX(บันทึกสต็อครายวัน!$J$122:$J$9999,MATCH(TEXT($B$2,"YYYYMMDD")&amp;"|"&amp;$E$2&amp;"|"&amp;B16,บันทึกสต็อครายวัน!$M$122:$M$9999,0))),"",INDEX(บันทึกสต็อครายวัน!$J$122:$J$9999,MATCH(TEXT($B$2,"YYYYMMDD")&amp;"|"&amp;$E$2&amp;"|"&amp;B16,บันทึกสต็อครายวัน!$M$122:$M$9999,0))),"")</f>
        <v/>
      </c>
      <c r="K16" s="154" t="str">
        <f>IFERROR(IF(ISBLANK(INDEX(บันทึกสต็อครายวัน!$K$122:$K$9999,MATCH(TEXT($B$2,"YYYYMMDD")&amp;"|"&amp;$E$2&amp;"|"&amp;B16,บันทึกสต็อครายวัน!$M$122:$M$9999,0))),"",INDEX(บันทึกสต็อครายวัน!$K$122:$K$9999,MATCH(TEXT($B$2,"YYYYMMDD")&amp;"|"&amp;$E$2&amp;"|"&amp;B16,บันทึกสต็อครายวัน!$M$122:$M$9999,0))),"")</f>
        <v/>
      </c>
      <c r="L16" s="154" t="str">
        <f>IFERROR(IF(ISBLANK(INDEX(บันทึกสต็อครายวัน!$L$122:$L$9999,MATCH(TEXT($B$2,"YYYYMMDD")&amp;"|"&amp;$E$2&amp;"|"&amp;B16,บันทึกสต็อครายวัน!$M$122:$M$9999,0))),"",INDEX(บันทึกสต็อครายวัน!$L$122:$L$9999,MATCH(TEXT($B$2,"YYYYMMDD")&amp;"|"&amp;$E$2&amp;"|"&amp;B16,บันทึกสต็อครายวัน!$M$122:$M$9999,0))),"")</f>
        <v/>
      </c>
    </row>
    <row r="17" spans="1:12" ht="18" customHeight="1">
      <c r="A17" s="146" t="s">
        <v>43</v>
      </c>
      <c r="B17" s="147" t="s">
        <v>44</v>
      </c>
      <c r="C17" s="148" t="s">
        <v>45</v>
      </c>
      <c r="D17" s="149">
        <f>IFERROR(IF(INDEX(บันทึกสต็อครายวัน!$D$122:$D$9999,MATCH(TEXT($B$2,"YYYYMMDD")&amp;"|"&amp;$E$2&amp;"|"&amp;B17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17)*บันทึกสต็อครายวัน!$A$122:$A$9999)),"YYYYMMDD")&amp;"|"&amp;$E$2&amp;"|"&amp;B17,บันทึกสต็อครายวัน!$M$122:$M$9999,0))),""),INDEX(บันทึกสต็อครายวัน!$D$122:$D$9999,MATCH(TEXT($B$2,"YYYYMMDD")&amp;"|"&amp;$E$2&amp;"|"&amp;B17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17)*บันทึกสต็อครายวัน!$A$122:$A$9999)),"YYYYMMDD")&amp;"|"&amp;$E$2&amp;"|"&amp;B17,บันทึกสต็อครายวัน!$M$122:$M$9999,0))),""))</f>
        <v>0</v>
      </c>
      <c r="E17" s="150">
        <f>IFERROR(IF(INDEX(บันทึกสต็อครายวัน!$E$122:$E$9999,MATCH(TEXT($B$2,"YYYYMMDD")&amp;"|"&amp;$E$2&amp;"|"&amp;B17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17)*บันทึกสต็อครายวัน!$A$122:$A$9999)),"YYYYMMDD")&amp;"|"&amp;$E$2&amp;"|"&amp;B17,บันทึกสต็อครายวัน!$M$122:$M$9999,0))),""),INDEX(บันทึกสต็อครายวัน!$E$122:$E$9999,MATCH(TEXT($B$2,"YYYYMMDD")&amp;"|"&amp;$E$2&amp;"|"&amp;B17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17)*บันทึกสต็อครายวัน!$A$122:$A$9999)),"YYYYMMDD")&amp;"|"&amp;$E$2&amp;"|"&amp;B17,บันทึกสต็อครายวัน!$M$122:$M$9999,0))),""))</f>
        <v>0</v>
      </c>
      <c r="F17" s="149" t="str">
        <f>IFERROR(IF(ISBLANK(INDEX(บันทึกสต็อครายวัน!$F$122:$F$9999,MATCH(TEXT($B$2,"YYYYMMDD")&amp;"|"&amp;$E$2&amp;"|"&amp;B17,บันทึกสต็อครายวัน!$M$122:$M$9999,0))),"",INDEX(บันทึกสต็อครายวัน!$F$122:$F$9999,MATCH(TEXT($B$2,"YYYYMMDD")&amp;"|"&amp;$E$2&amp;"|"&amp;B17,บันทึกสต็อครายวัน!$M$122:$M$9999,0))),"")</f>
        <v/>
      </c>
      <c r="G17" s="149" t="str">
        <f>IFERROR(IF(ISBLANK(INDEX(บันทึกสต็อครายวัน!$G$122:$G$9999,MATCH(TEXT($B$2,"YYYYMMDD")&amp;"|"&amp;$E$2&amp;"|"&amp;B17,บันทึกสต็อครายวัน!$M$122:$M$9999,0))),"",INDEX(บันทึกสต็อครายวัน!$G$122:$G$9999,MATCH(TEXT($B$2,"YYYYMMDD")&amp;"|"&amp;$E$2&amp;"|"&amp;B17,บันทึกสต็อครายวัน!$M$122:$M$9999,0))),"")</f>
        <v/>
      </c>
      <c r="H17" s="152" t="str">
        <f>IFERROR(IF(ISBLANK(INDEX(บันทึกสต็อครายวัน!$H$122:$H$9999,MATCH(TEXT($B$2,"YYYYMMDD")&amp;"|"&amp;$E$2&amp;"|"&amp;B17,บันทึกสต็อครายวัน!$M$122:$M$9999,0))),"",INDEX(บันทึกสต็อครายวัน!$H$122:$H$9999,MATCH(TEXT($B$2,"YYYYMMDD")&amp;"|"&amp;$E$2&amp;"|"&amp;B17,บันทึกสต็อครายวัน!$M$122:$M$9999,0))),"")</f>
        <v/>
      </c>
      <c r="I17" s="153" t="str">
        <f>IFERROR(IF(ISBLANK(INDEX(บันทึกสต็อครายวัน!$I$122:$I$9999,MATCH(TEXT($B$2,"YYYYMMDD")&amp;"|"&amp;$E$2&amp;"|"&amp;B17,บันทึกสต็อครายวัน!$M$122:$M$9999,0))),"",INDEX(บันทึกสต็อครายวัน!$I$122:$I$9999,MATCH(TEXT($B$2,"YYYYMMDD")&amp;"|"&amp;$E$2&amp;"|"&amp;B17,บันทึกสต็อครายวัน!$M$122:$M$9999,0))),"")</f>
        <v/>
      </c>
      <c r="J17" s="153" t="str">
        <f>IFERROR(IF(ISBLANK(INDEX(บันทึกสต็อครายวัน!$J$122:$J$9999,MATCH(TEXT($B$2,"YYYYMMDD")&amp;"|"&amp;$E$2&amp;"|"&amp;B17,บันทึกสต็อครายวัน!$M$122:$M$9999,0))),"",INDEX(บันทึกสต็อครายวัน!$J$122:$J$9999,MATCH(TEXT($B$2,"YYYYMMDD")&amp;"|"&amp;$E$2&amp;"|"&amp;B17,บันทึกสต็อครายวัน!$M$122:$M$9999,0))),"")</f>
        <v/>
      </c>
      <c r="K17" s="154" t="str">
        <f>IFERROR(IF(ISBLANK(INDEX(บันทึกสต็อครายวัน!$K$122:$K$9999,MATCH(TEXT($B$2,"YYYYMMDD")&amp;"|"&amp;$E$2&amp;"|"&amp;B17,บันทึกสต็อครายวัน!$M$122:$M$9999,0))),"",INDEX(บันทึกสต็อครายวัน!$K$122:$K$9999,MATCH(TEXT($B$2,"YYYYMMDD")&amp;"|"&amp;$E$2&amp;"|"&amp;B17,บันทึกสต็อครายวัน!$M$122:$M$9999,0))),"")</f>
        <v/>
      </c>
      <c r="L17" s="154" t="str">
        <f>IFERROR(IF(ISBLANK(INDEX(บันทึกสต็อครายวัน!$L$122:$L$9999,MATCH(TEXT($B$2,"YYYYMMDD")&amp;"|"&amp;$E$2&amp;"|"&amp;B17,บันทึกสต็อครายวัน!$M$122:$M$9999,0))),"",INDEX(บันทึกสต็อครายวัน!$L$122:$L$9999,MATCH(TEXT($B$2,"YYYYMMDD")&amp;"|"&amp;$E$2&amp;"|"&amp;B17,บันทึกสต็อครายวัน!$M$122:$M$9999,0))),"")</f>
        <v/>
      </c>
    </row>
    <row r="18" spans="1:12" ht="18" customHeight="1">
      <c r="A18" s="146" t="s">
        <v>43</v>
      </c>
      <c r="B18" s="147" t="s">
        <v>46</v>
      </c>
      <c r="C18" s="148" t="s">
        <v>47</v>
      </c>
      <c r="D18" s="149">
        <f>IFERROR(IF(INDEX(บันทึกสต็อครายวัน!$D$122:$D$9999,MATCH(TEXT($B$2,"YYYYMMDD")&amp;"|"&amp;$E$2&amp;"|"&amp;B18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18)*บันทึกสต็อครายวัน!$A$122:$A$9999)),"YYYYMMDD")&amp;"|"&amp;$E$2&amp;"|"&amp;B18,บันทึกสต็อครายวัน!$M$122:$M$9999,0))),""),INDEX(บันทึกสต็อครายวัน!$D$122:$D$9999,MATCH(TEXT($B$2,"YYYYMMDD")&amp;"|"&amp;$E$2&amp;"|"&amp;B18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18)*บันทึกสต็อครายวัน!$A$122:$A$9999)),"YYYYMMDD")&amp;"|"&amp;$E$2&amp;"|"&amp;B18,บันทึกสต็อครายวัน!$M$122:$M$9999,0))),""))</f>
        <v>0</v>
      </c>
      <c r="E18" s="150">
        <f>IFERROR(IF(INDEX(บันทึกสต็อครายวัน!$E$122:$E$9999,MATCH(TEXT($B$2,"YYYYMMDD")&amp;"|"&amp;$E$2&amp;"|"&amp;B18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18)*บันทึกสต็อครายวัน!$A$122:$A$9999)),"YYYYMMDD")&amp;"|"&amp;$E$2&amp;"|"&amp;B18,บันทึกสต็อครายวัน!$M$122:$M$9999,0))),""),INDEX(บันทึกสต็อครายวัน!$E$122:$E$9999,MATCH(TEXT($B$2,"YYYYMMDD")&amp;"|"&amp;$E$2&amp;"|"&amp;B18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18)*บันทึกสต็อครายวัน!$A$122:$A$9999)),"YYYYMMDD")&amp;"|"&amp;$E$2&amp;"|"&amp;B18,บันทึกสต็อครายวัน!$M$122:$M$9999,0))),""))</f>
        <v>0</v>
      </c>
      <c r="F18" s="149" t="str">
        <f>IFERROR(IF(ISBLANK(INDEX(บันทึกสต็อครายวัน!$F$122:$F$9999,MATCH(TEXT($B$2,"YYYYMMDD")&amp;"|"&amp;$E$2&amp;"|"&amp;B18,บันทึกสต็อครายวัน!$M$122:$M$9999,0))),"",INDEX(บันทึกสต็อครายวัน!$F$122:$F$9999,MATCH(TEXT($B$2,"YYYYMMDD")&amp;"|"&amp;$E$2&amp;"|"&amp;B18,บันทึกสต็อครายวัน!$M$122:$M$9999,0))),"")</f>
        <v/>
      </c>
      <c r="G18" s="149" t="str">
        <f>IFERROR(IF(ISBLANK(INDEX(บันทึกสต็อครายวัน!$G$122:$G$9999,MATCH(TEXT($B$2,"YYYYMMDD")&amp;"|"&amp;$E$2&amp;"|"&amp;B18,บันทึกสต็อครายวัน!$M$122:$M$9999,0))),"",INDEX(บันทึกสต็อครายวัน!$G$122:$G$9999,MATCH(TEXT($B$2,"YYYYMMDD")&amp;"|"&amp;$E$2&amp;"|"&amp;B18,บันทึกสต็อครายวัน!$M$122:$M$9999,0))),"")</f>
        <v/>
      </c>
      <c r="H18" s="152" t="str">
        <f>IFERROR(IF(ISBLANK(INDEX(บันทึกสต็อครายวัน!$H$122:$H$9999,MATCH(TEXT($B$2,"YYYYMMDD")&amp;"|"&amp;$E$2&amp;"|"&amp;B18,บันทึกสต็อครายวัน!$M$122:$M$9999,0))),"",INDEX(บันทึกสต็อครายวัน!$H$122:$H$9999,MATCH(TEXT($B$2,"YYYYMMDD")&amp;"|"&amp;$E$2&amp;"|"&amp;B18,บันทึกสต็อครายวัน!$M$122:$M$9999,0))),"")</f>
        <v/>
      </c>
      <c r="I18" s="157" t="str">
        <f>IFERROR(IF(ISBLANK(INDEX(บันทึกสต็อครายวัน!$I$122:$I$9999,MATCH(TEXT($B$2,"YYYYMMDD")&amp;"|"&amp;$E$2&amp;"|"&amp;B18,บันทึกสต็อครายวัน!$M$122:$M$9999,0))),"",INDEX(บันทึกสต็อครายวัน!$I$122:$I$9999,MATCH(TEXT($B$2,"YYYYMMDD")&amp;"|"&amp;$E$2&amp;"|"&amp;B18,บันทึกสต็อครายวัน!$M$122:$M$9999,0))),"")</f>
        <v/>
      </c>
      <c r="J18" s="153" t="str">
        <f>IFERROR(IF(ISBLANK(INDEX(บันทึกสต็อครายวัน!$J$122:$J$9999,MATCH(TEXT($B$2,"YYYYMMDD")&amp;"|"&amp;$E$2&amp;"|"&amp;B18,บันทึกสต็อครายวัน!$M$122:$M$9999,0))),"",INDEX(บันทึกสต็อครายวัน!$J$122:$J$9999,MATCH(TEXT($B$2,"YYYYMMDD")&amp;"|"&amp;$E$2&amp;"|"&amp;B18,บันทึกสต็อครายวัน!$M$122:$M$9999,0))),"")</f>
        <v/>
      </c>
      <c r="K18" s="154" t="str">
        <f>IFERROR(IF(ISBLANK(INDEX(บันทึกสต็อครายวัน!$K$122:$K$9999,MATCH(TEXT($B$2,"YYYYMMDD")&amp;"|"&amp;$E$2&amp;"|"&amp;B18,บันทึกสต็อครายวัน!$M$122:$M$9999,0))),"",INDEX(บันทึกสต็อครายวัน!$K$122:$K$9999,MATCH(TEXT($B$2,"YYYYMMDD")&amp;"|"&amp;$E$2&amp;"|"&amp;B18,บันทึกสต็อครายวัน!$M$122:$M$9999,0))),"")</f>
        <v/>
      </c>
      <c r="L18" s="154" t="str">
        <f>IFERROR(IF(ISBLANK(INDEX(บันทึกสต็อครายวัน!$L$122:$L$9999,MATCH(TEXT($B$2,"YYYYMMDD")&amp;"|"&amp;$E$2&amp;"|"&amp;B18,บันทึกสต็อครายวัน!$M$122:$M$9999,0))),"",INDEX(บันทึกสต็อครายวัน!$L$122:$L$9999,MATCH(TEXT($B$2,"YYYYMMDD")&amp;"|"&amp;$E$2&amp;"|"&amp;B18,บันทึกสต็อครายวัน!$M$122:$M$9999,0))),"")</f>
        <v/>
      </c>
    </row>
    <row r="19" spans="1:12" ht="18" customHeight="1">
      <c r="A19" s="146" t="s">
        <v>48</v>
      </c>
      <c r="B19" s="147" t="s">
        <v>49</v>
      </c>
      <c r="C19" s="148" t="s">
        <v>50</v>
      </c>
      <c r="D19" s="149">
        <f>IFERROR(IF(INDEX(บันทึกสต็อครายวัน!$D$122:$D$9999,MATCH(TEXT($B$2,"YYYYMMDD")&amp;"|"&amp;$E$2&amp;"|"&amp;B19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19)*บันทึกสต็อครายวัน!$A$122:$A$9999)),"YYYYMMDD")&amp;"|"&amp;$E$2&amp;"|"&amp;B19,บันทึกสต็อครายวัน!$M$122:$M$9999,0))),""),INDEX(บันทึกสต็อครายวัน!$D$122:$D$9999,MATCH(TEXT($B$2,"YYYYMMDD")&amp;"|"&amp;$E$2&amp;"|"&amp;B19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19)*บันทึกสต็อครายวัน!$A$122:$A$9999)),"YYYYMMDD")&amp;"|"&amp;$E$2&amp;"|"&amp;B19,บันทึกสต็อครายวัน!$M$122:$M$9999,0))),""))</f>
        <v>0</v>
      </c>
      <c r="E19" s="150">
        <f>IFERROR(IF(INDEX(บันทึกสต็อครายวัน!$E$122:$E$9999,MATCH(TEXT($B$2,"YYYYMMDD")&amp;"|"&amp;$E$2&amp;"|"&amp;B19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19)*บันทึกสต็อครายวัน!$A$122:$A$9999)),"YYYYMMDD")&amp;"|"&amp;$E$2&amp;"|"&amp;B19,บันทึกสต็อครายวัน!$M$122:$M$9999,0))),""),INDEX(บันทึกสต็อครายวัน!$E$122:$E$9999,MATCH(TEXT($B$2,"YYYYMMDD")&amp;"|"&amp;$E$2&amp;"|"&amp;B19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19)*บันทึกสต็อครายวัน!$A$122:$A$9999)),"YYYYMMDD")&amp;"|"&amp;$E$2&amp;"|"&amp;B19,บันทึกสต็อครายวัน!$M$122:$M$9999,0))),""))</f>
        <v>0</v>
      </c>
      <c r="F19" s="149" t="str">
        <f>IFERROR(IF(ISBLANK(INDEX(บันทึกสต็อครายวัน!$F$122:$F$9999,MATCH(TEXT($B$2,"YYYYMMDD")&amp;"|"&amp;$E$2&amp;"|"&amp;B19,บันทึกสต็อครายวัน!$M$122:$M$9999,0))),"",INDEX(บันทึกสต็อครายวัน!$F$122:$F$9999,MATCH(TEXT($B$2,"YYYYMMDD")&amp;"|"&amp;$E$2&amp;"|"&amp;B19,บันทึกสต็อครายวัน!$M$122:$M$9999,0))),"")</f>
        <v/>
      </c>
      <c r="G19" s="155" t="str">
        <f>IFERROR(IF(ISBLANK(INDEX(บันทึกสต็อครายวัน!$G$122:$G$9999,MATCH(TEXT($B$2,"YYYYMMDD")&amp;"|"&amp;$E$2&amp;"|"&amp;B19,บันทึกสต็อครายวัน!$M$122:$M$9999,0))),"",INDEX(บันทึกสต็อครายวัน!$G$122:$G$9999,MATCH(TEXT($B$2,"YYYYMMDD")&amp;"|"&amp;$E$2&amp;"|"&amp;B19,บันทึกสต็อครายวัน!$M$122:$M$9999,0))),"")</f>
        <v/>
      </c>
      <c r="H19" s="156" t="str">
        <f>IFERROR(IF(ISBLANK(INDEX(บันทึกสต็อครายวัน!$H$122:$H$9999,MATCH(TEXT($B$2,"YYYYMMDD")&amp;"|"&amp;$E$2&amp;"|"&amp;B19,บันทึกสต็อครายวัน!$M$122:$M$9999,0))),"",INDEX(บันทึกสต็อครายวัน!$H$122:$H$9999,MATCH(TEXT($B$2,"YYYYMMDD")&amp;"|"&amp;$E$2&amp;"|"&amp;B19,บันทึกสต็อครายวัน!$M$122:$M$9999,0))),"")</f>
        <v/>
      </c>
      <c r="I19" s="153" t="str">
        <f>IFERROR(IF(ISBLANK(INDEX(บันทึกสต็อครายวัน!$I$122:$I$9999,MATCH(TEXT($B$2,"YYYYMMDD")&amp;"|"&amp;$E$2&amp;"|"&amp;B19,บันทึกสต็อครายวัน!$M$122:$M$9999,0))),"",INDEX(บันทึกสต็อครายวัน!$I$122:$I$9999,MATCH(TEXT($B$2,"YYYYMMDD")&amp;"|"&amp;$E$2&amp;"|"&amp;B19,บันทึกสต็อครายวัน!$M$122:$M$9999,0))),"")</f>
        <v/>
      </c>
      <c r="J19" s="155" t="str">
        <f>IFERROR(IF(ISBLANK(INDEX(บันทึกสต็อครายวัน!$J$122:$J$9999,MATCH(TEXT($B$2,"YYYYMMDD")&amp;"|"&amp;$E$2&amp;"|"&amp;B19,บันทึกสต็อครายวัน!$M$122:$M$9999,0))),"",INDEX(บันทึกสต็อครายวัน!$J$122:$J$9999,MATCH(TEXT($B$2,"YYYYMMDD")&amp;"|"&amp;$E$2&amp;"|"&amp;B19,บันทึกสต็อครายวัน!$M$122:$M$9999,0))),"")</f>
        <v/>
      </c>
      <c r="K19" s="154" t="str">
        <f>IFERROR(IF(ISBLANK(INDEX(บันทึกสต็อครายวัน!$K$122:$K$9999,MATCH(TEXT($B$2,"YYYYMMDD")&amp;"|"&amp;$E$2&amp;"|"&amp;B19,บันทึกสต็อครายวัน!$M$122:$M$9999,0))),"",INDEX(บันทึกสต็อครายวัน!$K$122:$K$9999,MATCH(TEXT($B$2,"YYYYMMDD")&amp;"|"&amp;$E$2&amp;"|"&amp;B19,บันทึกสต็อครายวัน!$M$122:$M$9999,0))),"")</f>
        <v/>
      </c>
      <c r="L19" s="154" t="str">
        <f>IFERROR(IF(ISBLANK(INDEX(บันทึกสต็อครายวัน!$L$122:$L$9999,MATCH(TEXT($B$2,"YYYYMMDD")&amp;"|"&amp;$E$2&amp;"|"&amp;B19,บันทึกสต็อครายวัน!$M$122:$M$9999,0))),"",INDEX(บันทึกสต็อครายวัน!$L$122:$L$9999,MATCH(TEXT($B$2,"YYYYMMDD")&amp;"|"&amp;$E$2&amp;"|"&amp;B19,บันทึกสต็อครายวัน!$M$122:$M$9999,0))),"")</f>
        <v/>
      </c>
    </row>
    <row r="20" spans="1:12" ht="18" customHeight="1">
      <c r="A20" s="146" t="s">
        <v>51</v>
      </c>
      <c r="B20" s="147" t="s">
        <v>52</v>
      </c>
      <c r="C20" s="148" t="s">
        <v>50</v>
      </c>
      <c r="D20" s="149">
        <f>IFERROR(IF(INDEX(บันทึกสต็อครายวัน!$D$122:$D$9999,MATCH(TEXT($B$2,"YYYYMMDD")&amp;"|"&amp;$E$2&amp;"|"&amp;B20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20)*บันทึกสต็อครายวัน!$A$122:$A$9999)),"YYYYMMDD")&amp;"|"&amp;$E$2&amp;"|"&amp;B20,บันทึกสต็อครายวัน!$M$122:$M$9999,0))),""),INDEX(บันทึกสต็อครายวัน!$D$122:$D$9999,MATCH(TEXT($B$2,"YYYYMMDD")&amp;"|"&amp;$E$2&amp;"|"&amp;B20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20)*บันทึกสต็อครายวัน!$A$122:$A$9999)),"YYYYMMDD")&amp;"|"&amp;$E$2&amp;"|"&amp;B20,บันทึกสต็อครายวัน!$M$122:$M$9999,0))),""))</f>
        <v>73</v>
      </c>
      <c r="E20" s="150">
        <f>IFERROR(IF(INDEX(บันทึกสต็อครายวัน!$E$122:$E$9999,MATCH(TEXT($B$2,"YYYYMMDD")&amp;"|"&amp;$E$2&amp;"|"&amp;B20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20)*บันทึกสต็อครายวัน!$A$122:$A$9999)),"YYYYMMDD")&amp;"|"&amp;$E$2&amp;"|"&amp;B20,บันทึกสต็อครายวัน!$M$122:$M$9999,0))),""),INDEX(บันทึกสต็อครายวัน!$E$122:$E$9999,MATCH(TEXT($B$2,"YYYYMMDD")&amp;"|"&amp;$E$2&amp;"|"&amp;B20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20)*บันทึกสต็อครายวัน!$A$122:$A$9999)),"YYYYMMDD")&amp;"|"&amp;$E$2&amp;"|"&amp;B20,บันทึกสต็อครายวัน!$M$122:$M$9999,0))),""))</f>
        <v>0</v>
      </c>
      <c r="F20" s="149" t="str">
        <f>IFERROR(IF(ISBLANK(INDEX(บันทึกสต็อครายวัน!$F$122:$F$9999,MATCH(TEXT($B$2,"YYYYMMDD")&amp;"|"&amp;$E$2&amp;"|"&amp;B20,บันทึกสต็อครายวัน!$M$122:$M$9999,0))),"",INDEX(บันทึกสต็อครายวัน!$F$122:$F$9999,MATCH(TEXT($B$2,"YYYYMMDD")&amp;"|"&amp;$E$2&amp;"|"&amp;B20,บันทึกสต็อครายวัน!$M$122:$M$9999,0))),"")</f>
        <v/>
      </c>
      <c r="G20" s="155" t="str">
        <f>IFERROR(IF(ISBLANK(INDEX(บันทึกสต็อครายวัน!$G$122:$G$9999,MATCH(TEXT($B$2,"YYYYMMDD")&amp;"|"&amp;$E$2&amp;"|"&amp;B20,บันทึกสต็อครายวัน!$M$122:$M$9999,0))),"",INDEX(บันทึกสต็อครายวัน!$G$122:$G$9999,MATCH(TEXT($B$2,"YYYYMMDD")&amp;"|"&amp;$E$2&amp;"|"&amp;B20,บันทึกสต็อครายวัน!$M$122:$M$9999,0))),"")</f>
        <v/>
      </c>
      <c r="H20" s="156" t="str">
        <f>IFERROR(IF(ISBLANK(INDEX(บันทึกสต็อครายวัน!$H$122:$H$9999,MATCH(TEXT($B$2,"YYYYMMDD")&amp;"|"&amp;$E$2&amp;"|"&amp;B20,บันทึกสต็อครายวัน!$M$122:$M$9999,0))),"",INDEX(บันทึกสต็อครายวัน!$H$122:$H$9999,MATCH(TEXT($B$2,"YYYYMMDD")&amp;"|"&amp;$E$2&amp;"|"&amp;B20,บันทึกสต็อครายวัน!$M$122:$M$9999,0))),"")</f>
        <v/>
      </c>
      <c r="I20" s="153" t="str">
        <f>IFERROR(IF(ISBLANK(INDEX(บันทึกสต็อครายวัน!$I$122:$I$9999,MATCH(TEXT($B$2,"YYYYMMDD")&amp;"|"&amp;$E$2&amp;"|"&amp;B20,บันทึกสต็อครายวัน!$M$122:$M$9999,0))),"",INDEX(บันทึกสต็อครายวัน!$I$122:$I$9999,MATCH(TEXT($B$2,"YYYYMMDD")&amp;"|"&amp;$E$2&amp;"|"&amp;B20,บันทึกสต็อครายวัน!$M$122:$M$9999,0))),"")</f>
        <v/>
      </c>
      <c r="J20" s="155" t="str">
        <f>IFERROR(IF(ISBLANK(INDEX(บันทึกสต็อครายวัน!$J$122:$J$9999,MATCH(TEXT($B$2,"YYYYMMDD")&amp;"|"&amp;$E$2&amp;"|"&amp;B20,บันทึกสต็อครายวัน!$M$122:$M$9999,0))),"",INDEX(บันทึกสต็อครายวัน!$J$122:$J$9999,MATCH(TEXT($B$2,"YYYYMMDD")&amp;"|"&amp;$E$2&amp;"|"&amp;B20,บันทึกสต็อครายวัน!$M$122:$M$9999,0))),"")</f>
        <v/>
      </c>
      <c r="K20" s="154" t="str">
        <f>IFERROR(IF(ISBLANK(INDEX(บันทึกสต็อครายวัน!$K$122:$K$9999,MATCH(TEXT($B$2,"YYYYMMDD")&amp;"|"&amp;$E$2&amp;"|"&amp;B20,บันทึกสต็อครายวัน!$M$122:$M$9999,0))),"",INDEX(บันทึกสต็อครายวัน!$K$122:$K$9999,MATCH(TEXT($B$2,"YYYYMMDD")&amp;"|"&amp;$E$2&amp;"|"&amp;B20,บันทึกสต็อครายวัน!$M$122:$M$9999,0))),"")</f>
        <v/>
      </c>
      <c r="L20" s="154" t="str">
        <f>IFERROR(IF(ISBLANK(INDEX(บันทึกสต็อครายวัน!$L$122:$L$9999,MATCH(TEXT($B$2,"YYYYMMDD")&amp;"|"&amp;$E$2&amp;"|"&amp;B20,บันทึกสต็อครายวัน!$M$122:$M$9999,0))),"",INDEX(บันทึกสต็อครายวัน!$L$122:$L$9999,MATCH(TEXT($B$2,"YYYYMMDD")&amp;"|"&amp;$E$2&amp;"|"&amp;B20,บันทึกสต็อครายวัน!$M$122:$M$9999,0))),"")</f>
        <v/>
      </c>
    </row>
    <row r="21" spans="1:12" ht="18" customHeight="1">
      <c r="A21" s="146" t="s">
        <v>53</v>
      </c>
      <c r="B21" s="147" t="s">
        <v>54</v>
      </c>
      <c r="C21" s="148" t="s">
        <v>55</v>
      </c>
      <c r="D21" s="149">
        <f>IFERROR(IF(INDEX(บันทึกสต็อครายวัน!$D$122:$D$9999,MATCH(TEXT($B$2,"YYYYMMDD")&amp;"|"&amp;$E$2&amp;"|"&amp;B21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21)*บันทึกสต็อครายวัน!$A$122:$A$9999)),"YYYYMMDD")&amp;"|"&amp;$E$2&amp;"|"&amp;B21,บันทึกสต็อครายวัน!$M$122:$M$9999,0))),""),INDEX(บันทึกสต็อครายวัน!$D$122:$D$9999,MATCH(TEXT($B$2,"YYYYMMDD")&amp;"|"&amp;$E$2&amp;"|"&amp;B21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21)*บันทึกสต็อครายวัน!$A$122:$A$9999)),"YYYYMMDD")&amp;"|"&amp;$E$2&amp;"|"&amp;B21,บันทึกสต็อครายวัน!$M$122:$M$9999,0))),""))</f>
        <v>0</v>
      </c>
      <c r="E21" s="150">
        <f>IFERROR(IF(INDEX(บันทึกสต็อครายวัน!$E$122:$E$9999,MATCH(TEXT($B$2,"YYYYMMDD")&amp;"|"&amp;$E$2&amp;"|"&amp;B21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21)*บันทึกสต็อครายวัน!$A$122:$A$9999)),"YYYYMMDD")&amp;"|"&amp;$E$2&amp;"|"&amp;B21,บันทึกสต็อครายวัน!$M$122:$M$9999,0))),""),INDEX(บันทึกสต็อครายวัน!$E$122:$E$9999,MATCH(TEXT($B$2,"YYYYMMDD")&amp;"|"&amp;$E$2&amp;"|"&amp;B21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21)*บันทึกสต็อครายวัน!$A$122:$A$9999)),"YYYYMMDD")&amp;"|"&amp;$E$2&amp;"|"&amp;B21,บันทึกสต็อครายวัน!$M$122:$M$9999,0))),""))</f>
        <v>0</v>
      </c>
      <c r="F21" s="149" t="str">
        <f>IFERROR(IF(ISBLANK(INDEX(บันทึกสต็อครายวัน!$F$122:$F$9999,MATCH(TEXT($B$2,"YYYYMMDD")&amp;"|"&amp;$E$2&amp;"|"&amp;B21,บันทึกสต็อครายวัน!$M$122:$M$9999,0))),"",INDEX(บันทึกสต็อครายวัน!$F$122:$F$9999,MATCH(TEXT($B$2,"YYYYMMDD")&amp;"|"&amp;$E$2&amp;"|"&amp;B21,บันทึกสต็อครายวัน!$M$122:$M$9999,0))),"")</f>
        <v/>
      </c>
      <c r="G21" s="155" t="str">
        <f>IFERROR(IF(ISBLANK(INDEX(บันทึกสต็อครายวัน!$G$122:$G$9999,MATCH(TEXT($B$2,"YYYYMMDD")&amp;"|"&amp;$E$2&amp;"|"&amp;B21,บันทึกสต็อครายวัน!$M$122:$M$9999,0))),"",INDEX(บันทึกสต็อครายวัน!$G$122:$G$9999,MATCH(TEXT($B$2,"YYYYMMDD")&amp;"|"&amp;$E$2&amp;"|"&amp;B21,บันทึกสต็อครายวัน!$M$122:$M$9999,0))),"")</f>
        <v/>
      </c>
      <c r="H21" s="156" t="str">
        <f>IFERROR(IF(ISBLANK(INDEX(บันทึกสต็อครายวัน!$H$122:$H$9999,MATCH(TEXT($B$2,"YYYYMMDD")&amp;"|"&amp;$E$2&amp;"|"&amp;B21,บันทึกสต็อครายวัน!$M$122:$M$9999,0))),"",INDEX(บันทึกสต็อครายวัน!$H$122:$H$9999,MATCH(TEXT($B$2,"YYYYMMDD")&amp;"|"&amp;$E$2&amp;"|"&amp;B21,บันทึกสต็อครายวัน!$M$122:$M$9999,0))),"")</f>
        <v/>
      </c>
      <c r="I21" s="153" t="str">
        <f>IFERROR(IF(ISBLANK(INDEX(บันทึกสต็อครายวัน!$I$122:$I$9999,MATCH(TEXT($B$2,"YYYYMMDD")&amp;"|"&amp;$E$2&amp;"|"&amp;B21,บันทึกสต็อครายวัน!$M$122:$M$9999,0))),"",INDEX(บันทึกสต็อครายวัน!$I$122:$I$9999,MATCH(TEXT($B$2,"YYYYMMDD")&amp;"|"&amp;$E$2&amp;"|"&amp;B21,บันทึกสต็อครายวัน!$M$122:$M$9999,0))),"")</f>
        <v/>
      </c>
      <c r="J21" s="155" t="str">
        <f>IFERROR(IF(ISBLANK(INDEX(บันทึกสต็อครายวัน!$J$122:$J$9999,MATCH(TEXT($B$2,"YYYYMMDD")&amp;"|"&amp;$E$2&amp;"|"&amp;B21,บันทึกสต็อครายวัน!$M$122:$M$9999,0))),"",INDEX(บันทึกสต็อครายวัน!$J$122:$J$9999,MATCH(TEXT($B$2,"YYYYMMDD")&amp;"|"&amp;$E$2&amp;"|"&amp;B21,บันทึกสต็อครายวัน!$M$122:$M$9999,0))),"")</f>
        <v/>
      </c>
      <c r="K21" s="154" t="str">
        <f>IFERROR(IF(ISBLANK(INDEX(บันทึกสต็อครายวัน!$K$122:$K$9999,MATCH(TEXT($B$2,"YYYYMMDD")&amp;"|"&amp;$E$2&amp;"|"&amp;B21,บันทึกสต็อครายวัน!$M$122:$M$9999,0))),"",INDEX(บันทึกสต็อครายวัน!$K$122:$K$9999,MATCH(TEXT($B$2,"YYYYMMDD")&amp;"|"&amp;$E$2&amp;"|"&amp;B21,บันทึกสต็อครายวัน!$M$122:$M$9999,0))),"")</f>
        <v/>
      </c>
      <c r="L21" s="154" t="str">
        <f>IFERROR(IF(ISBLANK(INDEX(บันทึกสต็อครายวัน!$L$122:$L$9999,MATCH(TEXT($B$2,"YYYYMMDD")&amp;"|"&amp;$E$2&amp;"|"&amp;B21,บันทึกสต็อครายวัน!$M$122:$M$9999,0))),"",INDEX(บันทึกสต็อครายวัน!$L$122:$L$9999,MATCH(TEXT($B$2,"YYYYMMDD")&amp;"|"&amp;$E$2&amp;"|"&amp;B21,บันทึกสต็อครายวัน!$M$122:$M$9999,0))),"")</f>
        <v/>
      </c>
    </row>
    <row r="22" spans="1:12" ht="18" customHeight="1">
      <c r="A22" s="146" t="s">
        <v>53</v>
      </c>
      <c r="B22" s="147" t="s">
        <v>56</v>
      </c>
      <c r="C22" s="148" t="s">
        <v>57</v>
      </c>
      <c r="D22" s="149">
        <f>IFERROR(IF(INDEX(บันทึกสต็อครายวัน!$D$122:$D$9999,MATCH(TEXT($B$2,"YYYYMMDD")&amp;"|"&amp;$E$2&amp;"|"&amp;B22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22)*บันทึกสต็อครายวัน!$A$122:$A$9999)),"YYYYMMDD")&amp;"|"&amp;$E$2&amp;"|"&amp;B22,บันทึกสต็อครายวัน!$M$122:$M$9999,0))),""),INDEX(บันทึกสต็อครายวัน!$D$122:$D$9999,MATCH(TEXT($B$2,"YYYYMMDD")&amp;"|"&amp;$E$2&amp;"|"&amp;B22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22)*บันทึกสต็อครายวัน!$A$122:$A$9999)),"YYYYMMDD")&amp;"|"&amp;$E$2&amp;"|"&amp;B22,บันทึกสต็อครายวัน!$M$122:$M$9999,0))),""))</f>
        <v>7</v>
      </c>
      <c r="E22" s="150">
        <f>IFERROR(IF(INDEX(บันทึกสต็อครายวัน!$E$122:$E$9999,MATCH(TEXT($B$2,"YYYYMMDD")&amp;"|"&amp;$E$2&amp;"|"&amp;B22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22)*บันทึกสต็อครายวัน!$A$122:$A$9999)),"YYYYMMDD")&amp;"|"&amp;$E$2&amp;"|"&amp;B22,บันทึกสต็อครายวัน!$M$122:$M$9999,0))),""),INDEX(บันทึกสต็อครายวัน!$E$122:$E$9999,MATCH(TEXT($B$2,"YYYYMMDD")&amp;"|"&amp;$E$2&amp;"|"&amp;B22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22)*บันทึกสต็อครายวัน!$A$122:$A$9999)),"YYYYMMDD")&amp;"|"&amp;$E$2&amp;"|"&amp;B22,บันทึกสต็อครายวัน!$M$122:$M$9999,0))),""))</f>
        <v>0</v>
      </c>
      <c r="F22" s="149" t="str">
        <f>IFERROR(IF(ISBLANK(INDEX(บันทึกสต็อครายวัน!$F$122:$F$9999,MATCH(TEXT($B$2,"YYYYMMDD")&amp;"|"&amp;$E$2&amp;"|"&amp;B22,บันทึกสต็อครายวัน!$M$122:$M$9999,0))),"",INDEX(บันทึกสต็อครายวัน!$F$122:$F$9999,MATCH(TEXT($B$2,"YYYYMMDD")&amp;"|"&amp;$E$2&amp;"|"&amp;B22,บันทึกสต็อครายวัน!$M$122:$M$9999,0))),"")</f>
        <v/>
      </c>
      <c r="G22" s="155" t="str">
        <f>IFERROR(IF(ISBLANK(INDEX(บันทึกสต็อครายวัน!$G$122:$G$9999,MATCH(TEXT($B$2,"YYYYMMDD")&amp;"|"&amp;$E$2&amp;"|"&amp;B22,บันทึกสต็อครายวัน!$M$122:$M$9999,0))),"",INDEX(บันทึกสต็อครายวัน!$G$122:$G$9999,MATCH(TEXT($B$2,"YYYYMMDD")&amp;"|"&amp;$E$2&amp;"|"&amp;B22,บันทึกสต็อครายวัน!$M$122:$M$9999,0))),"")</f>
        <v/>
      </c>
      <c r="H22" s="156" t="str">
        <f>IFERROR(IF(ISBLANK(INDEX(บันทึกสต็อครายวัน!$H$122:$H$9999,MATCH(TEXT($B$2,"YYYYMMDD")&amp;"|"&amp;$E$2&amp;"|"&amp;B22,บันทึกสต็อครายวัน!$M$122:$M$9999,0))),"",INDEX(บันทึกสต็อครายวัน!$H$122:$H$9999,MATCH(TEXT($B$2,"YYYYMMDD")&amp;"|"&amp;$E$2&amp;"|"&amp;B22,บันทึกสต็อครายวัน!$M$122:$M$9999,0))),"")</f>
        <v/>
      </c>
      <c r="I22" s="153" t="str">
        <f>IFERROR(IF(ISBLANK(INDEX(บันทึกสต็อครายวัน!$I$122:$I$9999,MATCH(TEXT($B$2,"YYYYMMDD")&amp;"|"&amp;$E$2&amp;"|"&amp;B22,บันทึกสต็อครายวัน!$M$122:$M$9999,0))),"",INDEX(บันทึกสต็อครายวัน!$I$122:$I$9999,MATCH(TEXT($B$2,"YYYYMMDD")&amp;"|"&amp;$E$2&amp;"|"&amp;B22,บันทึกสต็อครายวัน!$M$122:$M$9999,0))),"")</f>
        <v/>
      </c>
      <c r="J22" s="155" t="str">
        <f>IFERROR(IF(ISBLANK(INDEX(บันทึกสต็อครายวัน!$J$122:$J$9999,MATCH(TEXT($B$2,"YYYYMMDD")&amp;"|"&amp;$E$2&amp;"|"&amp;B22,บันทึกสต็อครายวัน!$M$122:$M$9999,0))),"",INDEX(บันทึกสต็อครายวัน!$J$122:$J$9999,MATCH(TEXT($B$2,"YYYYMMDD")&amp;"|"&amp;$E$2&amp;"|"&amp;B22,บันทึกสต็อครายวัน!$M$122:$M$9999,0))),"")</f>
        <v/>
      </c>
      <c r="K22" s="154" t="str">
        <f>IFERROR(IF(ISBLANK(INDEX(บันทึกสต็อครายวัน!$K$122:$K$9999,MATCH(TEXT($B$2,"YYYYMMDD")&amp;"|"&amp;$E$2&amp;"|"&amp;B22,บันทึกสต็อครายวัน!$M$122:$M$9999,0))),"",INDEX(บันทึกสต็อครายวัน!$K$122:$K$9999,MATCH(TEXT($B$2,"YYYYMMDD")&amp;"|"&amp;$E$2&amp;"|"&amp;B22,บันทึกสต็อครายวัน!$M$122:$M$9999,0))),"")</f>
        <v/>
      </c>
      <c r="L22" s="154" t="str">
        <f>IFERROR(IF(ISBLANK(INDEX(บันทึกสต็อครายวัน!$L$122:$L$9999,MATCH(TEXT($B$2,"YYYYMMDD")&amp;"|"&amp;$E$2&amp;"|"&amp;B22,บันทึกสต็อครายวัน!$M$122:$M$9999,0))),"",INDEX(บันทึกสต็อครายวัน!$L$122:$L$9999,MATCH(TEXT($B$2,"YYYYMMDD")&amp;"|"&amp;$E$2&amp;"|"&amp;B22,บันทึกสต็อครายวัน!$M$122:$M$9999,0))),"")</f>
        <v/>
      </c>
    </row>
    <row r="23" spans="1:12" ht="18" customHeight="1">
      <c r="A23" s="146" t="s">
        <v>53</v>
      </c>
      <c r="B23" s="147" t="s">
        <v>58</v>
      </c>
      <c r="C23" s="148" t="s">
        <v>59</v>
      </c>
      <c r="D23" s="149">
        <f>IFERROR(IF(INDEX(บันทึกสต็อครายวัน!$D$122:$D$9999,MATCH(TEXT($B$2,"YYYYMMDD")&amp;"|"&amp;$E$2&amp;"|"&amp;B23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23)*บันทึกสต็อครายวัน!$A$122:$A$9999)),"YYYYMMDD")&amp;"|"&amp;$E$2&amp;"|"&amp;B23,บันทึกสต็อครายวัน!$M$122:$M$9999,0))),""),INDEX(บันทึกสต็อครายวัน!$D$122:$D$9999,MATCH(TEXT($B$2,"YYYYMMDD")&amp;"|"&amp;$E$2&amp;"|"&amp;B23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23)*บันทึกสต็อครายวัน!$A$122:$A$9999)),"YYYYMMDD")&amp;"|"&amp;$E$2&amp;"|"&amp;B23,บันทึกสต็อครายวัน!$M$122:$M$9999,0))),""))</f>
        <v>8</v>
      </c>
      <c r="E23" s="150">
        <f>IFERROR(IF(INDEX(บันทึกสต็อครายวัน!$E$122:$E$9999,MATCH(TEXT($B$2,"YYYYMMDD")&amp;"|"&amp;$E$2&amp;"|"&amp;B23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23)*บันทึกสต็อครายวัน!$A$122:$A$9999)),"YYYYMMDD")&amp;"|"&amp;$E$2&amp;"|"&amp;B23,บันทึกสต็อครายวัน!$M$122:$M$9999,0))),""),INDEX(บันทึกสต็อครายวัน!$E$122:$E$9999,MATCH(TEXT($B$2,"YYYYMMDD")&amp;"|"&amp;$E$2&amp;"|"&amp;B23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23)*บันทึกสต็อครายวัน!$A$122:$A$9999)),"YYYYMMDD")&amp;"|"&amp;$E$2&amp;"|"&amp;B23,บันทึกสต็อครายวัน!$M$122:$M$9999,0))),""))</f>
        <v>0</v>
      </c>
      <c r="F23" s="149" t="str">
        <f>IFERROR(IF(ISBLANK(INDEX(บันทึกสต็อครายวัน!$F$122:$F$9999,MATCH(TEXT($B$2,"YYYYMMDD")&amp;"|"&amp;$E$2&amp;"|"&amp;B23,บันทึกสต็อครายวัน!$M$122:$M$9999,0))),"",INDEX(บันทึกสต็อครายวัน!$F$122:$F$9999,MATCH(TEXT($B$2,"YYYYMMDD")&amp;"|"&amp;$E$2&amp;"|"&amp;B23,บันทึกสต็อครายวัน!$M$122:$M$9999,0))),"")</f>
        <v/>
      </c>
      <c r="G23" s="155" t="str">
        <f>IFERROR(IF(ISBLANK(INDEX(บันทึกสต็อครายวัน!$G$122:$G$9999,MATCH(TEXT($B$2,"YYYYMMDD")&amp;"|"&amp;$E$2&amp;"|"&amp;B23,บันทึกสต็อครายวัน!$M$122:$M$9999,0))),"",INDEX(บันทึกสต็อครายวัน!$G$122:$G$9999,MATCH(TEXT($B$2,"YYYYMMDD")&amp;"|"&amp;$E$2&amp;"|"&amp;B23,บันทึกสต็อครายวัน!$M$122:$M$9999,0))),"")</f>
        <v/>
      </c>
      <c r="H23" s="156" t="str">
        <f>IFERROR(IF(ISBLANK(INDEX(บันทึกสต็อครายวัน!$H$122:$H$9999,MATCH(TEXT($B$2,"YYYYMMDD")&amp;"|"&amp;$E$2&amp;"|"&amp;B23,บันทึกสต็อครายวัน!$M$122:$M$9999,0))),"",INDEX(บันทึกสต็อครายวัน!$H$122:$H$9999,MATCH(TEXT($B$2,"YYYYMMDD")&amp;"|"&amp;$E$2&amp;"|"&amp;B23,บันทึกสต็อครายวัน!$M$122:$M$9999,0))),"")</f>
        <v/>
      </c>
      <c r="I23" s="153" t="str">
        <f>IFERROR(IF(ISBLANK(INDEX(บันทึกสต็อครายวัน!$I$122:$I$9999,MATCH(TEXT($B$2,"YYYYMMDD")&amp;"|"&amp;$E$2&amp;"|"&amp;B23,บันทึกสต็อครายวัน!$M$122:$M$9999,0))),"",INDEX(บันทึกสต็อครายวัน!$I$122:$I$9999,MATCH(TEXT($B$2,"YYYYMMDD")&amp;"|"&amp;$E$2&amp;"|"&amp;B23,บันทึกสต็อครายวัน!$M$122:$M$9999,0))),"")</f>
        <v/>
      </c>
      <c r="J23" s="155" t="str">
        <f>IFERROR(IF(ISBLANK(INDEX(บันทึกสต็อครายวัน!$J$122:$J$9999,MATCH(TEXT($B$2,"YYYYMMDD")&amp;"|"&amp;$E$2&amp;"|"&amp;B23,บันทึกสต็อครายวัน!$M$122:$M$9999,0))),"",INDEX(บันทึกสต็อครายวัน!$J$122:$J$9999,MATCH(TEXT($B$2,"YYYYMMDD")&amp;"|"&amp;$E$2&amp;"|"&amp;B23,บันทึกสต็อครายวัน!$M$122:$M$9999,0))),"")</f>
        <v/>
      </c>
      <c r="K23" s="154" t="str">
        <f>IFERROR(IF(ISBLANK(INDEX(บันทึกสต็อครายวัน!$K$122:$K$9999,MATCH(TEXT($B$2,"YYYYMMDD")&amp;"|"&amp;$E$2&amp;"|"&amp;B23,บันทึกสต็อครายวัน!$M$122:$M$9999,0))),"",INDEX(บันทึกสต็อครายวัน!$K$122:$K$9999,MATCH(TEXT($B$2,"YYYYMMDD")&amp;"|"&amp;$E$2&amp;"|"&amp;B23,บันทึกสต็อครายวัน!$M$122:$M$9999,0))),"")</f>
        <v/>
      </c>
      <c r="L23" s="154" t="str">
        <f>IFERROR(IF(ISBLANK(INDEX(บันทึกสต็อครายวัน!$L$122:$L$9999,MATCH(TEXT($B$2,"YYYYMMDD")&amp;"|"&amp;$E$2&amp;"|"&amp;B23,บันทึกสต็อครายวัน!$M$122:$M$9999,0))),"",INDEX(บันทึกสต็อครายวัน!$L$122:$L$9999,MATCH(TEXT($B$2,"YYYYMMDD")&amp;"|"&amp;$E$2&amp;"|"&amp;B23,บันทึกสต็อครายวัน!$M$122:$M$9999,0))),"")</f>
        <v/>
      </c>
    </row>
    <row r="24" spans="1:12" ht="18" customHeight="1">
      <c r="A24" s="146" t="s">
        <v>53</v>
      </c>
      <c r="B24" s="147" t="s">
        <v>60</v>
      </c>
      <c r="C24" s="148" t="s">
        <v>59</v>
      </c>
      <c r="D24" s="149">
        <f>IFERROR(IF(INDEX(บันทึกสต็อครายวัน!$D$122:$D$9999,MATCH(TEXT($B$2,"YYYYMMDD")&amp;"|"&amp;$E$2&amp;"|"&amp;B24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24)*บันทึกสต็อครายวัน!$A$122:$A$9999)),"YYYYMMDD")&amp;"|"&amp;$E$2&amp;"|"&amp;B24,บันทึกสต็อครายวัน!$M$122:$M$9999,0))),""),INDEX(บันทึกสต็อครายวัน!$D$122:$D$9999,MATCH(TEXT($B$2,"YYYYMMDD")&amp;"|"&amp;$E$2&amp;"|"&amp;B24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24)*บันทึกสต็อครายวัน!$A$122:$A$9999)),"YYYYMMDD")&amp;"|"&amp;$E$2&amp;"|"&amp;B24,บันทึกสต็อครายวัน!$M$122:$M$9999,0))),""))</f>
        <v>3</v>
      </c>
      <c r="E24" s="150">
        <f>IFERROR(IF(INDEX(บันทึกสต็อครายวัน!$E$122:$E$9999,MATCH(TEXT($B$2,"YYYYMMDD")&amp;"|"&amp;$E$2&amp;"|"&amp;B24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24)*บันทึกสต็อครายวัน!$A$122:$A$9999)),"YYYYMMDD")&amp;"|"&amp;$E$2&amp;"|"&amp;B24,บันทึกสต็อครายวัน!$M$122:$M$9999,0))),""),INDEX(บันทึกสต็อครายวัน!$E$122:$E$9999,MATCH(TEXT($B$2,"YYYYMMDD")&amp;"|"&amp;$E$2&amp;"|"&amp;B24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24)*บันทึกสต็อครายวัน!$A$122:$A$9999)),"YYYYMMDD")&amp;"|"&amp;$E$2&amp;"|"&amp;B24,บันทึกสต็อครายวัน!$M$122:$M$9999,0))),""))</f>
        <v>0</v>
      </c>
      <c r="F24" s="149" t="str">
        <f>IFERROR(IF(ISBLANK(INDEX(บันทึกสต็อครายวัน!$F$122:$F$9999,MATCH(TEXT($B$2,"YYYYMMDD")&amp;"|"&amp;$E$2&amp;"|"&amp;B24,บันทึกสต็อครายวัน!$M$122:$M$9999,0))),"",INDEX(บันทึกสต็อครายวัน!$F$122:$F$9999,MATCH(TEXT($B$2,"YYYYMMDD")&amp;"|"&amp;$E$2&amp;"|"&amp;B24,บันทึกสต็อครายวัน!$M$122:$M$9999,0))),"")</f>
        <v/>
      </c>
      <c r="G24" s="155" t="str">
        <f>IFERROR(IF(ISBLANK(INDEX(บันทึกสต็อครายวัน!$G$122:$G$9999,MATCH(TEXT($B$2,"YYYYMMDD")&amp;"|"&amp;$E$2&amp;"|"&amp;B24,บันทึกสต็อครายวัน!$M$122:$M$9999,0))),"",INDEX(บันทึกสต็อครายวัน!$G$122:$G$9999,MATCH(TEXT($B$2,"YYYYMMDD")&amp;"|"&amp;$E$2&amp;"|"&amp;B24,บันทึกสต็อครายวัน!$M$122:$M$9999,0))),"")</f>
        <v/>
      </c>
      <c r="H24" s="156" t="str">
        <f>IFERROR(IF(ISBLANK(INDEX(บันทึกสต็อครายวัน!$H$122:$H$9999,MATCH(TEXT($B$2,"YYYYMMDD")&amp;"|"&amp;$E$2&amp;"|"&amp;B24,บันทึกสต็อครายวัน!$M$122:$M$9999,0))),"",INDEX(บันทึกสต็อครายวัน!$H$122:$H$9999,MATCH(TEXT($B$2,"YYYYMMDD")&amp;"|"&amp;$E$2&amp;"|"&amp;B24,บันทึกสต็อครายวัน!$M$122:$M$9999,0))),"")</f>
        <v/>
      </c>
      <c r="I24" s="153" t="str">
        <f>IFERROR(IF(ISBLANK(INDEX(บันทึกสต็อครายวัน!$I$122:$I$9999,MATCH(TEXT($B$2,"YYYYMMDD")&amp;"|"&amp;$E$2&amp;"|"&amp;B24,บันทึกสต็อครายวัน!$M$122:$M$9999,0))),"",INDEX(บันทึกสต็อครายวัน!$I$122:$I$9999,MATCH(TEXT($B$2,"YYYYMMDD")&amp;"|"&amp;$E$2&amp;"|"&amp;B24,บันทึกสต็อครายวัน!$M$122:$M$9999,0))),"")</f>
        <v/>
      </c>
      <c r="J24" s="155" t="str">
        <f>IFERROR(IF(ISBLANK(INDEX(บันทึกสต็อครายวัน!$J$122:$J$9999,MATCH(TEXT($B$2,"YYYYMMDD")&amp;"|"&amp;$E$2&amp;"|"&amp;B24,บันทึกสต็อครายวัน!$M$122:$M$9999,0))),"",INDEX(บันทึกสต็อครายวัน!$J$122:$J$9999,MATCH(TEXT($B$2,"YYYYMMDD")&amp;"|"&amp;$E$2&amp;"|"&amp;B24,บันทึกสต็อครายวัน!$M$122:$M$9999,0))),"")</f>
        <v/>
      </c>
      <c r="K24" s="154" t="str">
        <f>IFERROR(IF(ISBLANK(INDEX(บันทึกสต็อครายวัน!$K$122:$K$9999,MATCH(TEXT($B$2,"YYYYMMDD")&amp;"|"&amp;$E$2&amp;"|"&amp;B24,บันทึกสต็อครายวัน!$M$122:$M$9999,0))),"",INDEX(บันทึกสต็อครายวัน!$K$122:$K$9999,MATCH(TEXT($B$2,"YYYYMMDD")&amp;"|"&amp;$E$2&amp;"|"&amp;B24,บันทึกสต็อครายวัน!$M$122:$M$9999,0))),"")</f>
        <v/>
      </c>
      <c r="L24" s="154" t="str">
        <f>IFERROR(IF(ISBLANK(INDEX(บันทึกสต็อครายวัน!$L$122:$L$9999,MATCH(TEXT($B$2,"YYYYMMDD")&amp;"|"&amp;$E$2&amp;"|"&amp;B24,บันทึกสต็อครายวัน!$M$122:$M$9999,0))),"",INDEX(บันทึกสต็อครายวัน!$L$122:$L$9999,MATCH(TEXT($B$2,"YYYYMMDD")&amp;"|"&amp;$E$2&amp;"|"&amp;B24,บันทึกสต็อครายวัน!$M$122:$M$9999,0))),"")</f>
        <v/>
      </c>
    </row>
    <row r="25" spans="1:12" ht="18" customHeight="1">
      <c r="A25" s="146" t="s">
        <v>53</v>
      </c>
      <c r="B25" s="147" t="s">
        <v>61</v>
      </c>
      <c r="C25" s="148" t="s">
        <v>59</v>
      </c>
      <c r="D25" s="149">
        <f>IFERROR(IF(INDEX(บันทึกสต็อครายวัน!$D$122:$D$9999,MATCH(TEXT($B$2,"YYYYMMDD")&amp;"|"&amp;$E$2&amp;"|"&amp;B25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25)*บันทึกสต็อครายวัน!$A$122:$A$9999)),"YYYYMMDD")&amp;"|"&amp;$E$2&amp;"|"&amp;B25,บันทึกสต็อครายวัน!$M$122:$M$9999,0))),""),INDEX(บันทึกสต็อครายวัน!$D$122:$D$9999,MATCH(TEXT($B$2,"YYYYMMDD")&amp;"|"&amp;$E$2&amp;"|"&amp;B25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25)*บันทึกสต็อครายวัน!$A$122:$A$9999)),"YYYYMMDD")&amp;"|"&amp;$E$2&amp;"|"&amp;B25,บันทึกสต็อครายวัน!$M$122:$M$9999,0))),""))</f>
        <v>4</v>
      </c>
      <c r="E25" s="150">
        <f>IFERROR(IF(INDEX(บันทึกสต็อครายวัน!$E$122:$E$9999,MATCH(TEXT($B$2,"YYYYMMDD")&amp;"|"&amp;$E$2&amp;"|"&amp;B25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25)*บันทึกสต็อครายวัน!$A$122:$A$9999)),"YYYYMMDD")&amp;"|"&amp;$E$2&amp;"|"&amp;B25,บันทึกสต็อครายวัน!$M$122:$M$9999,0))),""),INDEX(บันทึกสต็อครายวัน!$E$122:$E$9999,MATCH(TEXT($B$2,"YYYYMMDD")&amp;"|"&amp;$E$2&amp;"|"&amp;B25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25)*บันทึกสต็อครายวัน!$A$122:$A$9999)),"YYYYMMDD")&amp;"|"&amp;$E$2&amp;"|"&amp;B25,บันทึกสต็อครายวัน!$M$122:$M$9999,0))),""))</f>
        <v>0</v>
      </c>
      <c r="F25" s="149" t="str">
        <f>IFERROR(IF(ISBLANK(INDEX(บันทึกสต็อครายวัน!$F$122:$F$9999,MATCH(TEXT($B$2,"YYYYMMDD")&amp;"|"&amp;$E$2&amp;"|"&amp;B25,บันทึกสต็อครายวัน!$M$122:$M$9999,0))),"",INDEX(บันทึกสต็อครายวัน!$F$122:$F$9999,MATCH(TEXT($B$2,"YYYYMMDD")&amp;"|"&amp;$E$2&amp;"|"&amp;B25,บันทึกสต็อครายวัน!$M$122:$M$9999,0))),"")</f>
        <v/>
      </c>
      <c r="G25" s="155" t="str">
        <f>IFERROR(IF(ISBLANK(INDEX(บันทึกสต็อครายวัน!$G$122:$G$9999,MATCH(TEXT($B$2,"YYYYMMDD")&amp;"|"&amp;$E$2&amp;"|"&amp;B25,บันทึกสต็อครายวัน!$M$122:$M$9999,0))),"",INDEX(บันทึกสต็อครายวัน!$G$122:$G$9999,MATCH(TEXT($B$2,"YYYYMMDD")&amp;"|"&amp;$E$2&amp;"|"&amp;B25,บันทึกสต็อครายวัน!$M$122:$M$9999,0))),"")</f>
        <v/>
      </c>
      <c r="H25" s="156" t="str">
        <f>IFERROR(IF(ISBLANK(INDEX(บันทึกสต็อครายวัน!$H$122:$H$9999,MATCH(TEXT($B$2,"YYYYMMDD")&amp;"|"&amp;$E$2&amp;"|"&amp;B25,บันทึกสต็อครายวัน!$M$122:$M$9999,0))),"",INDEX(บันทึกสต็อครายวัน!$H$122:$H$9999,MATCH(TEXT($B$2,"YYYYMMDD")&amp;"|"&amp;$E$2&amp;"|"&amp;B25,บันทึกสต็อครายวัน!$M$122:$M$9999,0))),"")</f>
        <v/>
      </c>
      <c r="I25" s="153" t="str">
        <f>IFERROR(IF(ISBLANK(INDEX(บันทึกสต็อครายวัน!$I$122:$I$9999,MATCH(TEXT($B$2,"YYYYMMDD")&amp;"|"&amp;$E$2&amp;"|"&amp;B25,บันทึกสต็อครายวัน!$M$122:$M$9999,0))),"",INDEX(บันทึกสต็อครายวัน!$I$122:$I$9999,MATCH(TEXT($B$2,"YYYYMMDD")&amp;"|"&amp;$E$2&amp;"|"&amp;B25,บันทึกสต็อครายวัน!$M$122:$M$9999,0))),"")</f>
        <v/>
      </c>
      <c r="J25" s="155" t="str">
        <f>IFERROR(IF(ISBLANK(INDEX(บันทึกสต็อครายวัน!$J$122:$J$9999,MATCH(TEXT($B$2,"YYYYMMDD")&amp;"|"&amp;$E$2&amp;"|"&amp;B25,บันทึกสต็อครายวัน!$M$122:$M$9999,0))),"",INDEX(บันทึกสต็อครายวัน!$J$122:$J$9999,MATCH(TEXT($B$2,"YYYYMMDD")&amp;"|"&amp;$E$2&amp;"|"&amp;B25,บันทึกสต็อครายวัน!$M$122:$M$9999,0))),"")</f>
        <v/>
      </c>
      <c r="K25" s="154" t="str">
        <f>IFERROR(IF(ISBLANK(INDEX(บันทึกสต็อครายวัน!$K$122:$K$9999,MATCH(TEXT($B$2,"YYYYMMDD")&amp;"|"&amp;$E$2&amp;"|"&amp;B25,บันทึกสต็อครายวัน!$M$122:$M$9999,0))),"",INDEX(บันทึกสต็อครายวัน!$K$122:$K$9999,MATCH(TEXT($B$2,"YYYYMMDD")&amp;"|"&amp;$E$2&amp;"|"&amp;B25,บันทึกสต็อครายวัน!$M$122:$M$9999,0))),"")</f>
        <v/>
      </c>
      <c r="L25" s="154" t="str">
        <f>IFERROR(IF(ISBLANK(INDEX(บันทึกสต็อครายวัน!$L$122:$L$9999,MATCH(TEXT($B$2,"YYYYMMDD")&amp;"|"&amp;$E$2&amp;"|"&amp;B25,บันทึกสต็อครายวัน!$M$122:$M$9999,0))),"",INDEX(บันทึกสต็อครายวัน!$L$122:$L$9999,MATCH(TEXT($B$2,"YYYYMMDD")&amp;"|"&amp;$E$2&amp;"|"&amp;B25,บันทึกสต็อครายวัน!$M$122:$M$9999,0))),"")</f>
        <v/>
      </c>
    </row>
    <row r="26" spans="1:12" ht="18" customHeight="1">
      <c r="A26" s="146" t="s">
        <v>53</v>
      </c>
      <c r="B26" s="147" t="s">
        <v>62</v>
      </c>
      <c r="C26" s="148" t="s">
        <v>59</v>
      </c>
      <c r="D26" s="149">
        <f>IFERROR(IF(INDEX(บันทึกสต็อครายวัน!$D$122:$D$9999,MATCH(TEXT($B$2,"YYYYMMDD")&amp;"|"&amp;$E$2&amp;"|"&amp;B26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26)*บันทึกสต็อครายวัน!$A$122:$A$9999)),"YYYYMMDD")&amp;"|"&amp;$E$2&amp;"|"&amp;B26,บันทึกสต็อครายวัน!$M$122:$M$9999,0))),""),INDEX(บันทึกสต็อครายวัน!$D$122:$D$9999,MATCH(TEXT($B$2,"YYYYMMDD")&amp;"|"&amp;$E$2&amp;"|"&amp;B26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26)*บันทึกสต็อครายวัน!$A$122:$A$9999)),"YYYYMMDD")&amp;"|"&amp;$E$2&amp;"|"&amp;B26,บันทึกสต็อครายวัน!$M$122:$M$9999,0))),""))</f>
        <v>5</v>
      </c>
      <c r="E26" s="150">
        <f>IFERROR(IF(INDEX(บันทึกสต็อครายวัน!$E$122:$E$9999,MATCH(TEXT($B$2,"YYYYMMDD")&amp;"|"&amp;$E$2&amp;"|"&amp;B26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26)*บันทึกสต็อครายวัน!$A$122:$A$9999)),"YYYYMMDD")&amp;"|"&amp;$E$2&amp;"|"&amp;B26,บันทึกสต็อครายวัน!$M$122:$M$9999,0))),""),INDEX(บันทึกสต็อครายวัน!$E$122:$E$9999,MATCH(TEXT($B$2,"YYYYMMDD")&amp;"|"&amp;$E$2&amp;"|"&amp;B26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26)*บันทึกสต็อครายวัน!$A$122:$A$9999)),"YYYYMMDD")&amp;"|"&amp;$E$2&amp;"|"&amp;B26,บันทึกสต็อครายวัน!$M$122:$M$9999,0))),""))</f>
        <v>0</v>
      </c>
      <c r="F26" s="149" t="str">
        <f>IFERROR(IF(ISBLANK(INDEX(บันทึกสต็อครายวัน!$F$122:$F$9999,MATCH(TEXT($B$2,"YYYYMMDD")&amp;"|"&amp;$E$2&amp;"|"&amp;B26,บันทึกสต็อครายวัน!$M$122:$M$9999,0))),"",INDEX(บันทึกสต็อครายวัน!$F$122:$F$9999,MATCH(TEXT($B$2,"YYYYMMDD")&amp;"|"&amp;$E$2&amp;"|"&amp;B26,บันทึกสต็อครายวัน!$M$122:$M$9999,0))),"")</f>
        <v/>
      </c>
      <c r="G26" s="155" t="str">
        <f>IFERROR(IF(ISBLANK(INDEX(บันทึกสต็อครายวัน!$G$122:$G$9999,MATCH(TEXT($B$2,"YYYYMMDD")&amp;"|"&amp;$E$2&amp;"|"&amp;B26,บันทึกสต็อครายวัน!$M$122:$M$9999,0))),"",INDEX(บันทึกสต็อครายวัน!$G$122:$G$9999,MATCH(TEXT($B$2,"YYYYMMDD")&amp;"|"&amp;$E$2&amp;"|"&amp;B26,บันทึกสต็อครายวัน!$M$122:$M$9999,0))),"")</f>
        <v/>
      </c>
      <c r="H26" s="156" t="str">
        <f>IFERROR(IF(ISBLANK(INDEX(บันทึกสต็อครายวัน!$H$122:$H$9999,MATCH(TEXT($B$2,"YYYYMMDD")&amp;"|"&amp;$E$2&amp;"|"&amp;B26,บันทึกสต็อครายวัน!$M$122:$M$9999,0))),"",INDEX(บันทึกสต็อครายวัน!$H$122:$H$9999,MATCH(TEXT($B$2,"YYYYMMDD")&amp;"|"&amp;$E$2&amp;"|"&amp;B26,บันทึกสต็อครายวัน!$M$122:$M$9999,0))),"")</f>
        <v/>
      </c>
      <c r="I26" s="153" t="str">
        <f>IFERROR(IF(ISBLANK(INDEX(บันทึกสต็อครายวัน!$I$122:$I$9999,MATCH(TEXT($B$2,"YYYYMMDD")&amp;"|"&amp;$E$2&amp;"|"&amp;B26,บันทึกสต็อครายวัน!$M$122:$M$9999,0))),"",INDEX(บันทึกสต็อครายวัน!$I$122:$I$9999,MATCH(TEXT($B$2,"YYYYMMDD")&amp;"|"&amp;$E$2&amp;"|"&amp;B26,บันทึกสต็อครายวัน!$M$122:$M$9999,0))),"")</f>
        <v/>
      </c>
      <c r="J26" s="155" t="str">
        <f>IFERROR(IF(ISBLANK(INDEX(บันทึกสต็อครายวัน!$J$122:$J$9999,MATCH(TEXT($B$2,"YYYYMMDD")&amp;"|"&amp;$E$2&amp;"|"&amp;B26,บันทึกสต็อครายวัน!$M$122:$M$9999,0))),"",INDEX(บันทึกสต็อครายวัน!$J$122:$J$9999,MATCH(TEXT($B$2,"YYYYMMDD")&amp;"|"&amp;$E$2&amp;"|"&amp;B26,บันทึกสต็อครายวัน!$M$122:$M$9999,0))),"")</f>
        <v/>
      </c>
      <c r="K26" s="154" t="str">
        <f>IFERROR(IF(ISBLANK(INDEX(บันทึกสต็อครายวัน!$K$122:$K$9999,MATCH(TEXT($B$2,"YYYYMMDD")&amp;"|"&amp;$E$2&amp;"|"&amp;B26,บันทึกสต็อครายวัน!$M$122:$M$9999,0))),"",INDEX(บันทึกสต็อครายวัน!$K$122:$K$9999,MATCH(TEXT($B$2,"YYYYMMDD")&amp;"|"&amp;$E$2&amp;"|"&amp;B26,บันทึกสต็อครายวัน!$M$122:$M$9999,0))),"")</f>
        <v/>
      </c>
      <c r="L26" s="154" t="str">
        <f>IFERROR(IF(ISBLANK(INDEX(บันทึกสต็อครายวัน!$L$122:$L$9999,MATCH(TEXT($B$2,"YYYYMMDD")&amp;"|"&amp;$E$2&amp;"|"&amp;B26,บันทึกสต็อครายวัน!$M$122:$M$9999,0))),"",INDEX(บันทึกสต็อครายวัน!$L$122:$L$9999,MATCH(TEXT($B$2,"YYYYMMDD")&amp;"|"&amp;$E$2&amp;"|"&amp;B26,บันทึกสต็อครายวัน!$M$122:$M$9999,0))),"")</f>
        <v/>
      </c>
    </row>
    <row r="27" spans="1:12" ht="18" customHeight="1">
      <c r="A27" s="146" t="s">
        <v>53</v>
      </c>
      <c r="B27" s="147" t="s">
        <v>63</v>
      </c>
      <c r="C27" s="148" t="s">
        <v>59</v>
      </c>
      <c r="D27" s="149">
        <f>IFERROR(IF(INDEX(บันทึกสต็อครายวัน!$D$122:$D$9999,MATCH(TEXT($B$2,"YYYYMMDD")&amp;"|"&amp;$E$2&amp;"|"&amp;B27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27)*บันทึกสต็อครายวัน!$A$122:$A$9999)),"YYYYMMDD")&amp;"|"&amp;$E$2&amp;"|"&amp;B27,บันทึกสต็อครายวัน!$M$122:$M$9999,0))),""),INDEX(บันทึกสต็อครายวัน!$D$122:$D$9999,MATCH(TEXT($B$2,"YYYYMMDD")&amp;"|"&amp;$E$2&amp;"|"&amp;B27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27)*บันทึกสต็อครายวัน!$A$122:$A$9999)),"YYYYMMDD")&amp;"|"&amp;$E$2&amp;"|"&amp;B27,บันทึกสต็อครายวัน!$M$122:$M$9999,0))),""))</f>
        <v>7</v>
      </c>
      <c r="E27" s="150">
        <f>IFERROR(IF(INDEX(บันทึกสต็อครายวัน!$E$122:$E$9999,MATCH(TEXT($B$2,"YYYYMMDD")&amp;"|"&amp;$E$2&amp;"|"&amp;B27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27)*บันทึกสต็อครายวัน!$A$122:$A$9999)),"YYYYMMDD")&amp;"|"&amp;$E$2&amp;"|"&amp;B27,บันทึกสต็อครายวัน!$M$122:$M$9999,0))),""),INDEX(บันทึกสต็อครายวัน!$E$122:$E$9999,MATCH(TEXT($B$2,"YYYYMMDD")&amp;"|"&amp;$E$2&amp;"|"&amp;B27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27)*บันทึกสต็อครายวัน!$A$122:$A$9999)),"YYYYMMDD")&amp;"|"&amp;$E$2&amp;"|"&amp;B27,บันทึกสต็อครายวัน!$M$122:$M$9999,0))),""))</f>
        <v>0</v>
      </c>
      <c r="F27" s="149" t="str">
        <f>IFERROR(IF(ISBLANK(INDEX(บันทึกสต็อครายวัน!$F$122:$F$9999,MATCH(TEXT($B$2,"YYYYMMDD")&amp;"|"&amp;$E$2&amp;"|"&amp;B27,บันทึกสต็อครายวัน!$M$122:$M$9999,0))),"",INDEX(บันทึกสต็อครายวัน!$F$122:$F$9999,MATCH(TEXT($B$2,"YYYYMMDD")&amp;"|"&amp;$E$2&amp;"|"&amp;B27,บันทึกสต็อครายวัน!$M$122:$M$9999,0))),"")</f>
        <v/>
      </c>
      <c r="G27" s="155" t="str">
        <f>IFERROR(IF(ISBLANK(INDEX(บันทึกสต็อครายวัน!$G$122:$G$9999,MATCH(TEXT($B$2,"YYYYMMDD")&amp;"|"&amp;$E$2&amp;"|"&amp;B27,บันทึกสต็อครายวัน!$M$122:$M$9999,0))),"",INDEX(บันทึกสต็อครายวัน!$G$122:$G$9999,MATCH(TEXT($B$2,"YYYYMMDD")&amp;"|"&amp;$E$2&amp;"|"&amp;B27,บันทึกสต็อครายวัน!$M$122:$M$9999,0))),"")</f>
        <v/>
      </c>
      <c r="H27" s="156" t="str">
        <f>IFERROR(IF(ISBLANK(INDEX(บันทึกสต็อครายวัน!$H$122:$H$9999,MATCH(TEXT($B$2,"YYYYMMDD")&amp;"|"&amp;$E$2&amp;"|"&amp;B27,บันทึกสต็อครายวัน!$M$122:$M$9999,0))),"",INDEX(บันทึกสต็อครายวัน!$H$122:$H$9999,MATCH(TEXT($B$2,"YYYYMMDD")&amp;"|"&amp;$E$2&amp;"|"&amp;B27,บันทึกสต็อครายวัน!$M$122:$M$9999,0))),"")</f>
        <v/>
      </c>
      <c r="I27" s="153" t="str">
        <f>IFERROR(IF(ISBLANK(INDEX(บันทึกสต็อครายวัน!$I$122:$I$9999,MATCH(TEXT($B$2,"YYYYMMDD")&amp;"|"&amp;$E$2&amp;"|"&amp;B27,บันทึกสต็อครายวัน!$M$122:$M$9999,0))),"",INDEX(บันทึกสต็อครายวัน!$I$122:$I$9999,MATCH(TEXT($B$2,"YYYYMMDD")&amp;"|"&amp;$E$2&amp;"|"&amp;B27,บันทึกสต็อครายวัน!$M$122:$M$9999,0))),"")</f>
        <v/>
      </c>
      <c r="J27" s="155" t="str">
        <f>IFERROR(IF(ISBLANK(INDEX(บันทึกสต็อครายวัน!$J$122:$J$9999,MATCH(TEXT($B$2,"YYYYMMDD")&amp;"|"&amp;$E$2&amp;"|"&amp;B27,บันทึกสต็อครายวัน!$M$122:$M$9999,0))),"",INDEX(บันทึกสต็อครายวัน!$J$122:$J$9999,MATCH(TEXT($B$2,"YYYYMMDD")&amp;"|"&amp;$E$2&amp;"|"&amp;B27,บันทึกสต็อครายวัน!$M$122:$M$9999,0))),"")</f>
        <v/>
      </c>
      <c r="K27" s="154" t="str">
        <f>IFERROR(IF(ISBLANK(INDEX(บันทึกสต็อครายวัน!$K$122:$K$9999,MATCH(TEXT($B$2,"YYYYMMDD")&amp;"|"&amp;$E$2&amp;"|"&amp;B27,บันทึกสต็อครายวัน!$M$122:$M$9999,0))),"",INDEX(บันทึกสต็อครายวัน!$K$122:$K$9999,MATCH(TEXT($B$2,"YYYYMMDD")&amp;"|"&amp;$E$2&amp;"|"&amp;B27,บันทึกสต็อครายวัน!$M$122:$M$9999,0))),"")</f>
        <v/>
      </c>
      <c r="L27" s="154" t="str">
        <f>IFERROR(IF(ISBLANK(INDEX(บันทึกสต็อครายวัน!$L$122:$L$9999,MATCH(TEXT($B$2,"YYYYMMDD")&amp;"|"&amp;$E$2&amp;"|"&amp;B27,บันทึกสต็อครายวัน!$M$122:$M$9999,0))),"",INDEX(บันทึกสต็อครายวัน!$L$122:$L$9999,MATCH(TEXT($B$2,"YYYYMMDD")&amp;"|"&amp;$E$2&amp;"|"&amp;B27,บันทึกสต็อครายวัน!$M$122:$M$9999,0))),"")</f>
        <v/>
      </c>
    </row>
    <row r="28" spans="1:12" ht="18" customHeight="1">
      <c r="A28" s="146" t="s">
        <v>53</v>
      </c>
      <c r="B28" s="147" t="s">
        <v>64</v>
      </c>
      <c r="C28" s="148" t="s">
        <v>59</v>
      </c>
      <c r="D28" s="149">
        <f>IFERROR(IF(INDEX(บันทึกสต็อครายวัน!$D$122:$D$9999,MATCH(TEXT($B$2,"YYYYMMDD")&amp;"|"&amp;$E$2&amp;"|"&amp;B28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28)*บันทึกสต็อครายวัน!$A$122:$A$9999)),"YYYYMMDD")&amp;"|"&amp;$E$2&amp;"|"&amp;B28,บันทึกสต็อครายวัน!$M$122:$M$9999,0))),""),INDEX(บันทึกสต็อครายวัน!$D$122:$D$9999,MATCH(TEXT($B$2,"YYYYMMDD")&amp;"|"&amp;$E$2&amp;"|"&amp;B28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28)*บันทึกสต็อครายวัน!$A$122:$A$9999)),"YYYYMMDD")&amp;"|"&amp;$E$2&amp;"|"&amp;B28,บันทึกสต็อครายวัน!$M$122:$M$9999,0))),""))</f>
        <v>8</v>
      </c>
      <c r="E28" s="150">
        <f>IFERROR(IF(INDEX(บันทึกสต็อครายวัน!$E$122:$E$9999,MATCH(TEXT($B$2,"YYYYMMDD")&amp;"|"&amp;$E$2&amp;"|"&amp;B28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28)*บันทึกสต็อครายวัน!$A$122:$A$9999)),"YYYYMMDD")&amp;"|"&amp;$E$2&amp;"|"&amp;B28,บันทึกสต็อครายวัน!$M$122:$M$9999,0))),""),INDEX(บันทึกสต็อครายวัน!$E$122:$E$9999,MATCH(TEXT($B$2,"YYYYMMDD")&amp;"|"&amp;$E$2&amp;"|"&amp;B28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28)*บันทึกสต็อครายวัน!$A$122:$A$9999)),"YYYYMMDD")&amp;"|"&amp;$E$2&amp;"|"&amp;B28,บันทึกสต็อครายวัน!$M$122:$M$9999,0))),""))</f>
        <v>0</v>
      </c>
      <c r="F28" s="149" t="str">
        <f>IFERROR(IF(ISBLANK(INDEX(บันทึกสต็อครายวัน!$F$122:$F$9999,MATCH(TEXT($B$2,"YYYYMMDD")&amp;"|"&amp;$E$2&amp;"|"&amp;B28,บันทึกสต็อครายวัน!$M$122:$M$9999,0))),"",INDEX(บันทึกสต็อครายวัน!$F$122:$F$9999,MATCH(TEXT($B$2,"YYYYMMDD")&amp;"|"&amp;$E$2&amp;"|"&amp;B28,บันทึกสต็อครายวัน!$M$122:$M$9999,0))),"")</f>
        <v/>
      </c>
      <c r="G28" s="155" t="str">
        <f>IFERROR(IF(ISBLANK(INDEX(บันทึกสต็อครายวัน!$G$122:$G$9999,MATCH(TEXT($B$2,"YYYYMMDD")&amp;"|"&amp;$E$2&amp;"|"&amp;B28,บันทึกสต็อครายวัน!$M$122:$M$9999,0))),"",INDEX(บันทึกสต็อครายวัน!$G$122:$G$9999,MATCH(TEXT($B$2,"YYYYMMDD")&amp;"|"&amp;$E$2&amp;"|"&amp;B28,บันทึกสต็อครายวัน!$M$122:$M$9999,0))),"")</f>
        <v/>
      </c>
      <c r="H28" s="156" t="str">
        <f>IFERROR(IF(ISBLANK(INDEX(บันทึกสต็อครายวัน!$H$122:$H$9999,MATCH(TEXT($B$2,"YYYYMMDD")&amp;"|"&amp;$E$2&amp;"|"&amp;B28,บันทึกสต็อครายวัน!$M$122:$M$9999,0))),"",INDEX(บันทึกสต็อครายวัน!$H$122:$H$9999,MATCH(TEXT($B$2,"YYYYMMDD")&amp;"|"&amp;$E$2&amp;"|"&amp;B28,บันทึกสต็อครายวัน!$M$122:$M$9999,0))),"")</f>
        <v/>
      </c>
      <c r="I28" s="153" t="str">
        <f>IFERROR(IF(ISBLANK(INDEX(บันทึกสต็อครายวัน!$I$122:$I$9999,MATCH(TEXT($B$2,"YYYYMMDD")&amp;"|"&amp;$E$2&amp;"|"&amp;B28,บันทึกสต็อครายวัน!$M$122:$M$9999,0))),"",INDEX(บันทึกสต็อครายวัน!$I$122:$I$9999,MATCH(TEXT($B$2,"YYYYMMDD")&amp;"|"&amp;$E$2&amp;"|"&amp;B28,บันทึกสต็อครายวัน!$M$122:$M$9999,0))),"")</f>
        <v/>
      </c>
      <c r="J28" s="155" t="str">
        <f>IFERROR(IF(ISBLANK(INDEX(บันทึกสต็อครายวัน!$J$122:$J$9999,MATCH(TEXT($B$2,"YYYYMMDD")&amp;"|"&amp;$E$2&amp;"|"&amp;B28,บันทึกสต็อครายวัน!$M$122:$M$9999,0))),"",INDEX(บันทึกสต็อครายวัน!$J$122:$J$9999,MATCH(TEXT($B$2,"YYYYMMDD")&amp;"|"&amp;$E$2&amp;"|"&amp;B28,บันทึกสต็อครายวัน!$M$122:$M$9999,0))),"")</f>
        <v/>
      </c>
      <c r="K28" s="154" t="str">
        <f>IFERROR(IF(ISBLANK(INDEX(บันทึกสต็อครายวัน!$K$122:$K$9999,MATCH(TEXT($B$2,"YYYYMMDD")&amp;"|"&amp;$E$2&amp;"|"&amp;B28,บันทึกสต็อครายวัน!$M$122:$M$9999,0))),"",INDEX(บันทึกสต็อครายวัน!$K$122:$K$9999,MATCH(TEXT($B$2,"YYYYMMDD")&amp;"|"&amp;$E$2&amp;"|"&amp;B28,บันทึกสต็อครายวัน!$M$122:$M$9999,0))),"")</f>
        <v/>
      </c>
      <c r="L28" s="154" t="str">
        <f>IFERROR(IF(ISBLANK(INDEX(บันทึกสต็อครายวัน!$L$122:$L$9999,MATCH(TEXT($B$2,"YYYYMMDD")&amp;"|"&amp;$E$2&amp;"|"&amp;B28,บันทึกสต็อครายวัน!$M$122:$M$9999,0))),"",INDEX(บันทึกสต็อครายวัน!$L$122:$L$9999,MATCH(TEXT($B$2,"YYYYMMDD")&amp;"|"&amp;$E$2&amp;"|"&amp;B28,บันทึกสต็อครายวัน!$M$122:$M$9999,0))),"")</f>
        <v/>
      </c>
    </row>
    <row r="29" spans="1:12" ht="18" customHeight="1">
      <c r="A29" s="146" t="s">
        <v>65</v>
      </c>
      <c r="B29" s="147" t="s">
        <v>66</v>
      </c>
      <c r="C29" s="148" t="s">
        <v>55</v>
      </c>
      <c r="D29" s="149">
        <f>IFERROR(IF(INDEX(บันทึกสต็อครายวัน!$D$122:$D$9999,MATCH(TEXT($B$2,"YYYYMMDD")&amp;"|"&amp;$E$2&amp;"|"&amp;B29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29)*บันทึกสต็อครายวัน!$A$122:$A$9999)),"YYYYMMDD")&amp;"|"&amp;$E$2&amp;"|"&amp;B29,บันทึกสต็อครายวัน!$M$122:$M$9999,0))),""),INDEX(บันทึกสต็อครายวัน!$D$122:$D$9999,MATCH(TEXT($B$2,"YYYYMMDD")&amp;"|"&amp;$E$2&amp;"|"&amp;B29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29)*บันทึกสต็อครายวัน!$A$122:$A$9999)),"YYYYMMDD")&amp;"|"&amp;$E$2&amp;"|"&amp;B29,บันทึกสต็อครายวัน!$M$122:$M$9999,0))),""))</f>
        <v>4</v>
      </c>
      <c r="E29" s="150">
        <f>IFERROR(IF(INDEX(บันทึกสต็อครายวัน!$E$122:$E$9999,MATCH(TEXT($B$2,"YYYYMMDD")&amp;"|"&amp;$E$2&amp;"|"&amp;B29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29)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29)*บันทึกสต็อครายวัน!$A$122:$A$9999)),"YYYYMMDD")&amp;"|"&amp;$E$2&amp;"|"&amp;B29,บันทึกสต็อครายวัน!$M$122:$M$9999,0))),""),INDEX(บันทึกสต็อครายวัน!$E$122:$E$9999,MATCH(TEXT($B$2,"YYYYMMDD")&amp;"|"&amp;$E$2&amp;"|"&amp;B29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29)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29)*บันทึกสต็อครายวัน!$A$122:$A$9999)),"YYYYMMDD")&amp;"|"&amp;$E$2&amp;"|"&amp;B29,บันทึกสต็อครายวัน!$M$122:$M$9999,0))),""))</f>
        <v>0</v>
      </c>
      <c r="F29" s="149" t="str">
        <f>IFERROR(IF(ISBLANK(INDEX(บันทึกสต็อครายวัน!$F$122:$F$9999,MATCH(TEXT($B$2,"YYYYMMDD")&amp;"|"&amp;$E$2&amp;"|"&amp;B29,บันทึกสต็อครายวัน!$M$122:$M$9999,0))),"",INDEX(บันทึกสต็อครายวัน!$F$122:$F$9999,MATCH(TEXT($B$2,"YYYYMMDD")&amp;"|"&amp;$E$2&amp;"|"&amp;B29,บันทึกสต็อครายวัน!$M$122:$M$9999,0))),"")</f>
        <v/>
      </c>
      <c r="G29" s="155" t="str">
        <f>IFERROR(IF(ISBLANK(INDEX(บันทึกสต็อครายวัน!$G$122:$G$9999,MATCH(TEXT($B$2,"YYYYMMDD")&amp;"|"&amp;$E$2&amp;"|"&amp;B29,บันทึกสต็อครายวัน!$M$122:$M$9999,0))),"",INDEX(บันทึกสต็อครายวัน!$G$122:$G$9999,MATCH(TEXT($B$2,"YYYYMMDD")&amp;"|"&amp;$E$2&amp;"|"&amp;B29,บันทึกสต็อครายวัน!$M$122:$M$9999,0))),"")</f>
        <v/>
      </c>
      <c r="H29" s="156" t="str">
        <f>IFERROR(IF(ISBLANK(INDEX(บันทึกสต็อครายวัน!$H$122:$H$9999,MATCH(TEXT($B$2,"YYYYMMDD")&amp;"|"&amp;$E$2&amp;"|"&amp;B29,บันทึกสต็อครายวัน!$M$122:$M$9999,0))),"",INDEX(บันทึกสต็อครายวัน!$H$122:$H$9999,MATCH(TEXT($B$2,"YYYYMMDD")&amp;"|"&amp;$E$2&amp;"|"&amp;B29,บันทึกสต็อครายวัน!$M$122:$M$9999,0))),"")</f>
        <v/>
      </c>
      <c r="I29" s="153" t="str">
        <f>IFERROR(IF(ISBLANK(INDEX(บันทึกสต็อครายวัน!$I$122:$I$9999,MATCH(TEXT($B$2,"YYYYMMDD")&amp;"|"&amp;$E$2&amp;"|"&amp;B29,บันทึกสต็อครายวัน!$M$122:$M$9999,0))),"",INDEX(บันทึกสต็อครายวัน!$I$122:$I$9999,MATCH(TEXT($B$2,"YYYYMMDD")&amp;"|"&amp;$E$2&amp;"|"&amp;B29,บันทึกสต็อครายวัน!$M$122:$M$9999,0))),"")</f>
        <v/>
      </c>
      <c r="J29" s="155" t="str">
        <f>IFERROR(IF(ISBLANK(INDEX(บันทึกสต็อครายวัน!$J$122:$J$9999,MATCH(TEXT($B$2,"YYYYMMDD")&amp;"|"&amp;$E$2&amp;"|"&amp;B29,บันทึกสต็อครายวัน!$M$122:$M$9999,0))),"",INDEX(บันทึกสต็อครายวัน!$J$122:$J$9999,MATCH(TEXT($B$2,"YYYYMMDD")&amp;"|"&amp;$E$2&amp;"|"&amp;B29,บันทึกสต็อครายวัน!$M$122:$M$9999,0))),"")</f>
        <v/>
      </c>
      <c r="K29" s="154" t="str">
        <f>IFERROR(IF(ISBLANK(INDEX(บันทึกสต็อครายวัน!$K$122:$K$9999,MATCH(TEXT($B$2,"YYYYMMDD")&amp;"|"&amp;$E$2&amp;"|"&amp;B29,บันทึกสต็อครายวัน!$M$122:$M$9999,0))),"",INDEX(บันทึกสต็อครายวัน!$K$122:$K$9999,MATCH(TEXT($B$2,"YYYYMMDD")&amp;"|"&amp;$E$2&amp;"|"&amp;B29,บันทึกสต็อครายวัน!$M$122:$M$9999,0))),"")</f>
        <v/>
      </c>
      <c r="L29" s="154" t="str">
        <f>IFERROR(IF(ISBLANK(INDEX(บันทึกสต็อครายวัน!$L$122:$L$9999,MATCH(TEXT($B$2,"YYYYMMDD")&amp;"|"&amp;$E$2&amp;"|"&amp;B29,บันทึกสต็อครายวัน!$M$122:$M$9999,0))),"",INDEX(บันทึกสต็อครายวัน!$L$122:$L$9999,MATCH(TEXT($B$2,"YYYYMMDD")&amp;"|"&amp;$E$2&amp;"|"&amp;B29,บันทึกสต็อครายวัน!$M$122:$M$9999,0))),"")</f>
        <v/>
      </c>
    </row>
    <row r="30" spans="1:12" ht="18" customHeight="1">
      <c r="A30" s="146" t="s">
        <v>65</v>
      </c>
      <c r="B30" s="147" t="s">
        <v>67</v>
      </c>
      <c r="C30" s="148" t="s">
        <v>55</v>
      </c>
      <c r="D30" s="149">
        <f>IFERROR(IF(INDEX(บันทึกสต็อครายวัน!$D$122:$D$9999,MATCH(TEXT($B$2,"YYYYMMDD")&amp;"|"&amp;$E$2&amp;"|"&amp;B30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30)*บันทึกสต็อครายวัน!$A$122:$A$9999)),"YYYYMMDD")&amp;"|"&amp;$E$2&amp;"|"&amp;B30,บันทึกสต็อครายวัน!$M$122:$M$9999,0))),""),INDEX(บันทึกสต็อครายวัน!$D$122:$D$9999,MATCH(TEXT($B$2,"YYYYMMDD")&amp;"|"&amp;$E$2&amp;"|"&amp;B30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30)*บันทึกสต็อครายวัน!$A$122:$A$9999)),"YYYYMMDD")&amp;"|"&amp;$E$2&amp;"|"&amp;B30,บันทึกสต็อครายวัน!$M$122:$M$9999,0))),""))</f>
        <v>5</v>
      </c>
      <c r="E30" s="150">
        <f>IFERROR(IF(INDEX(บันทึกสต็อครายวัน!$E$122:$E$9999,MATCH(TEXT($B$2,"YYYYMMDD")&amp;"|"&amp;$E$2&amp;"|"&amp;B30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30)*บันทึกสต็อครายวัน!$A$122:$A$9999)),"YYYYMMDD")&amp;"|"&amp;$E$2&amp;"|"&amp;B30,บันทึกสต็อครายวัน!$M$122:$M$9999,0))),""),INDEX(บันทึกสต็อครายวัน!$E$122:$E$9999,MATCH(TEXT($B$2,"YYYYMMDD")&amp;"|"&amp;$E$2&amp;"|"&amp;B30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30)*บันทึกสต็อครายวัน!$A$122:$A$9999)),"YYYYMMDD")&amp;"|"&amp;$E$2&amp;"|"&amp;B30,บันทึกสต็อครายวัน!$M$122:$M$9999,0))),""))</f>
        <v>0</v>
      </c>
      <c r="F30" s="149" t="str">
        <f>IFERROR(IF(ISBLANK(INDEX(บันทึกสต็อครายวัน!$F$122:$F$9999,MATCH(TEXT($B$2,"YYYYMMDD")&amp;"|"&amp;$E$2&amp;"|"&amp;B30,บันทึกสต็อครายวัน!$M$122:$M$9999,0))),"",INDEX(บันทึกสต็อครายวัน!$F$122:$F$9999,MATCH(TEXT($B$2,"YYYYMMDD")&amp;"|"&amp;$E$2&amp;"|"&amp;B30,บันทึกสต็อครายวัน!$M$122:$M$9999,0))),"")</f>
        <v/>
      </c>
      <c r="G30" s="155" t="str">
        <f>IFERROR(IF(ISBLANK(INDEX(บันทึกสต็อครายวัน!$G$122:$G$9999,MATCH(TEXT($B$2,"YYYYMMDD")&amp;"|"&amp;$E$2&amp;"|"&amp;B30,บันทึกสต็อครายวัน!$M$122:$M$9999,0))),"",INDEX(บันทึกสต็อครายวัน!$G$122:$G$9999,MATCH(TEXT($B$2,"YYYYMMDD")&amp;"|"&amp;$E$2&amp;"|"&amp;B30,บันทึกสต็อครายวัน!$M$122:$M$9999,0))),"")</f>
        <v/>
      </c>
      <c r="H30" s="156" t="str">
        <f>IFERROR(IF(ISBLANK(INDEX(บันทึกสต็อครายวัน!$H$122:$H$9999,MATCH(TEXT($B$2,"YYYYMMDD")&amp;"|"&amp;$E$2&amp;"|"&amp;B30,บันทึกสต็อครายวัน!$M$122:$M$9999,0))),"",INDEX(บันทึกสต็อครายวัน!$H$122:$H$9999,MATCH(TEXT($B$2,"YYYYMMDD")&amp;"|"&amp;$E$2&amp;"|"&amp;B30,บันทึกสต็อครายวัน!$M$122:$M$9999,0))),"")</f>
        <v/>
      </c>
      <c r="I30" s="153" t="str">
        <f>IFERROR(IF(ISBLANK(INDEX(บันทึกสต็อครายวัน!$I$122:$I$9999,MATCH(TEXT($B$2,"YYYYMMDD")&amp;"|"&amp;$E$2&amp;"|"&amp;B30,บันทึกสต็อครายวัน!$M$122:$M$9999,0))),"",INDEX(บันทึกสต็อครายวัน!$I$122:$I$9999,MATCH(TEXT($B$2,"YYYYMMDD")&amp;"|"&amp;$E$2&amp;"|"&amp;B30,บันทึกสต็อครายวัน!$M$122:$M$9999,0))),"")</f>
        <v/>
      </c>
      <c r="J30" s="155" t="str">
        <f>IFERROR(IF(ISBLANK(INDEX(บันทึกสต็อครายวัน!$J$122:$J$9999,MATCH(TEXT($B$2,"YYYYMMDD")&amp;"|"&amp;$E$2&amp;"|"&amp;B30,บันทึกสต็อครายวัน!$M$122:$M$9999,0))),"",INDEX(บันทึกสต็อครายวัน!$J$122:$J$9999,MATCH(TEXT($B$2,"YYYYMMDD")&amp;"|"&amp;$E$2&amp;"|"&amp;B30,บันทึกสต็อครายวัน!$M$122:$M$9999,0))),"")</f>
        <v/>
      </c>
      <c r="K30" s="154" t="str">
        <f>IFERROR(IF(ISBLANK(INDEX(บันทึกสต็อครายวัน!$K$122:$K$9999,MATCH(TEXT($B$2,"YYYYMMDD")&amp;"|"&amp;$E$2&amp;"|"&amp;B30,บันทึกสต็อครายวัน!$M$122:$M$9999,0))),"",INDEX(บันทึกสต็อครายวัน!$K$122:$K$9999,MATCH(TEXT($B$2,"YYYYMMDD")&amp;"|"&amp;$E$2&amp;"|"&amp;B30,บันทึกสต็อครายวัน!$M$122:$M$9999,0))),"")</f>
        <v/>
      </c>
      <c r="L30" s="154" t="str">
        <f>IFERROR(IF(ISBLANK(INDEX(บันทึกสต็อครายวัน!$L$122:$L$9999,MATCH(TEXT($B$2,"YYYYMMDD")&amp;"|"&amp;$E$2&amp;"|"&amp;B30,บันทึกสต็อครายวัน!$M$122:$M$9999,0))),"",INDEX(บันทึกสต็อครายวัน!$L$122:$L$9999,MATCH(TEXT($B$2,"YYYYMMDD")&amp;"|"&amp;$E$2&amp;"|"&amp;B30,บันทึกสต็อครายวัน!$M$122:$M$9999,0))),"")</f>
        <v/>
      </c>
    </row>
    <row r="31" spans="1:12" ht="18" customHeight="1">
      <c r="A31" s="146" t="s">
        <v>65</v>
      </c>
      <c r="B31" s="147" t="s">
        <v>68</v>
      </c>
      <c r="C31" s="148" t="s">
        <v>55</v>
      </c>
      <c r="D31" s="149">
        <f>IFERROR(IF(INDEX(บันทึกสต็อครายวัน!$D$122:$D$9999,MATCH(TEXT($B$2,"YYYYMMDD")&amp;"|"&amp;$E$2&amp;"|"&amp;B31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31)*บันทึกสต็อครายวัน!$A$122:$A$9999)),"YYYYMMDD")&amp;"|"&amp;$E$2&amp;"|"&amp;B31,บันทึกสต็อครายวัน!$M$122:$M$9999,0))),""),INDEX(บันทึกสต็อครายวัน!$D$122:$D$9999,MATCH(TEXT($B$2,"YYYYMMDD")&amp;"|"&amp;$E$2&amp;"|"&amp;B31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31)*บันทึกสต็อครายวัน!$A$122:$A$9999)),"YYYYMMDD")&amp;"|"&amp;$E$2&amp;"|"&amp;B31,บันทึกสต็อครายวัน!$M$122:$M$9999,0))),""))</f>
        <v>0</v>
      </c>
      <c r="E31" s="150">
        <f>IFERROR(IF(INDEX(บันทึกสต็อครายวัน!$E$122:$E$9999,MATCH(TEXT($B$2,"YYYYMMDD")&amp;"|"&amp;$E$2&amp;"|"&amp;B31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31)*บันทึกสต็อครายวัน!$A$122:$A$9999)),"YYYYMMDD")&amp;"|"&amp;$E$2&amp;"|"&amp;B31,บันทึกสต็อครายวัน!$M$122:$M$9999,0))),""),INDEX(บันทึกสต็อครายวัน!$E$122:$E$9999,MATCH(TEXT($B$2,"YYYYMMDD")&amp;"|"&amp;$E$2&amp;"|"&amp;B31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31)*บันทึกสต็อครายวัน!$A$122:$A$9999)),"YYYYMMDD")&amp;"|"&amp;$E$2&amp;"|"&amp;B31,บันทึกสต็อครายวัน!$M$122:$M$9999,0))),""))</f>
        <v>0</v>
      </c>
      <c r="F31" s="149" t="str">
        <f>IFERROR(IF(ISBLANK(INDEX(บันทึกสต็อครายวัน!$F$122:$F$9999,MATCH(TEXT($B$2,"YYYYMMDD")&amp;"|"&amp;$E$2&amp;"|"&amp;B31,บันทึกสต็อครายวัน!$M$122:$M$9999,0))),"",INDEX(บันทึกสต็อครายวัน!$F$122:$F$9999,MATCH(TEXT($B$2,"YYYYMMDD")&amp;"|"&amp;$E$2&amp;"|"&amp;B31,บันทึกสต็อครายวัน!$M$122:$M$9999,0))),"")</f>
        <v/>
      </c>
      <c r="G31" s="155" t="str">
        <f>IFERROR(IF(ISBLANK(INDEX(บันทึกสต็อครายวัน!$G$122:$G$9999,MATCH(TEXT($B$2,"YYYYMMDD")&amp;"|"&amp;$E$2&amp;"|"&amp;B31,บันทึกสต็อครายวัน!$M$122:$M$9999,0))),"",INDEX(บันทึกสต็อครายวัน!$G$122:$G$9999,MATCH(TEXT($B$2,"YYYYMMDD")&amp;"|"&amp;$E$2&amp;"|"&amp;B31,บันทึกสต็อครายวัน!$M$122:$M$9999,0))),"")</f>
        <v/>
      </c>
      <c r="H31" s="156" t="str">
        <f>IFERROR(IF(ISBLANK(INDEX(บันทึกสต็อครายวัน!$H$122:$H$9999,MATCH(TEXT($B$2,"YYYYMMDD")&amp;"|"&amp;$E$2&amp;"|"&amp;B31,บันทึกสต็อครายวัน!$M$122:$M$9999,0))),"",INDEX(บันทึกสต็อครายวัน!$H$122:$H$9999,MATCH(TEXT($B$2,"YYYYMMDD")&amp;"|"&amp;$E$2&amp;"|"&amp;B31,บันทึกสต็อครายวัน!$M$122:$M$9999,0))),"")</f>
        <v/>
      </c>
      <c r="I31" s="153" t="str">
        <f>IFERROR(IF(ISBLANK(INDEX(บันทึกสต็อครายวัน!$I$122:$I$9999,MATCH(TEXT($B$2,"YYYYMMDD")&amp;"|"&amp;$E$2&amp;"|"&amp;B31,บันทึกสต็อครายวัน!$M$122:$M$9999,0))),"",INDEX(บันทึกสต็อครายวัน!$I$122:$I$9999,MATCH(TEXT($B$2,"YYYYMMDD")&amp;"|"&amp;$E$2&amp;"|"&amp;B31,บันทึกสต็อครายวัน!$M$122:$M$9999,0))),"")</f>
        <v/>
      </c>
      <c r="J31" s="155" t="str">
        <f>IFERROR(IF(ISBLANK(INDEX(บันทึกสต็อครายวัน!$J$122:$J$9999,MATCH(TEXT($B$2,"YYYYMMDD")&amp;"|"&amp;$E$2&amp;"|"&amp;B31,บันทึกสต็อครายวัน!$M$122:$M$9999,0))),"",INDEX(บันทึกสต็อครายวัน!$J$122:$J$9999,MATCH(TEXT($B$2,"YYYYMMDD")&amp;"|"&amp;$E$2&amp;"|"&amp;B31,บันทึกสต็อครายวัน!$M$122:$M$9999,0))),"")</f>
        <v/>
      </c>
      <c r="K31" s="154" t="str">
        <f>IFERROR(IF(ISBLANK(INDEX(บันทึกสต็อครายวัน!$K$122:$K$9999,MATCH(TEXT($B$2,"YYYYMMDD")&amp;"|"&amp;$E$2&amp;"|"&amp;B31,บันทึกสต็อครายวัน!$M$122:$M$9999,0))),"",INDEX(บันทึกสต็อครายวัน!$K$122:$K$9999,MATCH(TEXT($B$2,"YYYYMMDD")&amp;"|"&amp;$E$2&amp;"|"&amp;B31,บันทึกสต็อครายวัน!$M$122:$M$9999,0))),"")</f>
        <v/>
      </c>
      <c r="L31" s="154" t="str">
        <f>IFERROR(IF(ISBLANK(INDEX(บันทึกสต็อครายวัน!$L$122:$L$9999,MATCH(TEXT($B$2,"YYYYMMDD")&amp;"|"&amp;$E$2&amp;"|"&amp;B31,บันทึกสต็อครายวัน!$M$122:$M$9999,0))),"",INDEX(บันทึกสต็อครายวัน!$L$122:$L$9999,MATCH(TEXT($B$2,"YYYYMMDD")&amp;"|"&amp;$E$2&amp;"|"&amp;B31,บันทึกสต็อครายวัน!$M$122:$M$9999,0))),"")</f>
        <v/>
      </c>
    </row>
    <row r="32" spans="1:12" ht="18" customHeight="1">
      <c r="A32" s="158" t="s">
        <v>70</v>
      </c>
      <c r="B32" s="159" t="s">
        <v>71</v>
      </c>
      <c r="C32" s="160" t="s">
        <v>72</v>
      </c>
      <c r="D32" s="149">
        <f>IFERROR(IF(INDEX(บันทึกสต็อครายวัน!$D$122:$D$9999,MATCH(TEXT($B$2,"YYYYMMDD")&amp;"|"&amp;$E$2&amp;"|"&amp;B32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32)*บันทึกสต็อครายวัน!$A$122:$A$9999)),"YYYYMMDD")&amp;"|"&amp;$E$2&amp;"|"&amp;B32,บันทึกสต็อครายวัน!$M$122:$M$9999,0))),""),INDEX(บันทึกสต็อครายวัน!$D$122:$D$9999,MATCH(TEXT($B$2,"YYYYMMDD")&amp;"|"&amp;$E$2&amp;"|"&amp;B32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32)*บันทึกสต็อครายวัน!$A$122:$A$9999)),"YYYYMMDD")&amp;"|"&amp;$E$2&amp;"|"&amp;B32,บันทึกสต็อครายวัน!$M$122:$M$9999,0))),""))</f>
        <v>1</v>
      </c>
      <c r="E32" s="150">
        <f>IFERROR(IF(INDEX(บันทึกสต็อครายวัน!$E$122:$E$9999,MATCH(TEXT($B$2,"YYYYMMDD")&amp;"|"&amp;$E$2&amp;"|"&amp;B32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32)*บันทึกสต็อครายวัน!$A$122:$A$9999)),"YYYYMMDD")&amp;"|"&amp;$E$2&amp;"|"&amp;B32,บันทึกสต็อครายวัน!$M$122:$M$9999,0))),""),INDEX(บันทึกสต็อครายวัน!$E$122:$E$9999,MATCH(TEXT($B$2,"YYYYMMDD")&amp;"|"&amp;$E$2&amp;"|"&amp;B32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32)*บันทึกสต็อครายวัน!$A$122:$A$9999)),"YYYYMMDD")&amp;"|"&amp;$E$2&amp;"|"&amp;B32,บันทึกสต็อครายวัน!$M$122:$M$9999,0))),""))</f>
        <v>46</v>
      </c>
      <c r="F32" s="149" t="str">
        <f>IFERROR(IF(ISBLANK(INDEX(บันทึกสต็อครายวัน!$F$122:$F$9999,MATCH(TEXT($B$2,"YYYYMMDD")&amp;"|"&amp;$E$2&amp;"|"&amp;B32,บันทึกสต็อครายวัน!$M$122:$M$9999,0))),"",INDEX(บันทึกสต็อครายวัน!$F$122:$F$9999,MATCH(TEXT($B$2,"YYYYMMDD")&amp;"|"&amp;$E$2&amp;"|"&amp;B32,บันทึกสต็อครายวัน!$M$122:$M$9999,0))),"")</f>
        <v/>
      </c>
      <c r="G32" s="155" t="str">
        <f>IFERROR(IF(ISBLANK(INDEX(บันทึกสต็อครายวัน!$G$122:$G$9999,MATCH(TEXT($B$2,"YYYYMMDD")&amp;"|"&amp;$E$2&amp;"|"&amp;B32,บันทึกสต็อครายวัน!$M$122:$M$9999,0))),"",INDEX(บันทึกสต็อครายวัน!$G$122:$G$9999,MATCH(TEXT($B$2,"YYYYMMDD")&amp;"|"&amp;$E$2&amp;"|"&amp;B32,บันทึกสต็อครายวัน!$M$122:$M$9999,0))),"")</f>
        <v/>
      </c>
      <c r="H32" s="152" t="str">
        <f>IFERROR(IF(ISBLANK(INDEX(บันทึกสต็อครายวัน!$H$122:$H$9999,MATCH(TEXT($B$2,"YYYYMMDD")&amp;"|"&amp;$E$2&amp;"|"&amp;B32,บันทึกสต็อครายวัน!$M$122:$M$9999,0))),"",INDEX(บันทึกสต็อครายวัน!$H$122:$H$9999,MATCH(TEXT($B$2,"YYYYMMDD")&amp;"|"&amp;$E$2&amp;"|"&amp;B32,บันทึกสต็อครายวัน!$M$122:$M$9999,0))),"")</f>
        <v/>
      </c>
      <c r="I32" s="153" t="str">
        <f>IFERROR(IF(ISBLANK(INDEX(บันทึกสต็อครายวัน!$I$122:$I$9999,MATCH(TEXT($B$2,"YYYYMMDD")&amp;"|"&amp;$E$2&amp;"|"&amp;B32,บันทึกสต็อครายวัน!$M$122:$M$9999,0))),"",INDEX(บันทึกสต็อครายวัน!$I$122:$I$9999,MATCH(TEXT($B$2,"YYYYMMDD")&amp;"|"&amp;$E$2&amp;"|"&amp;B32,บันทึกสต็อครายวัน!$M$122:$M$9999,0))),"")</f>
        <v/>
      </c>
      <c r="J32" s="153" t="str">
        <f>IFERROR(IF(ISBLANK(INDEX(บันทึกสต็อครายวัน!$J$122:$J$9999,MATCH(TEXT($B$2,"YYYYMMDD")&amp;"|"&amp;$E$2&amp;"|"&amp;B32,บันทึกสต็อครายวัน!$M$122:$M$9999,0))),"",INDEX(บันทึกสต็อครายวัน!$J$122:$J$9999,MATCH(TEXT($B$2,"YYYYMMDD")&amp;"|"&amp;$E$2&amp;"|"&amp;B32,บันทึกสต็อครายวัน!$M$122:$M$9999,0))),"")</f>
        <v/>
      </c>
      <c r="K32" s="154" t="str">
        <f>IFERROR(IF(ISBLANK(INDEX(บันทึกสต็อครายวัน!$K$122:$K$9999,MATCH(TEXT($B$2,"YYYYMMDD")&amp;"|"&amp;$E$2&amp;"|"&amp;B32,บันทึกสต็อครายวัน!$M$122:$M$9999,0))),"",INDEX(บันทึกสต็อครายวัน!$K$122:$K$9999,MATCH(TEXT($B$2,"YYYYMMDD")&amp;"|"&amp;$E$2&amp;"|"&amp;B32,บันทึกสต็อครายวัน!$M$122:$M$9999,0))),"")</f>
        <v/>
      </c>
      <c r="L32" s="154" t="str">
        <f>IFERROR(IF(ISBLANK(INDEX(บันทึกสต็อครายวัน!$L$122:$L$9999,MATCH(TEXT($B$2,"YYYYMMDD")&amp;"|"&amp;$E$2&amp;"|"&amp;B32,บันทึกสต็อครายวัน!$M$122:$M$9999,0))),"",INDEX(บันทึกสต็อครายวัน!$L$122:$L$9999,MATCH(TEXT($B$2,"YYYYMMDD")&amp;"|"&amp;$E$2&amp;"|"&amp;B32,บันทึกสต็อครายวัน!$M$122:$M$9999,0))),"")</f>
        <v/>
      </c>
    </row>
    <row r="33" spans="1:12" ht="18" customHeight="1">
      <c r="A33" s="158" t="s">
        <v>70</v>
      </c>
      <c r="B33" s="159" t="s">
        <v>73</v>
      </c>
      <c r="C33" s="160" t="s">
        <v>74</v>
      </c>
      <c r="D33" s="149">
        <f>IFERROR(IF(INDEX(บันทึกสต็อครายวัน!$D$122:$D$9999,MATCH(TEXT($B$2,"YYYYMMDD")&amp;"|"&amp;$E$2&amp;"|"&amp;B33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33)*บันทึกสต็อครายวัน!$A$122:$A$9999)),"YYYYMMDD")&amp;"|"&amp;$E$2&amp;"|"&amp;B33,บันทึกสต็อครายวัน!$M$122:$M$9999,0))),""),INDEX(บันทึกสต็อครายวัน!$D$122:$D$9999,MATCH(TEXT($B$2,"YYYYMMDD")&amp;"|"&amp;$E$2&amp;"|"&amp;B33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33)*บันทึกสต็อครายวัน!$A$122:$A$9999)),"YYYYMMDD")&amp;"|"&amp;$E$2&amp;"|"&amp;B33,บันทึกสต็อครายวัน!$M$122:$M$9999,0))),""))</f>
        <v>2</v>
      </c>
      <c r="E33" s="150">
        <f>IFERROR(IF(INDEX(บันทึกสต็อครายวัน!$E$122:$E$9999,MATCH(TEXT($B$2,"YYYYMMDD")&amp;"|"&amp;$E$2&amp;"|"&amp;B33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33)*บันทึกสต็อครายวัน!$A$122:$A$9999)),"YYYYMMDD")&amp;"|"&amp;$E$2&amp;"|"&amp;B33,บันทึกสต็อครายวัน!$M$122:$M$9999,0))),""),INDEX(บันทึกสต็อครายวัน!$E$122:$E$9999,MATCH(TEXT($B$2,"YYYYMMDD")&amp;"|"&amp;$E$2&amp;"|"&amp;B33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33)*บันทึกสต็อครายวัน!$A$122:$A$9999)),"YYYYMMDD")&amp;"|"&amp;$E$2&amp;"|"&amp;B33,บันทึกสต็อครายวัน!$M$122:$M$9999,0))),""))</f>
        <v>406</v>
      </c>
      <c r="F33" s="149" t="str">
        <f>IFERROR(IF(ISBLANK(INDEX(บันทึกสต็อครายวัน!$F$122:$F$9999,MATCH(TEXT($B$2,"YYYYMMDD")&amp;"|"&amp;$E$2&amp;"|"&amp;B33,บันทึกสต็อครายวัน!$M$122:$M$9999,0))),"",INDEX(บันทึกสต็อครายวัน!$F$122:$F$9999,MATCH(TEXT($B$2,"YYYYMMDD")&amp;"|"&amp;$E$2&amp;"|"&amp;B33,บันทึกสต็อครายวัน!$M$122:$M$9999,0))),"")</f>
        <v/>
      </c>
      <c r="G33" s="155" t="str">
        <f>IFERROR(IF(ISBLANK(INDEX(บันทึกสต็อครายวัน!$G$122:$G$9999,MATCH(TEXT($B$2,"YYYYMMDD")&amp;"|"&amp;$E$2&amp;"|"&amp;B33,บันทึกสต็อครายวัน!$M$122:$M$9999,0))),"",INDEX(บันทึกสต็อครายวัน!$G$122:$G$9999,MATCH(TEXT($B$2,"YYYYMMDD")&amp;"|"&amp;$E$2&amp;"|"&amp;B33,บันทึกสต็อครายวัน!$M$122:$M$9999,0))),"")</f>
        <v/>
      </c>
      <c r="H33" s="152" t="str">
        <f>IFERROR(IF(ISBLANK(INDEX(บันทึกสต็อครายวัน!$H$122:$H$9999,MATCH(TEXT($B$2,"YYYYMMDD")&amp;"|"&amp;$E$2&amp;"|"&amp;B33,บันทึกสต็อครายวัน!$M$122:$M$9999,0))),"",INDEX(บันทึกสต็อครายวัน!$H$122:$H$9999,MATCH(TEXT($B$2,"YYYYMMDD")&amp;"|"&amp;$E$2&amp;"|"&amp;B33,บันทึกสต็อครายวัน!$M$122:$M$9999,0))),"")</f>
        <v/>
      </c>
      <c r="I33" s="153" t="str">
        <f>IFERROR(IF(ISBLANK(INDEX(บันทึกสต็อครายวัน!$I$122:$I$9999,MATCH(TEXT($B$2,"YYYYMMDD")&amp;"|"&amp;$E$2&amp;"|"&amp;B33,บันทึกสต็อครายวัน!$M$122:$M$9999,0))),"",INDEX(บันทึกสต็อครายวัน!$I$122:$I$9999,MATCH(TEXT($B$2,"YYYYMMDD")&amp;"|"&amp;$E$2&amp;"|"&amp;B33,บันทึกสต็อครายวัน!$M$122:$M$9999,0))),"")</f>
        <v/>
      </c>
      <c r="J33" s="153" t="str">
        <f>IFERROR(IF(ISBLANK(INDEX(บันทึกสต็อครายวัน!$J$122:$J$9999,MATCH(TEXT($B$2,"YYYYMMDD")&amp;"|"&amp;$E$2&amp;"|"&amp;B33,บันทึกสต็อครายวัน!$M$122:$M$9999,0))),"",INDEX(บันทึกสต็อครายวัน!$J$122:$J$9999,MATCH(TEXT($B$2,"YYYYMMDD")&amp;"|"&amp;$E$2&amp;"|"&amp;B33,บันทึกสต็อครายวัน!$M$122:$M$9999,0))),"")</f>
        <v/>
      </c>
      <c r="K33" s="154" t="str">
        <f>IFERROR(IF(ISBLANK(INDEX(บันทึกสต็อครายวัน!$K$122:$K$9999,MATCH(TEXT($B$2,"YYYYMMDD")&amp;"|"&amp;$E$2&amp;"|"&amp;B33,บันทึกสต็อครายวัน!$M$122:$M$9999,0))),"",INDEX(บันทึกสต็อครายวัน!$K$122:$K$9999,MATCH(TEXT($B$2,"YYYYMMDD")&amp;"|"&amp;$E$2&amp;"|"&amp;B33,บันทึกสต็อครายวัน!$M$122:$M$9999,0))),"")</f>
        <v/>
      </c>
      <c r="L33" s="154" t="str">
        <f>IFERROR(IF(ISBLANK(INDEX(บันทึกสต็อครายวัน!$L$122:$L$9999,MATCH(TEXT($B$2,"YYYYMMDD")&amp;"|"&amp;$E$2&amp;"|"&amp;B33,บันทึกสต็อครายวัน!$M$122:$M$9999,0))),"",INDEX(บันทึกสต็อครายวัน!$L$122:$L$9999,MATCH(TEXT($B$2,"YYYYMMDD")&amp;"|"&amp;$E$2&amp;"|"&amp;B33,บันทึกสต็อครายวัน!$M$122:$M$9999,0))),"")</f>
        <v/>
      </c>
    </row>
    <row r="34" spans="1:12" ht="18" customHeight="1">
      <c r="A34" s="158" t="s">
        <v>70</v>
      </c>
      <c r="B34" s="159" t="s">
        <v>75</v>
      </c>
      <c r="C34" s="160" t="s">
        <v>76</v>
      </c>
      <c r="D34" s="149">
        <f>IFERROR(IF(INDEX(บันทึกสต็อครายวัน!$D$122:$D$9999,MATCH(TEXT($B$2,"YYYYMMDD")&amp;"|"&amp;$E$2&amp;"|"&amp;B34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34)*บันทึกสต็อครายวัน!$A$122:$A$9999)),"YYYYMMDD")&amp;"|"&amp;$E$2&amp;"|"&amp;B34,บันทึกสต็อครายวัน!$M$122:$M$9999,0))),""),INDEX(บันทึกสต็อครายวัน!$D$122:$D$9999,MATCH(TEXT($B$2,"YYYYMMDD")&amp;"|"&amp;$E$2&amp;"|"&amp;B34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34)*บันทึกสต็อครายวัน!$A$122:$A$9999)),"YYYYMMDD")&amp;"|"&amp;$E$2&amp;"|"&amp;B34,บันทึกสต็อครายวัน!$M$122:$M$9999,0))),""))</f>
        <v>2</v>
      </c>
      <c r="E34" s="150">
        <f>IFERROR(IF(INDEX(บันทึกสต็อครายวัน!$E$122:$E$9999,MATCH(TEXT($B$2,"YYYYMMDD")&amp;"|"&amp;$E$2&amp;"|"&amp;B34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34)*บันทึกสต็อครายวัน!$A$122:$A$9999)),"YYYYMMDD")&amp;"|"&amp;$E$2&amp;"|"&amp;B34,บันทึกสต็อครายวัน!$M$122:$M$9999,0))),""),INDEX(บันทึกสต็อครายวัน!$E$122:$E$9999,MATCH(TEXT($B$2,"YYYYMMDD")&amp;"|"&amp;$E$2&amp;"|"&amp;B34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34)*บันทึกสต็อครายวัน!$A$122:$A$9999)),"YYYYMMDD")&amp;"|"&amp;$E$2&amp;"|"&amp;B34,บันทึกสต็อครายวัน!$M$122:$M$9999,0))),""))</f>
        <v>66</v>
      </c>
      <c r="F34" s="149" t="str">
        <f>IFERROR(IF(ISBLANK(INDEX(บันทึกสต็อครายวัน!$F$122:$F$9999,MATCH(TEXT($B$2,"YYYYMMDD")&amp;"|"&amp;$E$2&amp;"|"&amp;B34,บันทึกสต็อครายวัน!$M$122:$M$9999,0))),"",INDEX(บันทึกสต็อครายวัน!$F$122:$F$9999,MATCH(TEXT($B$2,"YYYYMMDD")&amp;"|"&amp;$E$2&amp;"|"&amp;B34,บันทึกสต็อครายวัน!$M$122:$M$9999,0))),"")</f>
        <v/>
      </c>
      <c r="G34" s="155" t="str">
        <f>IFERROR(IF(ISBLANK(INDEX(บันทึกสต็อครายวัน!$G$122:$G$9999,MATCH(TEXT($B$2,"YYYYMMDD")&amp;"|"&amp;$E$2&amp;"|"&amp;B34,บันทึกสต็อครายวัน!$M$122:$M$9999,0))),"",INDEX(บันทึกสต็อครายวัน!$G$122:$G$9999,MATCH(TEXT($B$2,"YYYYMMDD")&amp;"|"&amp;$E$2&amp;"|"&amp;B34,บันทึกสต็อครายวัน!$M$122:$M$9999,0))),"")</f>
        <v/>
      </c>
      <c r="H34" s="152" t="str">
        <f>IFERROR(IF(ISBLANK(INDEX(บันทึกสต็อครายวัน!$H$122:$H$9999,MATCH(TEXT($B$2,"YYYYMMDD")&amp;"|"&amp;$E$2&amp;"|"&amp;B34,บันทึกสต็อครายวัน!$M$122:$M$9999,0))),"",INDEX(บันทึกสต็อครายวัน!$H$122:$H$9999,MATCH(TEXT($B$2,"YYYYMMDD")&amp;"|"&amp;$E$2&amp;"|"&amp;B34,บันทึกสต็อครายวัน!$M$122:$M$9999,0))),"")</f>
        <v/>
      </c>
      <c r="I34" s="153" t="str">
        <f>IFERROR(IF(ISBLANK(INDEX(บันทึกสต็อครายวัน!$I$122:$I$9999,MATCH(TEXT($B$2,"YYYYMMDD")&amp;"|"&amp;$E$2&amp;"|"&amp;B34,บันทึกสต็อครายวัน!$M$122:$M$9999,0))),"",INDEX(บันทึกสต็อครายวัน!$I$122:$I$9999,MATCH(TEXT($B$2,"YYYYMMDD")&amp;"|"&amp;$E$2&amp;"|"&amp;B34,บันทึกสต็อครายวัน!$M$122:$M$9999,0))),"")</f>
        <v/>
      </c>
      <c r="J34" s="153" t="str">
        <f>IFERROR(IF(ISBLANK(INDEX(บันทึกสต็อครายวัน!$J$122:$J$9999,MATCH(TEXT($B$2,"YYYYMMDD")&amp;"|"&amp;$E$2&amp;"|"&amp;B34,บันทึกสต็อครายวัน!$M$122:$M$9999,0))),"",INDEX(บันทึกสต็อครายวัน!$J$122:$J$9999,MATCH(TEXT($B$2,"YYYYMMDD")&amp;"|"&amp;$E$2&amp;"|"&amp;B34,บันทึกสต็อครายวัน!$M$122:$M$9999,0))),"")</f>
        <v/>
      </c>
      <c r="K34" s="154" t="str">
        <f>IFERROR(IF(ISBLANK(INDEX(บันทึกสต็อครายวัน!$K$122:$K$9999,MATCH(TEXT($B$2,"YYYYMMDD")&amp;"|"&amp;$E$2&amp;"|"&amp;B34,บันทึกสต็อครายวัน!$M$122:$M$9999,0))),"",INDEX(บันทึกสต็อครายวัน!$K$122:$K$9999,MATCH(TEXT($B$2,"YYYYMMDD")&amp;"|"&amp;$E$2&amp;"|"&amp;B34,บันทึกสต็อครายวัน!$M$122:$M$9999,0))),"")</f>
        <v/>
      </c>
      <c r="L34" s="154" t="str">
        <f>IFERROR(IF(ISBLANK(INDEX(บันทึกสต็อครายวัน!$L$122:$L$9999,MATCH(TEXT($B$2,"YYYYMMDD")&amp;"|"&amp;$E$2&amp;"|"&amp;B34,บันทึกสต็อครายวัน!$M$122:$M$9999,0))),"",INDEX(บันทึกสต็อครายวัน!$L$122:$L$9999,MATCH(TEXT($B$2,"YYYYMMDD")&amp;"|"&amp;$E$2&amp;"|"&amp;B34,บันทึกสต็อครายวัน!$M$122:$M$9999,0))),"")</f>
        <v/>
      </c>
    </row>
    <row r="35" spans="1:12" ht="18" customHeight="1">
      <c r="A35" s="158" t="s">
        <v>70</v>
      </c>
      <c r="B35" s="159" t="s">
        <v>77</v>
      </c>
      <c r="C35" s="160" t="s">
        <v>78</v>
      </c>
      <c r="D35" s="149">
        <f>IFERROR(IF(INDEX(บันทึกสต็อครายวัน!$D$122:$D$9999,MATCH(TEXT($B$2,"YYYYMMDD")&amp;"|"&amp;$E$2&amp;"|"&amp;B35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35)*บันทึกสต็อครายวัน!$A$122:$A$9999)),"YYYYMMDD")&amp;"|"&amp;$E$2&amp;"|"&amp;B35,บันทึกสต็อครายวัน!$M$122:$M$9999,0))),""),INDEX(บันทึกสต็อครายวัน!$D$122:$D$9999,MATCH(TEXT($B$2,"YYYYMMDD")&amp;"|"&amp;$E$2&amp;"|"&amp;B35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35)*บันทึกสต็อครายวัน!$A$122:$A$9999)),"YYYYMMDD")&amp;"|"&amp;$E$2&amp;"|"&amp;B35,บันทึกสต็อครายวัน!$M$122:$M$9999,0))),""))</f>
        <v>0</v>
      </c>
      <c r="E35" s="150">
        <f>IFERROR(IF(INDEX(บันทึกสต็อครายวัน!$E$122:$E$9999,MATCH(TEXT($B$2,"YYYYMMDD")&amp;"|"&amp;$E$2&amp;"|"&amp;B35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35)*บันทึกสต็อครายวัน!$A$122:$A$9999)),"YYYYMMDD")&amp;"|"&amp;$E$2&amp;"|"&amp;B35,บันทึกสต็อครายวัน!$M$122:$M$9999,0))),""),INDEX(บันทึกสต็อครายวัน!$E$122:$E$9999,MATCH(TEXT($B$2,"YYYYMMDD")&amp;"|"&amp;$E$2&amp;"|"&amp;B35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35)*บันทึกสต็อครายวัน!$A$122:$A$9999)),"YYYYMMDD")&amp;"|"&amp;$E$2&amp;"|"&amp;B35,บันทึกสต็อครายวัน!$M$122:$M$9999,0))),""))</f>
        <v>695</v>
      </c>
      <c r="F35" s="149" t="str">
        <f>IFERROR(IF(ISBLANK(INDEX(บันทึกสต็อครายวัน!$F$122:$F$9999,MATCH(TEXT($B$2,"YYYYMMDD")&amp;"|"&amp;$E$2&amp;"|"&amp;B35,บันทึกสต็อครายวัน!$M$122:$M$9999,0))),"",INDEX(บันทึกสต็อครายวัน!$F$122:$F$9999,MATCH(TEXT($B$2,"YYYYMMDD")&amp;"|"&amp;$E$2&amp;"|"&amp;B35,บันทึกสต็อครายวัน!$M$122:$M$9999,0))),"")</f>
        <v/>
      </c>
      <c r="G35" s="155" t="str">
        <f>IFERROR(IF(ISBLANK(INDEX(บันทึกสต็อครายวัน!$G$122:$G$9999,MATCH(TEXT($B$2,"YYYYMMDD")&amp;"|"&amp;$E$2&amp;"|"&amp;B35,บันทึกสต็อครายวัน!$M$122:$M$9999,0))),"",INDEX(บันทึกสต็อครายวัน!$G$122:$G$9999,MATCH(TEXT($B$2,"YYYYMMDD")&amp;"|"&amp;$E$2&amp;"|"&amp;B35,บันทึกสต็อครายวัน!$M$122:$M$9999,0))),"")</f>
        <v/>
      </c>
      <c r="H35" s="152" t="str">
        <f>IFERROR(IF(ISBLANK(INDEX(บันทึกสต็อครายวัน!$H$122:$H$9999,MATCH(TEXT($B$2,"YYYYMMDD")&amp;"|"&amp;$E$2&amp;"|"&amp;B35,บันทึกสต็อครายวัน!$M$122:$M$9999,0))),"",INDEX(บันทึกสต็อครายวัน!$H$122:$H$9999,MATCH(TEXT($B$2,"YYYYMMDD")&amp;"|"&amp;$E$2&amp;"|"&amp;B35,บันทึกสต็อครายวัน!$M$122:$M$9999,0))),"")</f>
        <v/>
      </c>
      <c r="I35" s="153" t="str">
        <f>IFERROR(IF(ISBLANK(INDEX(บันทึกสต็อครายวัน!$I$122:$I$9999,MATCH(TEXT($B$2,"YYYYMMDD")&amp;"|"&amp;$E$2&amp;"|"&amp;B35,บันทึกสต็อครายวัน!$M$122:$M$9999,0))),"",INDEX(บันทึกสต็อครายวัน!$I$122:$I$9999,MATCH(TEXT($B$2,"YYYYMMDD")&amp;"|"&amp;$E$2&amp;"|"&amp;B35,บันทึกสต็อครายวัน!$M$122:$M$9999,0))),"")</f>
        <v/>
      </c>
      <c r="J35" s="153" t="str">
        <f>IFERROR(IF(ISBLANK(INDEX(บันทึกสต็อครายวัน!$J$122:$J$9999,MATCH(TEXT($B$2,"YYYYMMDD")&amp;"|"&amp;$E$2&amp;"|"&amp;B35,บันทึกสต็อครายวัน!$M$122:$M$9999,0))),"",INDEX(บันทึกสต็อครายวัน!$J$122:$J$9999,MATCH(TEXT($B$2,"YYYYMMDD")&amp;"|"&amp;$E$2&amp;"|"&amp;B35,บันทึกสต็อครายวัน!$M$122:$M$9999,0))),"")</f>
        <v/>
      </c>
      <c r="K35" s="154" t="str">
        <f>IFERROR(IF(ISBLANK(INDEX(บันทึกสต็อครายวัน!$K$122:$K$9999,MATCH(TEXT($B$2,"YYYYMMDD")&amp;"|"&amp;$E$2&amp;"|"&amp;B35,บันทึกสต็อครายวัน!$M$122:$M$9999,0))),"",INDEX(บันทึกสต็อครายวัน!$K$122:$K$9999,MATCH(TEXT($B$2,"YYYYMMDD")&amp;"|"&amp;$E$2&amp;"|"&amp;B35,บันทึกสต็อครายวัน!$M$122:$M$9999,0))),"")</f>
        <v/>
      </c>
      <c r="L35" s="154" t="str">
        <f>IFERROR(IF(ISBLANK(INDEX(บันทึกสต็อครายวัน!$L$122:$L$9999,MATCH(TEXT($B$2,"YYYYMMDD")&amp;"|"&amp;$E$2&amp;"|"&amp;B35,บันทึกสต็อครายวัน!$M$122:$M$9999,0))),"",INDEX(บันทึกสต็อครายวัน!$L$122:$L$9999,MATCH(TEXT($B$2,"YYYYMMDD")&amp;"|"&amp;$E$2&amp;"|"&amp;B35,บันทึกสต็อครายวัน!$M$122:$M$9999,0))),"")</f>
        <v/>
      </c>
    </row>
    <row r="36" spans="1:12" ht="18" customHeight="1">
      <c r="A36" s="158" t="s">
        <v>70</v>
      </c>
      <c r="B36" s="159" t="s">
        <v>79</v>
      </c>
      <c r="C36" s="160" t="s">
        <v>80</v>
      </c>
      <c r="D36" s="149">
        <f>IFERROR(IF(INDEX(บันทึกสต็อครายวัน!$D$122:$D$9999,MATCH(TEXT($B$2,"YYYYMMDD")&amp;"|"&amp;$E$2&amp;"|"&amp;B36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36)*บันทึกสต็อครายวัน!$A$122:$A$9999)),"YYYYMMDD")&amp;"|"&amp;$E$2&amp;"|"&amp;B36,บันทึกสต็อครายวัน!$M$122:$M$9999,0))),""),INDEX(บันทึกสต็อครายวัน!$D$122:$D$9999,MATCH(TEXT($B$2,"YYYYMMDD")&amp;"|"&amp;$E$2&amp;"|"&amp;B36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36)*บันทึกสต็อครายวัน!$A$122:$A$9999)),"YYYYMMDD")&amp;"|"&amp;$E$2&amp;"|"&amp;B36,บันทึกสต็อครายวัน!$M$122:$M$9999,0))),""))</f>
        <v>0</v>
      </c>
      <c r="E36" s="150">
        <f>IFERROR(IF(INDEX(บันทึกสต็อครายวัน!$E$122:$E$9999,MATCH(TEXT($B$2,"YYYYMMDD")&amp;"|"&amp;$E$2&amp;"|"&amp;B36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36)*บันทึกสต็อครายวัน!$A$122:$A$9999)),"YYYYMMDD")&amp;"|"&amp;$E$2&amp;"|"&amp;B36,บันทึกสต็อครายวัน!$M$122:$M$9999,0))),""),INDEX(บันทึกสต็อครายวัน!$E$122:$E$9999,MATCH(TEXT($B$2,"YYYYMMDD")&amp;"|"&amp;$E$2&amp;"|"&amp;B36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36)*บันทึกสต็อครายวัน!$A$122:$A$9999)),"YYYYMMDD")&amp;"|"&amp;$E$2&amp;"|"&amp;B36,บันทึกสต็อครายวัน!$M$122:$M$9999,0))),""))</f>
        <v>1184</v>
      </c>
      <c r="F36" s="149" t="str">
        <f>IFERROR(IF(ISBLANK(INDEX(บันทึกสต็อครายวัน!$F$122:$F$9999,MATCH(TEXT($B$2,"YYYYMMDD")&amp;"|"&amp;$E$2&amp;"|"&amp;B36,บันทึกสต็อครายวัน!$M$122:$M$9999,0))),"",INDEX(บันทึกสต็อครายวัน!$F$122:$F$9999,MATCH(TEXT($B$2,"YYYYMMDD")&amp;"|"&amp;$E$2&amp;"|"&amp;B36,บันทึกสต็อครายวัน!$M$122:$M$9999,0))),"")</f>
        <v/>
      </c>
      <c r="G36" s="155" t="str">
        <f>IFERROR(IF(ISBLANK(INDEX(บันทึกสต็อครายวัน!$G$122:$G$9999,MATCH(TEXT($B$2,"YYYYMMDD")&amp;"|"&amp;$E$2&amp;"|"&amp;B36,บันทึกสต็อครายวัน!$M$122:$M$9999,0))),"",INDEX(บันทึกสต็อครายวัน!$G$122:$G$9999,MATCH(TEXT($B$2,"YYYYMMDD")&amp;"|"&amp;$E$2&amp;"|"&amp;B36,บันทึกสต็อครายวัน!$M$122:$M$9999,0))),"")</f>
        <v/>
      </c>
      <c r="H36" s="152" t="str">
        <f>IFERROR(IF(ISBLANK(INDEX(บันทึกสต็อครายวัน!$H$122:$H$9999,MATCH(TEXT($B$2,"YYYYMMDD")&amp;"|"&amp;$E$2&amp;"|"&amp;B36,บันทึกสต็อครายวัน!$M$122:$M$9999,0))),"",INDEX(บันทึกสต็อครายวัน!$H$122:$H$9999,MATCH(TEXT($B$2,"YYYYMMDD")&amp;"|"&amp;$E$2&amp;"|"&amp;B36,บันทึกสต็อครายวัน!$M$122:$M$9999,0))),"")</f>
        <v/>
      </c>
      <c r="I36" s="153" t="str">
        <f>IFERROR(IF(ISBLANK(INDEX(บันทึกสต็อครายวัน!$I$122:$I$9999,MATCH(TEXT($B$2,"YYYYMMDD")&amp;"|"&amp;$E$2&amp;"|"&amp;B36,บันทึกสต็อครายวัน!$M$122:$M$9999,0))),"",INDEX(บันทึกสต็อครายวัน!$I$122:$I$9999,MATCH(TEXT($B$2,"YYYYMMDD")&amp;"|"&amp;$E$2&amp;"|"&amp;B36,บันทึกสต็อครายวัน!$M$122:$M$9999,0))),"")</f>
        <v/>
      </c>
      <c r="J36" s="153" t="str">
        <f>IFERROR(IF(ISBLANK(INDEX(บันทึกสต็อครายวัน!$J$122:$J$9999,MATCH(TEXT($B$2,"YYYYMMDD")&amp;"|"&amp;$E$2&amp;"|"&amp;B36,บันทึกสต็อครายวัน!$M$122:$M$9999,0))),"",INDEX(บันทึกสต็อครายวัน!$J$122:$J$9999,MATCH(TEXT($B$2,"YYYYMMDD")&amp;"|"&amp;$E$2&amp;"|"&amp;B36,บันทึกสต็อครายวัน!$M$122:$M$9999,0))),"")</f>
        <v/>
      </c>
      <c r="K36" s="154" t="str">
        <f>IFERROR(IF(ISBLANK(INDEX(บันทึกสต็อครายวัน!$K$122:$K$9999,MATCH(TEXT($B$2,"YYYYMMDD")&amp;"|"&amp;$E$2&amp;"|"&amp;B36,บันทึกสต็อครายวัน!$M$122:$M$9999,0))),"",INDEX(บันทึกสต็อครายวัน!$K$122:$K$9999,MATCH(TEXT($B$2,"YYYYMMDD")&amp;"|"&amp;$E$2&amp;"|"&amp;B36,บันทึกสต็อครายวัน!$M$122:$M$9999,0))),"")</f>
        <v/>
      </c>
      <c r="L36" s="154" t="str">
        <f>IFERROR(IF(ISBLANK(INDEX(บันทึกสต็อครายวัน!$L$122:$L$9999,MATCH(TEXT($B$2,"YYYYMMDD")&amp;"|"&amp;$E$2&amp;"|"&amp;B36,บันทึกสต็อครายวัน!$M$122:$M$9999,0))),"",INDEX(บันทึกสต็อครายวัน!$L$122:$L$9999,MATCH(TEXT($B$2,"YYYYMMDD")&amp;"|"&amp;$E$2&amp;"|"&amp;B36,บันทึกสต็อครายวัน!$M$122:$M$9999,0))),"")</f>
        <v/>
      </c>
    </row>
    <row r="37" spans="1:12" ht="18" customHeight="1">
      <c r="A37" s="158" t="s">
        <v>70</v>
      </c>
      <c r="B37" s="159" t="s">
        <v>81</v>
      </c>
      <c r="C37" s="160" t="s">
        <v>82</v>
      </c>
      <c r="D37" s="149">
        <f>IFERROR(IF(INDEX(บันทึกสต็อครายวัน!$D$122:$D$9999,MATCH(TEXT($B$2,"YYYYMMDD")&amp;"|"&amp;$E$2&amp;"|"&amp;B37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37)*บันทึกสต็อครายวัน!$A$122:$A$9999)),"YYYYMMDD")&amp;"|"&amp;$E$2&amp;"|"&amp;B37,บันทึกสต็อครายวัน!$M$122:$M$9999,0))),""),INDEX(บันทึกสต็อครายวัน!$D$122:$D$9999,MATCH(TEXT($B$2,"YYYYMMDD")&amp;"|"&amp;$E$2&amp;"|"&amp;B37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37)*บันทึกสต็อครายวัน!$A$122:$A$9999)),"YYYYMMDD")&amp;"|"&amp;$E$2&amp;"|"&amp;B37,บันทึกสต็อครายวัน!$M$122:$M$9999,0))),""))</f>
        <v>1</v>
      </c>
      <c r="E37" s="150">
        <f>IFERROR(IF(INDEX(บันทึกสต็อครายวัน!$E$122:$E$9999,MATCH(TEXT($B$2,"YYYYMMDD")&amp;"|"&amp;$E$2&amp;"|"&amp;B37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37)*บันทึกสต็อครายวัน!$A$122:$A$9999)),"YYYYMMDD")&amp;"|"&amp;$E$2&amp;"|"&amp;B37,บันทึกสต็อครายวัน!$M$122:$M$9999,0))),""),INDEX(บันทึกสต็อครายวัน!$E$122:$E$9999,MATCH(TEXT($B$2,"YYYYMMDD")&amp;"|"&amp;$E$2&amp;"|"&amp;B37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37)*บันทึกสต็อครายวัน!$A$122:$A$9999)),"YYYYMMDD")&amp;"|"&amp;$E$2&amp;"|"&amp;B37,บันทึกสต็อครายวัน!$M$122:$M$9999,0))),""))</f>
        <v>55</v>
      </c>
      <c r="F37" s="149" t="str">
        <f>IFERROR(IF(ISBLANK(INDEX(บันทึกสต็อครายวัน!$F$122:$F$9999,MATCH(TEXT($B$2,"YYYYMMDD")&amp;"|"&amp;$E$2&amp;"|"&amp;B37,บันทึกสต็อครายวัน!$M$122:$M$9999,0))),"",INDEX(บันทึกสต็อครายวัน!$F$122:$F$9999,MATCH(TEXT($B$2,"YYYYMMDD")&amp;"|"&amp;$E$2&amp;"|"&amp;B37,บันทึกสต็อครายวัน!$M$122:$M$9999,0))),"")</f>
        <v/>
      </c>
      <c r="G37" s="155" t="str">
        <f>IFERROR(IF(ISBLANK(INDEX(บันทึกสต็อครายวัน!$G$122:$G$9999,MATCH(TEXT($B$2,"YYYYMMDD")&amp;"|"&amp;$E$2&amp;"|"&amp;B37,บันทึกสต็อครายวัน!$M$122:$M$9999,0))),"",INDEX(บันทึกสต็อครายวัน!$G$122:$G$9999,MATCH(TEXT($B$2,"YYYYMMDD")&amp;"|"&amp;$E$2&amp;"|"&amp;B37,บันทึกสต็อครายวัน!$M$122:$M$9999,0))),"")</f>
        <v/>
      </c>
      <c r="H37" s="152" t="str">
        <f>IFERROR(IF(ISBLANK(INDEX(บันทึกสต็อครายวัน!$H$122:$H$9999,MATCH(TEXT($B$2,"YYYYMMDD")&amp;"|"&amp;$E$2&amp;"|"&amp;B37,บันทึกสต็อครายวัน!$M$122:$M$9999,0))),"",INDEX(บันทึกสต็อครายวัน!$H$122:$H$9999,MATCH(TEXT($B$2,"YYYYMMDD")&amp;"|"&amp;$E$2&amp;"|"&amp;B37,บันทึกสต็อครายวัน!$M$122:$M$9999,0))),"")</f>
        <v/>
      </c>
      <c r="I37" s="153" t="str">
        <f>IFERROR(IF(ISBLANK(INDEX(บันทึกสต็อครายวัน!$I$122:$I$9999,MATCH(TEXT($B$2,"YYYYMMDD")&amp;"|"&amp;$E$2&amp;"|"&amp;B37,บันทึกสต็อครายวัน!$M$122:$M$9999,0))),"",INDEX(บันทึกสต็อครายวัน!$I$122:$I$9999,MATCH(TEXT($B$2,"YYYYMMDD")&amp;"|"&amp;$E$2&amp;"|"&amp;B37,บันทึกสต็อครายวัน!$M$122:$M$9999,0))),"")</f>
        <v/>
      </c>
      <c r="J37" s="153" t="str">
        <f>IFERROR(IF(ISBLANK(INDEX(บันทึกสต็อครายวัน!$J$122:$J$9999,MATCH(TEXT($B$2,"YYYYMMDD")&amp;"|"&amp;$E$2&amp;"|"&amp;B37,บันทึกสต็อครายวัน!$M$122:$M$9999,0))),"",INDEX(บันทึกสต็อครายวัน!$J$122:$J$9999,MATCH(TEXT($B$2,"YYYYMMDD")&amp;"|"&amp;$E$2&amp;"|"&amp;B37,บันทึกสต็อครายวัน!$M$122:$M$9999,0))),"")</f>
        <v/>
      </c>
      <c r="K37" s="154" t="str">
        <f>IFERROR(IF(ISBLANK(INDEX(บันทึกสต็อครายวัน!$K$122:$K$9999,MATCH(TEXT($B$2,"YYYYMMDD")&amp;"|"&amp;$E$2&amp;"|"&amp;B37,บันทึกสต็อครายวัน!$M$122:$M$9999,0))),"",INDEX(บันทึกสต็อครายวัน!$K$122:$K$9999,MATCH(TEXT($B$2,"YYYYMMDD")&amp;"|"&amp;$E$2&amp;"|"&amp;B37,บันทึกสต็อครายวัน!$M$122:$M$9999,0))),"")</f>
        <v/>
      </c>
      <c r="L37" s="154" t="str">
        <f>IFERROR(IF(ISBLANK(INDEX(บันทึกสต็อครายวัน!$L$122:$L$9999,MATCH(TEXT($B$2,"YYYYMMDD")&amp;"|"&amp;$E$2&amp;"|"&amp;B37,บันทึกสต็อครายวัน!$M$122:$M$9999,0))),"",INDEX(บันทึกสต็อครายวัน!$L$122:$L$9999,MATCH(TEXT($B$2,"YYYYMMDD")&amp;"|"&amp;$E$2&amp;"|"&amp;B37,บันทึกสต็อครายวัน!$M$122:$M$9999,0))),"")</f>
        <v/>
      </c>
    </row>
    <row r="38" spans="1:12" ht="18" customHeight="1">
      <c r="A38" s="158" t="s">
        <v>70</v>
      </c>
      <c r="B38" s="159" t="s">
        <v>83</v>
      </c>
      <c r="C38" s="160" t="s">
        <v>82</v>
      </c>
      <c r="D38" s="149">
        <f>IFERROR(IF(INDEX(บันทึกสต็อครายวัน!$D$122:$D$9999,MATCH(TEXT($B$2,"YYYYMMDD")&amp;"|"&amp;$E$2&amp;"|"&amp;B38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38)*บันทึกสต็อครายวัน!$A$122:$A$9999)),"YYYYMMDD")&amp;"|"&amp;$E$2&amp;"|"&amp;B38,บันทึกสต็อครายวัน!$M$122:$M$9999,0))),""),INDEX(บันทึกสต็อครายวัน!$D$122:$D$9999,MATCH(TEXT($B$2,"YYYYMMDD")&amp;"|"&amp;$E$2&amp;"|"&amp;B38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38)*บันทึกสต็อครายวัน!$A$122:$A$9999)),"YYYYMMDD")&amp;"|"&amp;$E$2&amp;"|"&amp;B38,บันทึกสต็อครายวัน!$M$122:$M$9999,0))),""))</f>
        <v>1</v>
      </c>
      <c r="E38" s="150">
        <f>IFERROR(IF(INDEX(บันทึกสต็อครายวัน!$E$122:$E$9999,MATCH(TEXT($B$2,"YYYYMMDD")&amp;"|"&amp;$E$2&amp;"|"&amp;B38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38)*บันทึกสต็อครายวัน!$A$122:$A$9999)),"YYYYMMDD")&amp;"|"&amp;$E$2&amp;"|"&amp;B38,บันทึกสต็อครายวัน!$M$122:$M$9999,0))),""),INDEX(บันทึกสต็อครายวัน!$E$122:$E$9999,MATCH(TEXT($B$2,"YYYYMMDD")&amp;"|"&amp;$E$2&amp;"|"&amp;B38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38)*บันทึกสต็อครายวัน!$A$122:$A$9999)),"YYYYMMDD")&amp;"|"&amp;$E$2&amp;"|"&amp;B38,บันทึกสต็อครายวัน!$M$122:$M$9999,0))),""))</f>
        <v>36</v>
      </c>
      <c r="F38" s="149" t="str">
        <f>IFERROR(IF(ISBLANK(INDEX(บันทึกสต็อครายวัน!$F$122:$F$9999,MATCH(TEXT($B$2,"YYYYMMDD")&amp;"|"&amp;$E$2&amp;"|"&amp;B38,บันทึกสต็อครายวัน!$M$122:$M$9999,0))),"",INDEX(บันทึกสต็อครายวัน!$F$122:$F$9999,MATCH(TEXT($B$2,"YYYYMMDD")&amp;"|"&amp;$E$2&amp;"|"&amp;B38,บันทึกสต็อครายวัน!$M$122:$M$9999,0))),"")</f>
        <v/>
      </c>
      <c r="G38" s="155" t="str">
        <f>IFERROR(IF(ISBLANK(INDEX(บันทึกสต็อครายวัน!$G$122:$G$9999,MATCH(TEXT($B$2,"YYYYMMDD")&amp;"|"&amp;$E$2&amp;"|"&amp;B38,บันทึกสต็อครายวัน!$M$122:$M$9999,0))),"",INDEX(บันทึกสต็อครายวัน!$G$122:$G$9999,MATCH(TEXT($B$2,"YYYYMMDD")&amp;"|"&amp;$E$2&amp;"|"&amp;B38,บันทึกสต็อครายวัน!$M$122:$M$9999,0))),"")</f>
        <v/>
      </c>
      <c r="H38" s="152" t="str">
        <f>IFERROR(IF(ISBLANK(INDEX(บันทึกสต็อครายวัน!$H$122:$H$9999,MATCH(TEXT($B$2,"YYYYMMDD")&amp;"|"&amp;$E$2&amp;"|"&amp;B38,บันทึกสต็อครายวัน!$M$122:$M$9999,0))),"",INDEX(บันทึกสต็อครายวัน!$H$122:$H$9999,MATCH(TEXT($B$2,"YYYYMMDD")&amp;"|"&amp;$E$2&amp;"|"&amp;B38,บันทึกสต็อครายวัน!$M$122:$M$9999,0))),"")</f>
        <v/>
      </c>
      <c r="I38" s="153" t="str">
        <f>IFERROR(IF(ISBLANK(INDEX(บันทึกสต็อครายวัน!$I$122:$I$9999,MATCH(TEXT($B$2,"YYYYMMDD")&amp;"|"&amp;$E$2&amp;"|"&amp;B38,บันทึกสต็อครายวัน!$M$122:$M$9999,0))),"",INDEX(บันทึกสต็อครายวัน!$I$122:$I$9999,MATCH(TEXT($B$2,"YYYYMMDD")&amp;"|"&amp;$E$2&amp;"|"&amp;B38,บันทึกสต็อครายวัน!$M$122:$M$9999,0))),"")</f>
        <v/>
      </c>
      <c r="J38" s="153" t="str">
        <f>IFERROR(IF(ISBLANK(INDEX(บันทึกสต็อครายวัน!$J$122:$J$9999,MATCH(TEXT($B$2,"YYYYMMDD")&amp;"|"&amp;$E$2&amp;"|"&amp;B38,บันทึกสต็อครายวัน!$M$122:$M$9999,0))),"",INDEX(บันทึกสต็อครายวัน!$J$122:$J$9999,MATCH(TEXT($B$2,"YYYYMMDD")&amp;"|"&amp;$E$2&amp;"|"&amp;B38,บันทึกสต็อครายวัน!$M$122:$M$9999,0))),"")</f>
        <v/>
      </c>
      <c r="K38" s="154" t="str">
        <f>IFERROR(IF(ISBLANK(INDEX(บันทึกสต็อครายวัน!$K$122:$K$9999,MATCH(TEXT($B$2,"YYYYMMDD")&amp;"|"&amp;$E$2&amp;"|"&amp;B38,บันทึกสต็อครายวัน!$M$122:$M$9999,0))),"",INDEX(บันทึกสต็อครายวัน!$K$122:$K$9999,MATCH(TEXT($B$2,"YYYYMMDD")&amp;"|"&amp;$E$2&amp;"|"&amp;B38,บันทึกสต็อครายวัน!$M$122:$M$9999,0))),"")</f>
        <v/>
      </c>
      <c r="L38" s="154" t="str">
        <f>IFERROR(IF(ISBLANK(INDEX(บันทึกสต็อครายวัน!$L$122:$L$9999,MATCH(TEXT($B$2,"YYYYMMDD")&amp;"|"&amp;$E$2&amp;"|"&amp;B38,บันทึกสต็อครายวัน!$M$122:$M$9999,0))),"",INDEX(บันทึกสต็อครายวัน!$L$122:$L$9999,MATCH(TEXT($B$2,"YYYYMMDD")&amp;"|"&amp;$E$2&amp;"|"&amp;B38,บันทึกสต็อครายวัน!$M$122:$M$9999,0))),"")</f>
        <v/>
      </c>
    </row>
    <row r="39" spans="1:12" ht="18" customHeight="1">
      <c r="A39" s="158" t="s">
        <v>70</v>
      </c>
      <c r="B39" s="159" t="s">
        <v>84</v>
      </c>
      <c r="C39" s="160" t="s">
        <v>82</v>
      </c>
      <c r="D39" s="149">
        <f>IFERROR(IF(INDEX(บันทึกสต็อครายวัน!$D$122:$D$9999,MATCH(TEXT($B$2,"YYYYMMDD")&amp;"|"&amp;$E$2&amp;"|"&amp;B39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39)*บันทึกสต็อครายวัน!$A$122:$A$9999)),"YYYYMMDD")&amp;"|"&amp;$E$2&amp;"|"&amp;B39,บันทึกสต็อครายวัน!$M$122:$M$9999,0))),""),INDEX(บันทึกสต็อครายวัน!$D$122:$D$9999,MATCH(TEXT($B$2,"YYYYMMDD")&amp;"|"&amp;$E$2&amp;"|"&amp;B39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39)*บันทึกสต็อครายวัน!$A$122:$A$9999)),"YYYYMMDD")&amp;"|"&amp;$E$2&amp;"|"&amp;B39,บันทึกสต็อครายวัน!$M$122:$M$9999,0))),""))</f>
        <v>1</v>
      </c>
      <c r="E39" s="150">
        <f>IFERROR(IF(INDEX(บันทึกสต็อครายวัน!$E$122:$E$9999,MATCH(TEXT($B$2,"YYYYMMDD")&amp;"|"&amp;$E$2&amp;"|"&amp;B39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39)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39)*บันทึกสต็อครายวัน!$A$122:$A$9999)),"YYYYMMDD")&amp;"|"&amp;$E$2&amp;"|"&amp;B39,บันทึกสต็อครายวัน!$M$122:$M$9999,0))),""),INDEX(บันทึกสต็อครายวัน!$E$122:$E$9999,MATCH(TEXT($B$2,"YYYYMMDD")&amp;"|"&amp;$E$2&amp;"|"&amp;B39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39)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39)*บันทึกสต็อครายวัน!$A$122:$A$9999)),"YYYYMMDD")&amp;"|"&amp;$E$2&amp;"|"&amp;B39,บันทึกสต็อครายวัน!$M$122:$M$9999,0))),""))</f>
        <v>392</v>
      </c>
      <c r="F39" s="149" t="str">
        <f>IFERROR(IF(ISBLANK(INDEX(บันทึกสต็อครายวัน!$F$122:$F$9999,MATCH(TEXT($B$2,"YYYYMMDD")&amp;"|"&amp;$E$2&amp;"|"&amp;B39,บันทึกสต็อครายวัน!$M$122:$M$9999,0))),"",INDEX(บันทึกสต็อครายวัน!$F$122:$F$9999,MATCH(TEXT($B$2,"YYYYMMDD")&amp;"|"&amp;$E$2&amp;"|"&amp;B39,บันทึกสต็อครายวัน!$M$122:$M$9999,0))),"")</f>
        <v/>
      </c>
      <c r="G39" s="155" t="str">
        <f>IFERROR(IF(ISBLANK(INDEX(บันทึกสต็อครายวัน!$G$122:$G$9999,MATCH(TEXT($B$2,"YYYYMMDD")&amp;"|"&amp;$E$2&amp;"|"&amp;B39,บันทึกสต็อครายวัน!$M$122:$M$9999,0))),"",INDEX(บันทึกสต็อครายวัน!$G$122:$G$9999,MATCH(TEXT($B$2,"YYYYMMDD")&amp;"|"&amp;$E$2&amp;"|"&amp;B39,บันทึกสต็อครายวัน!$M$122:$M$9999,0))),"")</f>
        <v/>
      </c>
      <c r="H39" s="152" t="str">
        <f>IFERROR(IF(ISBLANK(INDEX(บันทึกสต็อครายวัน!$H$122:$H$9999,MATCH(TEXT($B$2,"YYYYMMDD")&amp;"|"&amp;$E$2&amp;"|"&amp;B39,บันทึกสต็อครายวัน!$M$122:$M$9999,0))),"",INDEX(บันทึกสต็อครายวัน!$H$122:$H$9999,MATCH(TEXT($B$2,"YYYYMMDD")&amp;"|"&amp;$E$2&amp;"|"&amp;B39,บันทึกสต็อครายวัน!$M$122:$M$9999,0))),"")</f>
        <v/>
      </c>
      <c r="I39" s="153" t="str">
        <f>IFERROR(IF(ISBLANK(INDEX(บันทึกสต็อครายวัน!$I$122:$I$9999,MATCH(TEXT($B$2,"YYYYMMDD")&amp;"|"&amp;$E$2&amp;"|"&amp;B39,บันทึกสต็อครายวัน!$M$122:$M$9999,0))),"",INDEX(บันทึกสต็อครายวัน!$I$122:$I$9999,MATCH(TEXT($B$2,"YYYYMMDD")&amp;"|"&amp;$E$2&amp;"|"&amp;B39,บันทึกสต็อครายวัน!$M$122:$M$9999,0))),"")</f>
        <v/>
      </c>
      <c r="J39" s="153" t="str">
        <f>IFERROR(IF(ISBLANK(INDEX(บันทึกสต็อครายวัน!$J$122:$J$9999,MATCH(TEXT($B$2,"YYYYMMDD")&amp;"|"&amp;$E$2&amp;"|"&amp;B39,บันทึกสต็อครายวัน!$M$122:$M$9999,0))),"",INDEX(บันทึกสต็อครายวัน!$J$122:$J$9999,MATCH(TEXT($B$2,"YYYYMMDD")&amp;"|"&amp;$E$2&amp;"|"&amp;B39,บันทึกสต็อครายวัน!$M$122:$M$9999,0))),"")</f>
        <v/>
      </c>
      <c r="K39" s="154" t="str">
        <f>IFERROR(IF(ISBLANK(INDEX(บันทึกสต็อครายวัน!$K$122:$K$9999,MATCH(TEXT($B$2,"YYYYMMDD")&amp;"|"&amp;$E$2&amp;"|"&amp;B39,บันทึกสต็อครายวัน!$M$122:$M$9999,0))),"",INDEX(บันทึกสต็อครายวัน!$K$122:$K$9999,MATCH(TEXT($B$2,"YYYYMMDD")&amp;"|"&amp;$E$2&amp;"|"&amp;B39,บันทึกสต็อครายวัน!$M$122:$M$9999,0))),"")</f>
        <v/>
      </c>
      <c r="L39" s="154" t="str">
        <f>IFERROR(IF(ISBLANK(INDEX(บันทึกสต็อครายวัน!$L$122:$L$9999,MATCH(TEXT($B$2,"YYYYMMDD")&amp;"|"&amp;$E$2&amp;"|"&amp;B39,บันทึกสต็อครายวัน!$M$122:$M$9999,0))),"",INDEX(บันทึกสต็อครายวัน!$L$122:$L$9999,MATCH(TEXT($B$2,"YYYYMMDD")&amp;"|"&amp;$E$2&amp;"|"&amp;B39,บันทึกสต็อครายวัน!$M$122:$M$9999,0))),"")</f>
        <v/>
      </c>
    </row>
    <row r="40" spans="1:12" ht="18" customHeight="1">
      <c r="A40" s="158" t="s">
        <v>70</v>
      </c>
      <c r="B40" s="159" t="s">
        <v>85</v>
      </c>
      <c r="C40" s="160" t="s">
        <v>86</v>
      </c>
      <c r="D40" s="149">
        <f>IFERROR(IF(INDEX(บันทึกสต็อครายวัน!$D$122:$D$9999,MATCH(TEXT($B$2,"YYYYMMDD")&amp;"|"&amp;$E$2&amp;"|"&amp;B40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40)*บันทึกสต็อครายวัน!$A$122:$A$9999)),"YYYYMMDD")&amp;"|"&amp;$E$2&amp;"|"&amp;B40,บันทึกสต็อครายวัน!$M$122:$M$9999,0))),""),INDEX(บันทึกสต็อครายวัน!$D$122:$D$9999,MATCH(TEXT($B$2,"YYYYMMDD")&amp;"|"&amp;$E$2&amp;"|"&amp;B40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40)*บันทึกสต็อครายวัน!$A$122:$A$9999)),"YYYYMMDD")&amp;"|"&amp;$E$2&amp;"|"&amp;B40,บันทึกสต็อครายวัน!$M$122:$M$9999,0))),""))</f>
        <v>0</v>
      </c>
      <c r="E40" s="150">
        <f>IFERROR(IF(INDEX(บันทึกสต็อครายวัน!$E$122:$E$9999,MATCH(TEXT($B$2,"YYYYMMDD")&amp;"|"&amp;$E$2&amp;"|"&amp;B40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40)*บันทึกสต็อครายวัน!$A$122:$A$9999)),"YYYYMMDD")&amp;"|"&amp;$E$2&amp;"|"&amp;B40,บันทึกสต็อครายวัน!$M$122:$M$9999,0))),""),INDEX(บันทึกสต็อครายวัน!$E$122:$E$9999,MATCH(TEXT($B$2,"YYYYMMDD")&amp;"|"&amp;$E$2&amp;"|"&amp;B40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40)*บันทึกสต็อครายวัน!$A$122:$A$9999)),"YYYYMMDD")&amp;"|"&amp;$E$2&amp;"|"&amp;B40,บันทึกสต็อครายวัน!$M$122:$M$9999,0))),""))</f>
        <v>120</v>
      </c>
      <c r="F40" s="149" t="str">
        <f>IFERROR(IF(ISBLANK(INDEX(บันทึกสต็อครายวัน!$F$122:$F$9999,MATCH(TEXT($B$2,"YYYYMMDD")&amp;"|"&amp;$E$2&amp;"|"&amp;B40,บันทึกสต็อครายวัน!$M$122:$M$9999,0))),"",INDEX(บันทึกสต็อครายวัน!$F$122:$F$9999,MATCH(TEXT($B$2,"YYYYMMDD")&amp;"|"&amp;$E$2&amp;"|"&amp;B40,บันทึกสต็อครายวัน!$M$122:$M$9999,0))),"")</f>
        <v/>
      </c>
      <c r="G40" s="155" t="str">
        <f>IFERROR(IF(ISBLANK(INDEX(บันทึกสต็อครายวัน!$G$122:$G$9999,MATCH(TEXT($B$2,"YYYYMMDD")&amp;"|"&amp;$E$2&amp;"|"&amp;B40,บันทึกสต็อครายวัน!$M$122:$M$9999,0))),"",INDEX(บันทึกสต็อครายวัน!$G$122:$G$9999,MATCH(TEXT($B$2,"YYYYMMDD")&amp;"|"&amp;$E$2&amp;"|"&amp;B40,บันทึกสต็อครายวัน!$M$122:$M$9999,0))),"")</f>
        <v/>
      </c>
      <c r="H40" s="152" t="str">
        <f>IFERROR(IF(ISBLANK(INDEX(บันทึกสต็อครายวัน!$H$122:$H$9999,MATCH(TEXT($B$2,"YYYYMMDD")&amp;"|"&amp;$E$2&amp;"|"&amp;B40,บันทึกสต็อครายวัน!$M$122:$M$9999,0))),"",INDEX(บันทึกสต็อครายวัน!$H$122:$H$9999,MATCH(TEXT($B$2,"YYYYMMDD")&amp;"|"&amp;$E$2&amp;"|"&amp;B40,บันทึกสต็อครายวัน!$M$122:$M$9999,0))),"")</f>
        <v/>
      </c>
      <c r="I40" s="153" t="str">
        <f>IFERROR(IF(ISBLANK(INDEX(บันทึกสต็อครายวัน!$I$122:$I$9999,MATCH(TEXT($B$2,"YYYYMMDD")&amp;"|"&amp;$E$2&amp;"|"&amp;B40,บันทึกสต็อครายวัน!$M$122:$M$9999,0))),"",INDEX(บันทึกสต็อครายวัน!$I$122:$I$9999,MATCH(TEXT($B$2,"YYYYMMDD")&amp;"|"&amp;$E$2&amp;"|"&amp;B40,บันทึกสต็อครายวัน!$M$122:$M$9999,0))),"")</f>
        <v/>
      </c>
      <c r="J40" s="153" t="str">
        <f>IFERROR(IF(ISBLANK(INDEX(บันทึกสต็อครายวัน!$J$122:$J$9999,MATCH(TEXT($B$2,"YYYYMMDD")&amp;"|"&amp;$E$2&amp;"|"&amp;B40,บันทึกสต็อครายวัน!$M$122:$M$9999,0))),"",INDEX(บันทึกสต็อครายวัน!$J$122:$J$9999,MATCH(TEXT($B$2,"YYYYMMDD")&amp;"|"&amp;$E$2&amp;"|"&amp;B40,บันทึกสต็อครายวัน!$M$122:$M$9999,0))),"")</f>
        <v/>
      </c>
      <c r="K40" s="154" t="str">
        <f>IFERROR(IF(ISBLANK(INDEX(บันทึกสต็อครายวัน!$K$122:$K$9999,MATCH(TEXT($B$2,"YYYYMMDD")&amp;"|"&amp;$E$2&amp;"|"&amp;B40,บันทึกสต็อครายวัน!$M$122:$M$9999,0))),"",INDEX(บันทึกสต็อครายวัน!$K$122:$K$9999,MATCH(TEXT($B$2,"YYYYMMDD")&amp;"|"&amp;$E$2&amp;"|"&amp;B40,บันทึกสต็อครายวัน!$M$122:$M$9999,0))),"")</f>
        <v/>
      </c>
      <c r="L40" s="154" t="str">
        <f>IFERROR(IF(ISBLANK(INDEX(บันทึกสต็อครายวัน!$L$122:$L$9999,MATCH(TEXT($B$2,"YYYYMMDD")&amp;"|"&amp;$E$2&amp;"|"&amp;B40,บันทึกสต็อครายวัน!$M$122:$M$9999,0))),"",INDEX(บันทึกสต็อครายวัน!$L$122:$L$9999,MATCH(TEXT($B$2,"YYYYMMDD")&amp;"|"&amp;$E$2&amp;"|"&amp;B40,บันทึกสต็อครายวัน!$M$122:$M$9999,0))),"")</f>
        <v/>
      </c>
    </row>
    <row r="41" spans="1:12" ht="18" customHeight="1">
      <c r="A41" s="158" t="s">
        <v>70</v>
      </c>
      <c r="B41" s="159" t="s">
        <v>87</v>
      </c>
      <c r="C41" s="160" t="s">
        <v>82</v>
      </c>
      <c r="D41" s="149">
        <f>IFERROR(IF(INDEX(บันทึกสต็อครายวัน!$D$122:$D$9999,MATCH(TEXT($B$2,"YYYYMMDD")&amp;"|"&amp;$E$2&amp;"|"&amp;B41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41)*บันทึกสต็อครายวัน!$A$122:$A$9999)),"YYYYMMDD")&amp;"|"&amp;$E$2&amp;"|"&amp;B41,บันทึกสต็อครายวัน!$M$122:$M$9999,0))),""),INDEX(บันทึกสต็อครายวัน!$D$122:$D$9999,MATCH(TEXT($B$2,"YYYYMMDD")&amp;"|"&amp;$E$2&amp;"|"&amp;B41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41)*บันทึกสต็อครายวัน!$A$122:$A$9999)),"YYYYMMDD")&amp;"|"&amp;$E$2&amp;"|"&amp;B41,บันทึกสต็อครายวัน!$M$122:$M$9999,0))),""))</f>
        <v>2</v>
      </c>
      <c r="E41" s="150">
        <f>IFERROR(IF(INDEX(บันทึกสต็อครายวัน!$E$122:$E$9999,MATCH(TEXT($B$2,"YYYYMMDD")&amp;"|"&amp;$E$2&amp;"|"&amp;B41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41)*บันทึกสต็อครายวัน!$A$122:$A$9999)),"YYYYMMDD")&amp;"|"&amp;$E$2&amp;"|"&amp;B41,บันทึกสต็อครายวัน!$M$122:$M$9999,0))),""),INDEX(บันทึกสต็อครายวัน!$E$122:$E$9999,MATCH(TEXT($B$2,"YYYYMMDD")&amp;"|"&amp;$E$2&amp;"|"&amp;B41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41)*บันทึกสต็อครายวัน!$A$122:$A$9999)),"YYYYMMDD")&amp;"|"&amp;$E$2&amp;"|"&amp;B41,บันทึกสต็อครายวัน!$M$122:$M$9999,0))),""))</f>
        <v>199</v>
      </c>
      <c r="F41" s="149" t="str">
        <f>IFERROR(IF(ISBLANK(INDEX(บันทึกสต็อครายวัน!$F$122:$F$9999,MATCH(TEXT($B$2,"YYYYMMDD")&amp;"|"&amp;$E$2&amp;"|"&amp;B41,บันทึกสต็อครายวัน!$M$122:$M$9999,0))),"",INDEX(บันทึกสต็อครายวัน!$F$122:$F$9999,MATCH(TEXT($B$2,"YYYYMMDD")&amp;"|"&amp;$E$2&amp;"|"&amp;B41,บันทึกสต็อครายวัน!$M$122:$M$9999,0))),"")</f>
        <v/>
      </c>
      <c r="G41" s="155" t="str">
        <f>IFERROR(IF(ISBLANK(INDEX(บันทึกสต็อครายวัน!$G$122:$G$9999,MATCH(TEXT($B$2,"YYYYMMDD")&amp;"|"&amp;$E$2&amp;"|"&amp;B41,บันทึกสต็อครายวัน!$M$122:$M$9999,0))),"",INDEX(บันทึกสต็อครายวัน!$G$122:$G$9999,MATCH(TEXT($B$2,"YYYYMMDD")&amp;"|"&amp;$E$2&amp;"|"&amp;B41,บันทึกสต็อครายวัน!$M$122:$M$9999,0))),"")</f>
        <v/>
      </c>
      <c r="H41" s="152" t="str">
        <f>IFERROR(IF(ISBLANK(INDEX(บันทึกสต็อครายวัน!$H$122:$H$9999,MATCH(TEXT($B$2,"YYYYMMDD")&amp;"|"&amp;$E$2&amp;"|"&amp;B41,บันทึกสต็อครายวัน!$M$122:$M$9999,0))),"",INDEX(บันทึกสต็อครายวัน!$H$122:$H$9999,MATCH(TEXT($B$2,"YYYYMMDD")&amp;"|"&amp;$E$2&amp;"|"&amp;B41,บันทึกสต็อครายวัน!$M$122:$M$9999,0))),"")</f>
        <v/>
      </c>
      <c r="I41" s="153" t="str">
        <f>IFERROR(IF(ISBLANK(INDEX(บันทึกสต็อครายวัน!$I$122:$I$9999,MATCH(TEXT($B$2,"YYYYMMDD")&amp;"|"&amp;$E$2&amp;"|"&amp;B41,บันทึกสต็อครายวัน!$M$122:$M$9999,0))),"",INDEX(บันทึกสต็อครายวัน!$I$122:$I$9999,MATCH(TEXT($B$2,"YYYYMMDD")&amp;"|"&amp;$E$2&amp;"|"&amp;B41,บันทึกสต็อครายวัน!$M$122:$M$9999,0))),"")</f>
        <v/>
      </c>
      <c r="J41" s="153" t="str">
        <f>IFERROR(IF(ISBLANK(INDEX(บันทึกสต็อครายวัน!$J$122:$J$9999,MATCH(TEXT($B$2,"YYYYMMDD")&amp;"|"&amp;$E$2&amp;"|"&amp;B41,บันทึกสต็อครายวัน!$M$122:$M$9999,0))),"",INDEX(บันทึกสต็อครายวัน!$J$122:$J$9999,MATCH(TEXT($B$2,"YYYYMMDD")&amp;"|"&amp;$E$2&amp;"|"&amp;B41,บันทึกสต็อครายวัน!$M$122:$M$9999,0))),"")</f>
        <v/>
      </c>
      <c r="K41" s="154" t="str">
        <f>IFERROR(IF(ISBLANK(INDEX(บันทึกสต็อครายวัน!$K$122:$K$9999,MATCH(TEXT($B$2,"YYYYMMDD")&amp;"|"&amp;$E$2&amp;"|"&amp;B41,บันทึกสต็อครายวัน!$M$122:$M$9999,0))),"",INDEX(บันทึกสต็อครายวัน!$K$122:$K$9999,MATCH(TEXT($B$2,"YYYYMMDD")&amp;"|"&amp;$E$2&amp;"|"&amp;B41,บันทึกสต็อครายวัน!$M$122:$M$9999,0))),"")</f>
        <v/>
      </c>
      <c r="L41" s="154" t="str">
        <f>IFERROR(IF(ISBLANK(INDEX(บันทึกสต็อครายวัน!$L$122:$L$9999,MATCH(TEXT($B$2,"YYYYMMDD")&amp;"|"&amp;$E$2&amp;"|"&amp;B41,บันทึกสต็อครายวัน!$M$122:$M$9999,0))),"",INDEX(บันทึกสต็อครายวัน!$L$122:$L$9999,MATCH(TEXT($B$2,"YYYYMMDD")&amp;"|"&amp;$E$2&amp;"|"&amp;B41,บันทึกสต็อครายวัน!$M$122:$M$9999,0))),"")</f>
        <v/>
      </c>
    </row>
    <row r="42" spans="1:12" ht="18" customHeight="1">
      <c r="A42" s="158" t="s">
        <v>70</v>
      </c>
      <c r="B42" s="159" t="s">
        <v>88</v>
      </c>
      <c r="C42" s="160" t="s">
        <v>82</v>
      </c>
      <c r="D42" s="149">
        <f>IFERROR(IF(INDEX(บันทึกสต็อครายวัน!$D$122:$D$9999,MATCH(TEXT($B$2,"YYYYMMDD")&amp;"|"&amp;$E$2&amp;"|"&amp;B42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42)*บันทึกสต็อครายวัน!$A$122:$A$9999)),"YYYYMMDD")&amp;"|"&amp;$E$2&amp;"|"&amp;B42,บันทึกสต็อครายวัน!$M$122:$M$9999,0))),""),INDEX(บันทึกสต็อครายวัน!$D$122:$D$9999,MATCH(TEXT($B$2,"YYYYMMDD")&amp;"|"&amp;$E$2&amp;"|"&amp;B42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42)*บันทึกสต็อครายวัน!$A$122:$A$9999)),"YYYYMMDD")&amp;"|"&amp;$E$2&amp;"|"&amp;B42,บันทึกสต็อครายวัน!$M$122:$M$9999,0))),""))</f>
        <v>1</v>
      </c>
      <c r="E42" s="150">
        <f>IFERROR(IF(INDEX(บันทึกสต็อครายวัน!$E$122:$E$9999,MATCH(TEXT($B$2,"YYYYMMDD")&amp;"|"&amp;$E$2&amp;"|"&amp;B42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42)*บันทึกสต็อครายวัน!$A$122:$A$9999)),"YYYYMMDD")&amp;"|"&amp;$E$2&amp;"|"&amp;B42,บันทึกสต็อครายวัน!$M$122:$M$9999,0))),""),INDEX(บันทึกสต็อครายวัน!$E$122:$E$9999,MATCH(TEXT($B$2,"YYYYMMDD")&amp;"|"&amp;$E$2&amp;"|"&amp;B42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42)*บันทึกสต็อครายวัน!$A$122:$A$9999)),"YYYYMMDD")&amp;"|"&amp;$E$2&amp;"|"&amp;B42,บันทึกสต็อครายวัน!$M$122:$M$9999,0))),""))</f>
        <v>181</v>
      </c>
      <c r="F42" s="149" t="str">
        <f>IFERROR(IF(ISBLANK(INDEX(บันทึกสต็อครายวัน!$F$122:$F$9999,MATCH(TEXT($B$2,"YYYYMMDD")&amp;"|"&amp;$E$2&amp;"|"&amp;B42,บันทึกสต็อครายวัน!$M$122:$M$9999,0))),"",INDEX(บันทึกสต็อครายวัน!$F$122:$F$9999,MATCH(TEXT($B$2,"YYYYMMDD")&amp;"|"&amp;$E$2&amp;"|"&amp;B42,บันทึกสต็อครายวัน!$M$122:$M$9999,0))),"")</f>
        <v/>
      </c>
      <c r="G42" s="155" t="str">
        <f>IFERROR(IF(ISBLANK(INDEX(บันทึกสต็อครายวัน!$G$122:$G$9999,MATCH(TEXT($B$2,"YYYYMMDD")&amp;"|"&amp;$E$2&amp;"|"&amp;B42,บันทึกสต็อครายวัน!$M$122:$M$9999,0))),"",INDEX(บันทึกสต็อครายวัน!$G$122:$G$9999,MATCH(TEXT($B$2,"YYYYMMDD")&amp;"|"&amp;$E$2&amp;"|"&amp;B42,บันทึกสต็อครายวัน!$M$122:$M$9999,0))),"")</f>
        <v/>
      </c>
      <c r="H42" s="152" t="str">
        <f>IFERROR(IF(ISBLANK(INDEX(บันทึกสต็อครายวัน!$H$122:$H$9999,MATCH(TEXT($B$2,"YYYYMMDD")&amp;"|"&amp;$E$2&amp;"|"&amp;B42,บันทึกสต็อครายวัน!$M$122:$M$9999,0))),"",INDEX(บันทึกสต็อครายวัน!$H$122:$H$9999,MATCH(TEXT($B$2,"YYYYMMDD")&amp;"|"&amp;$E$2&amp;"|"&amp;B42,บันทึกสต็อครายวัน!$M$122:$M$9999,0))),"")</f>
        <v/>
      </c>
      <c r="I42" s="153" t="str">
        <f>IFERROR(IF(ISBLANK(INDEX(บันทึกสต็อครายวัน!$I$122:$I$9999,MATCH(TEXT($B$2,"YYYYMMDD")&amp;"|"&amp;$E$2&amp;"|"&amp;B42,บันทึกสต็อครายวัน!$M$122:$M$9999,0))),"",INDEX(บันทึกสต็อครายวัน!$I$122:$I$9999,MATCH(TEXT($B$2,"YYYYMMDD")&amp;"|"&amp;$E$2&amp;"|"&amp;B42,บันทึกสต็อครายวัน!$M$122:$M$9999,0))),"")</f>
        <v/>
      </c>
      <c r="J42" s="153" t="str">
        <f>IFERROR(IF(ISBLANK(INDEX(บันทึกสต็อครายวัน!$J$122:$J$9999,MATCH(TEXT($B$2,"YYYYMMDD")&amp;"|"&amp;$E$2&amp;"|"&amp;B42,บันทึกสต็อครายวัน!$M$122:$M$9999,0))),"",INDEX(บันทึกสต็อครายวัน!$J$122:$J$9999,MATCH(TEXT($B$2,"YYYYMMDD")&amp;"|"&amp;$E$2&amp;"|"&amp;B42,บันทึกสต็อครายวัน!$M$122:$M$9999,0))),"")</f>
        <v/>
      </c>
      <c r="K42" s="154" t="str">
        <f>IFERROR(IF(ISBLANK(INDEX(บันทึกสต็อครายวัน!$K$122:$K$9999,MATCH(TEXT($B$2,"YYYYMMDD")&amp;"|"&amp;$E$2&amp;"|"&amp;B42,บันทึกสต็อครายวัน!$M$122:$M$9999,0))),"",INDEX(บันทึกสต็อครายวัน!$K$122:$K$9999,MATCH(TEXT($B$2,"YYYYMMDD")&amp;"|"&amp;$E$2&amp;"|"&amp;B42,บันทึกสต็อครายวัน!$M$122:$M$9999,0))),"")</f>
        <v/>
      </c>
      <c r="L42" s="154" t="str">
        <f>IFERROR(IF(ISBLANK(INDEX(บันทึกสต็อครายวัน!$L$122:$L$9999,MATCH(TEXT($B$2,"YYYYMMDD")&amp;"|"&amp;$E$2&amp;"|"&amp;B42,บันทึกสต็อครายวัน!$M$122:$M$9999,0))),"",INDEX(บันทึกสต็อครายวัน!$L$122:$L$9999,MATCH(TEXT($B$2,"YYYYMMDD")&amp;"|"&amp;$E$2&amp;"|"&amp;B42,บันทึกสต็อครายวัน!$M$122:$M$9999,0))),"")</f>
        <v/>
      </c>
    </row>
    <row r="43" spans="1:12" ht="18" customHeight="1">
      <c r="A43" s="158" t="s">
        <v>70</v>
      </c>
      <c r="B43" s="159" t="s">
        <v>89</v>
      </c>
      <c r="C43" s="160" t="s">
        <v>82</v>
      </c>
      <c r="D43" s="149">
        <f>IFERROR(IF(INDEX(บันทึกสต็อครายวัน!$D$122:$D$9999,MATCH(TEXT($B$2,"YYYYMMDD")&amp;"|"&amp;$E$2&amp;"|"&amp;B43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43)*บันทึกสต็อครายวัน!$A$122:$A$9999)),"YYYYMMDD")&amp;"|"&amp;$E$2&amp;"|"&amp;B43,บันทึกสต็อครายวัน!$M$122:$M$9999,0))),""),INDEX(บันทึกสต็อครายวัน!$D$122:$D$9999,MATCH(TEXT($B$2,"YYYYMMDD")&amp;"|"&amp;$E$2&amp;"|"&amp;B43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43)*บันทึกสต็อครายวัน!$A$122:$A$9999)),"YYYYMMDD")&amp;"|"&amp;$E$2&amp;"|"&amp;B43,บันทึกสต็อครายวัน!$M$122:$M$9999,0))),""))</f>
        <v>0</v>
      </c>
      <c r="E43" s="150">
        <f>IFERROR(IF(INDEX(บันทึกสต็อครายวัน!$E$122:$E$9999,MATCH(TEXT($B$2,"YYYYMMDD")&amp;"|"&amp;$E$2&amp;"|"&amp;B43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43)*บันทึกสต็อครายวัน!$A$122:$A$9999)),"YYYYMMDD")&amp;"|"&amp;$E$2&amp;"|"&amp;B43,บันทึกสต็อครายวัน!$M$122:$M$9999,0))),""),INDEX(บันทึกสต็อครายวัน!$E$122:$E$9999,MATCH(TEXT($B$2,"YYYYMMDD")&amp;"|"&amp;$E$2&amp;"|"&amp;B43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43)*บันทึกสต็อครายวัน!$A$122:$A$9999)),"YYYYMMDD")&amp;"|"&amp;$E$2&amp;"|"&amp;B43,บันทึกสต็อครายวัน!$M$122:$M$9999,0))),""))</f>
        <v>420</v>
      </c>
      <c r="F43" s="149" t="str">
        <f>IFERROR(IF(ISBLANK(INDEX(บันทึกสต็อครายวัน!$F$122:$F$9999,MATCH(TEXT($B$2,"YYYYMMDD")&amp;"|"&amp;$E$2&amp;"|"&amp;B43,บันทึกสต็อครายวัน!$M$122:$M$9999,0))),"",INDEX(บันทึกสต็อครายวัน!$F$122:$F$9999,MATCH(TEXT($B$2,"YYYYMMDD")&amp;"|"&amp;$E$2&amp;"|"&amp;B43,บันทึกสต็อครายวัน!$M$122:$M$9999,0))),"")</f>
        <v/>
      </c>
      <c r="G43" s="155" t="str">
        <f>IFERROR(IF(ISBLANK(INDEX(บันทึกสต็อครายวัน!$G$122:$G$9999,MATCH(TEXT($B$2,"YYYYMMDD")&amp;"|"&amp;$E$2&amp;"|"&amp;B43,บันทึกสต็อครายวัน!$M$122:$M$9999,0))),"",INDEX(บันทึกสต็อครายวัน!$G$122:$G$9999,MATCH(TEXT($B$2,"YYYYMMDD")&amp;"|"&amp;$E$2&amp;"|"&amp;B43,บันทึกสต็อครายวัน!$M$122:$M$9999,0))),"")</f>
        <v/>
      </c>
      <c r="H43" s="152" t="str">
        <f>IFERROR(IF(ISBLANK(INDEX(บันทึกสต็อครายวัน!$H$122:$H$9999,MATCH(TEXT($B$2,"YYYYMMDD")&amp;"|"&amp;$E$2&amp;"|"&amp;B43,บันทึกสต็อครายวัน!$M$122:$M$9999,0))),"",INDEX(บันทึกสต็อครายวัน!$H$122:$H$9999,MATCH(TEXT($B$2,"YYYYMMDD")&amp;"|"&amp;$E$2&amp;"|"&amp;B43,บันทึกสต็อครายวัน!$M$122:$M$9999,0))),"")</f>
        <v/>
      </c>
      <c r="I43" s="153" t="str">
        <f>IFERROR(IF(ISBLANK(INDEX(บันทึกสต็อครายวัน!$I$122:$I$9999,MATCH(TEXT($B$2,"YYYYMMDD")&amp;"|"&amp;$E$2&amp;"|"&amp;B43,บันทึกสต็อครายวัน!$M$122:$M$9999,0))),"",INDEX(บันทึกสต็อครายวัน!$I$122:$I$9999,MATCH(TEXT($B$2,"YYYYMMDD")&amp;"|"&amp;$E$2&amp;"|"&amp;B43,บันทึกสต็อครายวัน!$M$122:$M$9999,0))),"")</f>
        <v/>
      </c>
      <c r="J43" s="153" t="str">
        <f>IFERROR(IF(ISBLANK(INDEX(บันทึกสต็อครายวัน!$J$122:$J$9999,MATCH(TEXT($B$2,"YYYYMMDD")&amp;"|"&amp;$E$2&amp;"|"&amp;B43,บันทึกสต็อครายวัน!$M$122:$M$9999,0))),"",INDEX(บันทึกสต็อครายวัน!$J$122:$J$9999,MATCH(TEXT($B$2,"YYYYMMDD")&amp;"|"&amp;$E$2&amp;"|"&amp;B43,บันทึกสต็อครายวัน!$M$122:$M$9999,0))),"")</f>
        <v/>
      </c>
      <c r="K43" s="154" t="str">
        <f>IFERROR(IF(ISBLANK(INDEX(บันทึกสต็อครายวัน!$K$122:$K$9999,MATCH(TEXT($B$2,"YYYYMMDD")&amp;"|"&amp;$E$2&amp;"|"&amp;B43,บันทึกสต็อครายวัน!$M$122:$M$9999,0))),"",INDEX(บันทึกสต็อครายวัน!$K$122:$K$9999,MATCH(TEXT($B$2,"YYYYMMDD")&amp;"|"&amp;$E$2&amp;"|"&amp;B43,บันทึกสต็อครายวัน!$M$122:$M$9999,0))),"")</f>
        <v/>
      </c>
      <c r="L43" s="154" t="str">
        <f>IFERROR(IF(ISBLANK(INDEX(บันทึกสต็อครายวัน!$L$122:$L$9999,MATCH(TEXT($B$2,"YYYYMMDD")&amp;"|"&amp;$E$2&amp;"|"&amp;B43,บันทึกสต็อครายวัน!$M$122:$M$9999,0))),"",INDEX(บันทึกสต็อครายวัน!$L$122:$L$9999,MATCH(TEXT($B$2,"YYYYMMDD")&amp;"|"&amp;$E$2&amp;"|"&amp;B43,บันทึกสต็อครายวัน!$M$122:$M$9999,0))),"")</f>
        <v/>
      </c>
    </row>
    <row r="44" spans="1:12" ht="18" customHeight="1">
      <c r="A44" s="158" t="s">
        <v>70</v>
      </c>
      <c r="B44" s="159" t="s">
        <v>90</v>
      </c>
      <c r="C44" s="160" t="s">
        <v>91</v>
      </c>
      <c r="D44" s="149">
        <f>IFERROR(IF(INDEX(บันทึกสต็อครายวัน!$D$122:$D$9999,MATCH(TEXT($B$2,"YYYYMMDD")&amp;"|"&amp;$E$2&amp;"|"&amp;B44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44)*บันทึกสต็อครายวัน!$A$122:$A$9999)),"YYYYMMDD")&amp;"|"&amp;$E$2&amp;"|"&amp;B44,บันทึกสต็อครายวัน!$M$122:$M$9999,0))),""),INDEX(บันทึกสต็อครายวัน!$D$122:$D$9999,MATCH(TEXT($B$2,"YYYYMMDD")&amp;"|"&amp;$E$2&amp;"|"&amp;B44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44)*บันทึกสต็อครายวัน!$A$122:$A$9999)),"YYYYMMDD")&amp;"|"&amp;$E$2&amp;"|"&amp;B44,บันทึกสต็อครายวัน!$M$122:$M$9999,0))),""))</f>
        <v>1</v>
      </c>
      <c r="E44" s="150">
        <f>IFERROR(IF(INDEX(บันทึกสต็อครายวัน!$E$122:$E$9999,MATCH(TEXT($B$2,"YYYYMMDD")&amp;"|"&amp;$E$2&amp;"|"&amp;B44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44)*บันทึกสต็อครายวัน!$A$122:$A$9999)),"YYYYMMDD")&amp;"|"&amp;$E$2&amp;"|"&amp;B44,บันทึกสต็อครายวัน!$M$122:$M$9999,0))),""),INDEX(บันทึกสต็อครายวัน!$E$122:$E$9999,MATCH(TEXT($B$2,"YYYYMMDD")&amp;"|"&amp;$E$2&amp;"|"&amp;B44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44)*บันทึกสต็อครายวัน!$A$122:$A$9999)),"YYYYMMDD")&amp;"|"&amp;$E$2&amp;"|"&amp;B44,บันทึกสต็อครายวัน!$M$122:$M$9999,0))),""))</f>
        <v>530</v>
      </c>
      <c r="F44" s="149" t="str">
        <f>IFERROR(IF(ISBLANK(INDEX(บันทึกสต็อครายวัน!$F$122:$F$9999,MATCH(TEXT($B$2,"YYYYMMDD")&amp;"|"&amp;$E$2&amp;"|"&amp;B44,บันทึกสต็อครายวัน!$M$122:$M$9999,0))),"",INDEX(บันทึกสต็อครายวัน!$F$122:$F$9999,MATCH(TEXT($B$2,"YYYYMMDD")&amp;"|"&amp;$E$2&amp;"|"&amp;B44,บันทึกสต็อครายวัน!$M$122:$M$9999,0))),"")</f>
        <v/>
      </c>
      <c r="G44" s="155" t="str">
        <f>IFERROR(IF(ISBLANK(INDEX(บันทึกสต็อครายวัน!$G$122:$G$9999,MATCH(TEXT($B$2,"YYYYMMDD")&amp;"|"&amp;$E$2&amp;"|"&amp;B44,บันทึกสต็อครายวัน!$M$122:$M$9999,0))),"",INDEX(บันทึกสต็อครายวัน!$G$122:$G$9999,MATCH(TEXT($B$2,"YYYYMMDD")&amp;"|"&amp;$E$2&amp;"|"&amp;B44,บันทึกสต็อครายวัน!$M$122:$M$9999,0))),"")</f>
        <v/>
      </c>
      <c r="H44" s="152" t="str">
        <f>IFERROR(IF(ISBLANK(INDEX(บันทึกสต็อครายวัน!$H$122:$H$9999,MATCH(TEXT($B$2,"YYYYMMDD")&amp;"|"&amp;$E$2&amp;"|"&amp;B44,บันทึกสต็อครายวัน!$M$122:$M$9999,0))),"",INDEX(บันทึกสต็อครายวัน!$H$122:$H$9999,MATCH(TEXT($B$2,"YYYYMMDD")&amp;"|"&amp;$E$2&amp;"|"&amp;B44,บันทึกสต็อครายวัน!$M$122:$M$9999,0))),"")</f>
        <v/>
      </c>
      <c r="I44" s="153" t="str">
        <f>IFERROR(IF(ISBLANK(INDEX(บันทึกสต็อครายวัน!$I$122:$I$9999,MATCH(TEXT($B$2,"YYYYMMDD")&amp;"|"&amp;$E$2&amp;"|"&amp;B44,บันทึกสต็อครายวัน!$M$122:$M$9999,0))),"",INDEX(บันทึกสต็อครายวัน!$I$122:$I$9999,MATCH(TEXT($B$2,"YYYYMMDD")&amp;"|"&amp;$E$2&amp;"|"&amp;B44,บันทึกสต็อครายวัน!$M$122:$M$9999,0))),"")</f>
        <v/>
      </c>
      <c r="J44" s="153" t="str">
        <f>IFERROR(IF(ISBLANK(INDEX(บันทึกสต็อครายวัน!$J$122:$J$9999,MATCH(TEXT($B$2,"YYYYMMDD")&amp;"|"&amp;$E$2&amp;"|"&amp;B44,บันทึกสต็อครายวัน!$M$122:$M$9999,0))),"",INDEX(บันทึกสต็อครายวัน!$J$122:$J$9999,MATCH(TEXT($B$2,"YYYYMMDD")&amp;"|"&amp;$E$2&amp;"|"&amp;B44,บันทึกสต็อครายวัน!$M$122:$M$9999,0))),"")</f>
        <v/>
      </c>
      <c r="K44" s="154" t="str">
        <f>IFERROR(IF(ISBLANK(INDEX(บันทึกสต็อครายวัน!$K$122:$K$9999,MATCH(TEXT($B$2,"YYYYMMDD")&amp;"|"&amp;$E$2&amp;"|"&amp;B44,บันทึกสต็อครายวัน!$M$122:$M$9999,0))),"",INDEX(บันทึกสต็อครายวัน!$K$122:$K$9999,MATCH(TEXT($B$2,"YYYYMMDD")&amp;"|"&amp;$E$2&amp;"|"&amp;B44,บันทึกสต็อครายวัน!$M$122:$M$9999,0))),"")</f>
        <v/>
      </c>
      <c r="L44" s="154" t="str">
        <f>IFERROR(IF(ISBLANK(INDEX(บันทึกสต็อครายวัน!$L$122:$L$9999,MATCH(TEXT($B$2,"YYYYMMDD")&amp;"|"&amp;$E$2&amp;"|"&amp;B44,บันทึกสต็อครายวัน!$M$122:$M$9999,0))),"",INDEX(บันทึกสต็อครายวัน!$L$122:$L$9999,MATCH(TEXT($B$2,"YYYYMMDD")&amp;"|"&amp;$E$2&amp;"|"&amp;B44,บันทึกสต็อครายวัน!$M$122:$M$9999,0))),"")</f>
        <v/>
      </c>
    </row>
    <row r="45" spans="1:12" ht="18" customHeight="1">
      <c r="A45" s="158" t="s">
        <v>70</v>
      </c>
      <c r="B45" s="159" t="s">
        <v>92</v>
      </c>
      <c r="C45" s="160" t="s">
        <v>91</v>
      </c>
      <c r="D45" s="149">
        <f>IFERROR(IF(INDEX(บันทึกสต็อครายวัน!$D$122:$D$9999,MATCH(TEXT($B$2,"YYYYMMDD")&amp;"|"&amp;$E$2&amp;"|"&amp;B45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45)*บันทึกสต็อครายวัน!$A$122:$A$9999)),"YYYYMMDD")&amp;"|"&amp;$E$2&amp;"|"&amp;B45,บันทึกสต็อครายวัน!$M$122:$M$9999,0))),""),INDEX(บันทึกสต็อครายวัน!$D$122:$D$9999,MATCH(TEXT($B$2,"YYYYMMDD")&amp;"|"&amp;$E$2&amp;"|"&amp;B45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45)*บันทึกสต็อครายวัน!$A$122:$A$9999)),"YYYYMMDD")&amp;"|"&amp;$E$2&amp;"|"&amp;B45,บันทึกสต็อครายวัน!$M$122:$M$9999,0))),""))</f>
        <v>1</v>
      </c>
      <c r="E45" s="150">
        <f>IFERROR(IF(INDEX(บันทึกสต็อครายวัน!$E$122:$E$9999,MATCH(TEXT($B$2,"YYYYMMDD")&amp;"|"&amp;$E$2&amp;"|"&amp;B45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45)*บันทึกสต็อครายวัน!$A$122:$A$9999)),"YYYYMMDD")&amp;"|"&amp;$E$2&amp;"|"&amp;B45,บันทึกสต็อครายวัน!$M$122:$M$9999,0))),""),INDEX(บันทึกสต็อครายวัน!$E$122:$E$9999,MATCH(TEXT($B$2,"YYYYMMDD")&amp;"|"&amp;$E$2&amp;"|"&amp;B45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45)*บันทึกสต็อครายวัน!$A$122:$A$9999)),"YYYYMMDD")&amp;"|"&amp;$E$2&amp;"|"&amp;B45,บันทึกสต็อครายวัน!$M$122:$M$9999,0))),""))</f>
        <v>518</v>
      </c>
      <c r="F45" s="149" t="str">
        <f>IFERROR(IF(ISBLANK(INDEX(บันทึกสต็อครายวัน!$F$122:$F$9999,MATCH(TEXT($B$2,"YYYYMMDD")&amp;"|"&amp;$E$2&amp;"|"&amp;B45,บันทึกสต็อครายวัน!$M$122:$M$9999,0))),"",INDEX(บันทึกสต็อครายวัน!$F$122:$F$9999,MATCH(TEXT($B$2,"YYYYMMDD")&amp;"|"&amp;$E$2&amp;"|"&amp;B45,บันทึกสต็อครายวัน!$M$122:$M$9999,0))),"")</f>
        <v/>
      </c>
      <c r="G45" s="155" t="str">
        <f>IFERROR(IF(ISBLANK(INDEX(บันทึกสต็อครายวัน!$G$122:$G$9999,MATCH(TEXT($B$2,"YYYYMMDD")&amp;"|"&amp;$E$2&amp;"|"&amp;B45,บันทึกสต็อครายวัน!$M$122:$M$9999,0))),"",INDEX(บันทึกสต็อครายวัน!$G$122:$G$9999,MATCH(TEXT($B$2,"YYYYMMDD")&amp;"|"&amp;$E$2&amp;"|"&amp;B45,บันทึกสต็อครายวัน!$M$122:$M$9999,0))),"")</f>
        <v/>
      </c>
      <c r="H45" s="152" t="str">
        <f>IFERROR(IF(ISBLANK(INDEX(บันทึกสต็อครายวัน!$H$122:$H$9999,MATCH(TEXT($B$2,"YYYYMMDD")&amp;"|"&amp;$E$2&amp;"|"&amp;B45,บันทึกสต็อครายวัน!$M$122:$M$9999,0))),"",INDEX(บันทึกสต็อครายวัน!$H$122:$H$9999,MATCH(TEXT($B$2,"YYYYMMDD")&amp;"|"&amp;$E$2&amp;"|"&amp;B45,บันทึกสต็อครายวัน!$M$122:$M$9999,0))),"")</f>
        <v/>
      </c>
      <c r="I45" s="153" t="str">
        <f>IFERROR(IF(ISBLANK(INDEX(บันทึกสต็อครายวัน!$I$122:$I$9999,MATCH(TEXT($B$2,"YYYYMMDD")&amp;"|"&amp;$E$2&amp;"|"&amp;B45,บันทึกสต็อครายวัน!$M$122:$M$9999,0))),"",INDEX(บันทึกสต็อครายวัน!$I$122:$I$9999,MATCH(TEXT($B$2,"YYYYMMDD")&amp;"|"&amp;$E$2&amp;"|"&amp;B45,บันทึกสต็อครายวัน!$M$122:$M$9999,0))),"")</f>
        <v/>
      </c>
      <c r="J45" s="153" t="str">
        <f>IFERROR(IF(ISBLANK(INDEX(บันทึกสต็อครายวัน!$J$122:$J$9999,MATCH(TEXT($B$2,"YYYYMMDD")&amp;"|"&amp;$E$2&amp;"|"&amp;B45,บันทึกสต็อครายวัน!$M$122:$M$9999,0))),"",INDEX(บันทึกสต็อครายวัน!$J$122:$J$9999,MATCH(TEXT($B$2,"YYYYMMDD")&amp;"|"&amp;$E$2&amp;"|"&amp;B45,บันทึกสต็อครายวัน!$M$122:$M$9999,0))),"")</f>
        <v/>
      </c>
      <c r="K45" s="154" t="str">
        <f>IFERROR(IF(ISBLANK(INDEX(บันทึกสต็อครายวัน!$K$122:$K$9999,MATCH(TEXT($B$2,"YYYYMMDD")&amp;"|"&amp;$E$2&amp;"|"&amp;B45,บันทึกสต็อครายวัน!$M$122:$M$9999,0))),"",INDEX(บันทึกสต็อครายวัน!$K$122:$K$9999,MATCH(TEXT($B$2,"YYYYMMDD")&amp;"|"&amp;$E$2&amp;"|"&amp;B45,บันทึกสต็อครายวัน!$M$122:$M$9999,0))),"")</f>
        <v/>
      </c>
      <c r="L45" s="154" t="str">
        <f>IFERROR(IF(ISBLANK(INDEX(บันทึกสต็อครายวัน!$L$122:$L$9999,MATCH(TEXT($B$2,"YYYYMMDD")&amp;"|"&amp;$E$2&amp;"|"&amp;B45,บันทึกสต็อครายวัน!$M$122:$M$9999,0))),"",INDEX(บันทึกสต็อครายวัน!$L$122:$L$9999,MATCH(TEXT($B$2,"YYYYMMDD")&amp;"|"&amp;$E$2&amp;"|"&amp;B45,บันทึกสต็อครายวัน!$M$122:$M$9999,0))),"")</f>
        <v/>
      </c>
    </row>
    <row r="46" spans="1:12" ht="18" customHeight="1">
      <c r="A46" s="158" t="s">
        <v>93</v>
      </c>
      <c r="B46" s="159" t="s">
        <v>94</v>
      </c>
      <c r="C46" s="160" t="s">
        <v>95</v>
      </c>
      <c r="D46" s="149">
        <f>IFERROR(IF(INDEX(บันทึกสต็อครายวัน!$D$122:$D$9999,MATCH(TEXT($B$2,"YYYYMMDD")&amp;"|"&amp;$E$2&amp;"|"&amp;B46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46)*บันทึกสต็อครายวัน!$A$122:$A$9999)),"YYYYMMDD")&amp;"|"&amp;$E$2&amp;"|"&amp;B46,บันทึกสต็อครายวัน!$M$122:$M$9999,0))),""),INDEX(บันทึกสต็อครายวัน!$D$122:$D$9999,MATCH(TEXT($B$2,"YYYYMMDD")&amp;"|"&amp;$E$2&amp;"|"&amp;B46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46)*บันทึกสต็อครายวัน!$A$122:$A$9999)),"YYYYMMDD")&amp;"|"&amp;$E$2&amp;"|"&amp;B46,บันทึกสต็อครายวัน!$M$122:$M$9999,0))),""))</f>
        <v>2</v>
      </c>
      <c r="E46" s="150">
        <f>IFERROR(IF(INDEX(บันทึกสต็อครายวัน!$E$122:$E$9999,MATCH(TEXT($B$2,"YYYYMMDD")&amp;"|"&amp;$E$2&amp;"|"&amp;B46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46)*บันทึกสต็อครายวัน!$A$122:$A$9999)),"YYYYMMDD")&amp;"|"&amp;$E$2&amp;"|"&amp;B46,บันทึกสต็อครายวัน!$M$122:$M$9999,0))),""),INDEX(บันทึกสต็อครายวัน!$E$122:$E$9999,MATCH(TEXT($B$2,"YYYYMMDD")&amp;"|"&amp;$E$2&amp;"|"&amp;B46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46)*บันทึกสต็อครายวัน!$A$122:$A$9999)),"YYYYMMDD")&amp;"|"&amp;$E$2&amp;"|"&amp;B46,บันทึกสต็อครายวัน!$M$122:$M$9999,0))),""))</f>
        <v>57</v>
      </c>
      <c r="F46" s="149" t="str">
        <f>IFERROR(IF(ISBLANK(INDEX(บันทึกสต็อครายวัน!$F$122:$F$9999,MATCH(TEXT($B$2,"YYYYMMDD")&amp;"|"&amp;$E$2&amp;"|"&amp;B46,บันทึกสต็อครายวัน!$M$122:$M$9999,0))),"",INDEX(บันทึกสต็อครายวัน!$F$122:$F$9999,MATCH(TEXT($B$2,"YYYYMMDD")&amp;"|"&amp;$E$2&amp;"|"&amp;B46,บันทึกสต็อครายวัน!$M$122:$M$9999,0))),"")</f>
        <v/>
      </c>
      <c r="G46" s="161" t="str">
        <f>IFERROR(IF(ISBLANK(INDEX(บันทึกสต็อครายวัน!$G$122:$G$9999,MATCH(TEXT($B$2,"YYYYMMDD")&amp;"|"&amp;$E$2&amp;"|"&amp;B46,บันทึกสต็อครายวัน!$M$122:$M$9999,0))),"",INDEX(บันทึกสต็อครายวัน!$G$122:$G$9999,MATCH(TEXT($B$2,"YYYYMMDD")&amp;"|"&amp;$E$2&amp;"|"&amp;B46,บันทึกสต็อครายวัน!$M$122:$M$9999,0))),"")</f>
        <v/>
      </c>
      <c r="H46" s="152" t="str">
        <f>IFERROR(IF(ISBLANK(INDEX(บันทึกสต็อครายวัน!$H$122:$H$9999,MATCH(TEXT($B$2,"YYYYMMDD")&amp;"|"&amp;$E$2&amp;"|"&amp;B46,บันทึกสต็อครายวัน!$M$122:$M$9999,0))),"",INDEX(บันทึกสต็อครายวัน!$H$122:$H$9999,MATCH(TEXT($B$2,"YYYYMMDD")&amp;"|"&amp;$E$2&amp;"|"&amp;B46,บันทึกสต็อครายวัน!$M$122:$M$9999,0))),"")</f>
        <v/>
      </c>
      <c r="I46" s="153" t="str">
        <f>IFERROR(IF(ISBLANK(INDEX(บันทึกสต็อครายวัน!$I$122:$I$9999,MATCH(TEXT($B$2,"YYYYMMDD")&amp;"|"&amp;$E$2&amp;"|"&amp;B46,บันทึกสต็อครายวัน!$M$122:$M$9999,0))),"",INDEX(บันทึกสต็อครายวัน!$I$122:$I$9999,MATCH(TEXT($B$2,"YYYYMMDD")&amp;"|"&amp;$E$2&amp;"|"&amp;B46,บันทึกสต็อครายวัน!$M$122:$M$9999,0))),"")</f>
        <v/>
      </c>
      <c r="J46" s="153" t="str">
        <f>IFERROR(IF(ISBLANK(INDEX(บันทึกสต็อครายวัน!$J$122:$J$9999,MATCH(TEXT($B$2,"YYYYMMDD")&amp;"|"&amp;$E$2&amp;"|"&amp;B46,บันทึกสต็อครายวัน!$M$122:$M$9999,0))),"",INDEX(บันทึกสต็อครายวัน!$J$122:$J$9999,MATCH(TEXT($B$2,"YYYYMMDD")&amp;"|"&amp;$E$2&amp;"|"&amp;B46,บันทึกสต็อครายวัน!$M$122:$M$9999,0))),"")</f>
        <v/>
      </c>
      <c r="K46" s="154" t="str">
        <f>IFERROR(IF(ISBLANK(INDEX(บันทึกสต็อครายวัน!$K$122:$K$9999,MATCH(TEXT($B$2,"YYYYMMDD")&amp;"|"&amp;$E$2&amp;"|"&amp;B46,บันทึกสต็อครายวัน!$M$122:$M$9999,0))),"",INDEX(บันทึกสต็อครายวัน!$K$122:$K$9999,MATCH(TEXT($B$2,"YYYYMMDD")&amp;"|"&amp;$E$2&amp;"|"&amp;B46,บันทึกสต็อครายวัน!$M$122:$M$9999,0))),"")</f>
        <v/>
      </c>
      <c r="L46" s="154" t="str">
        <f>IFERROR(IF(ISBLANK(INDEX(บันทึกสต็อครายวัน!$L$122:$L$9999,MATCH(TEXT($B$2,"YYYYMMDD")&amp;"|"&amp;$E$2&amp;"|"&amp;B46,บันทึกสต็อครายวัน!$M$122:$M$9999,0))),"",INDEX(บันทึกสต็อครายวัน!$L$122:$L$9999,MATCH(TEXT($B$2,"YYYYMMDD")&amp;"|"&amp;$E$2&amp;"|"&amp;B46,บันทึกสต็อครายวัน!$M$122:$M$9999,0))),"")</f>
        <v/>
      </c>
    </row>
    <row r="47" spans="1:12" ht="18" customHeight="1">
      <c r="A47" s="158" t="s">
        <v>8913</v>
      </c>
      <c r="B47" s="159" t="s">
        <v>96</v>
      </c>
      <c r="C47" s="160" t="s">
        <v>97</v>
      </c>
      <c r="D47" s="149">
        <f>IFERROR(IF(INDEX(บันทึกสต็อครายวัน!$D$122:$D$9999,MATCH(TEXT($B$2,"YYYYMMDD")&amp;"|"&amp;$E$2&amp;"|"&amp;B47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47)*บันทึกสต็อครายวัน!$A$122:$A$9999)),"YYYYMMDD")&amp;"|"&amp;$E$2&amp;"|"&amp;B47,บันทึกสต็อครายวัน!$M$122:$M$9999,0))),""),INDEX(บันทึกสต็อครายวัน!$D$122:$D$9999,MATCH(TEXT($B$2,"YYYYMMDD")&amp;"|"&amp;$E$2&amp;"|"&amp;B47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47)*บันทึกสต็อครายวัน!$A$122:$A$9999)),"YYYYMMDD")&amp;"|"&amp;$E$2&amp;"|"&amp;B47,บันทึกสต็อครายวัน!$M$122:$M$9999,0))),""))</f>
        <v>0</v>
      </c>
      <c r="E47" s="150">
        <f>IFERROR(IF(INDEX(บันทึกสต็อครายวัน!$E$122:$E$9999,MATCH(TEXT($B$2,"YYYYMMDD")&amp;"|"&amp;$E$2&amp;"|"&amp;B47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47)*บันทึกสต็อครายวัน!$A$122:$A$9999)),"YYYYMMDD")&amp;"|"&amp;$E$2&amp;"|"&amp;B47,บันทึกสต็อครายวัน!$M$122:$M$9999,0))),""),INDEX(บันทึกสต็อครายวัน!$E$122:$E$9999,MATCH(TEXT($B$2,"YYYYMMDD")&amp;"|"&amp;$E$2&amp;"|"&amp;B47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47)*บันทึกสต็อครายวัน!$A$122:$A$9999)),"YYYYMMDD")&amp;"|"&amp;$E$2&amp;"|"&amp;B47,บันทึกสต็อครายวัน!$M$122:$M$9999,0))),""))</f>
        <v>0</v>
      </c>
      <c r="F47" s="149" t="str">
        <f>IFERROR(IF(ISBLANK(INDEX(บันทึกสต็อครายวัน!$F$122:$F$9999,MATCH(TEXT($B$2,"YYYYMMDD")&amp;"|"&amp;$E$2&amp;"|"&amp;B47,บันทึกสต็อครายวัน!$M$122:$M$9999,0))),"",INDEX(บันทึกสต็อครายวัน!$F$122:$F$9999,MATCH(TEXT($B$2,"YYYYMMDD")&amp;"|"&amp;$E$2&amp;"|"&amp;B47,บันทึกสต็อครายวัน!$M$122:$M$9999,0))),"")</f>
        <v/>
      </c>
      <c r="G47" s="161" t="str">
        <f>IFERROR(IF(ISBLANK(INDEX(บันทึกสต็อครายวัน!$G$122:$G$9999,MATCH(TEXT($B$2,"YYYYMMDD")&amp;"|"&amp;$E$2&amp;"|"&amp;B47,บันทึกสต็อครายวัน!$M$122:$M$9999,0))),"",INDEX(บันทึกสต็อครายวัน!$G$122:$G$9999,MATCH(TEXT($B$2,"YYYYMMDD")&amp;"|"&amp;$E$2&amp;"|"&amp;B47,บันทึกสต็อครายวัน!$M$122:$M$9999,0))),"")</f>
        <v/>
      </c>
      <c r="H47" s="152" t="str">
        <f>IFERROR(IF(ISBLANK(INDEX(บันทึกสต็อครายวัน!$H$122:$H$9999,MATCH(TEXT($B$2,"YYYYMMDD")&amp;"|"&amp;$E$2&amp;"|"&amp;B47,บันทึกสต็อครายวัน!$M$122:$M$9999,0))),"",INDEX(บันทึกสต็อครายวัน!$H$122:$H$9999,MATCH(TEXT($B$2,"YYYYMMDD")&amp;"|"&amp;$E$2&amp;"|"&amp;B47,บันทึกสต็อครายวัน!$M$122:$M$9999,0))),"")</f>
        <v/>
      </c>
      <c r="I47" s="153" t="str">
        <f>IFERROR(IF(ISBLANK(INDEX(บันทึกสต็อครายวัน!$I$122:$I$9999,MATCH(TEXT($B$2,"YYYYMMDD")&amp;"|"&amp;$E$2&amp;"|"&amp;B47,บันทึกสต็อครายวัน!$M$122:$M$9999,0))),"",INDEX(บันทึกสต็อครายวัน!$I$122:$I$9999,MATCH(TEXT($B$2,"YYYYMMDD")&amp;"|"&amp;$E$2&amp;"|"&amp;B47,บันทึกสต็อครายวัน!$M$122:$M$9999,0))),"")</f>
        <v/>
      </c>
      <c r="J47" s="153" t="str">
        <f>IFERROR(IF(ISBLANK(INDEX(บันทึกสต็อครายวัน!$J$122:$J$9999,MATCH(TEXT($B$2,"YYYYMMDD")&amp;"|"&amp;$E$2&amp;"|"&amp;B47,บันทึกสต็อครายวัน!$M$122:$M$9999,0))),"",INDEX(บันทึกสต็อครายวัน!$J$122:$J$9999,MATCH(TEXT($B$2,"YYYYMMDD")&amp;"|"&amp;$E$2&amp;"|"&amp;B47,บันทึกสต็อครายวัน!$M$122:$M$9999,0))),"")</f>
        <v/>
      </c>
      <c r="K47" s="154" t="str">
        <f>IFERROR(IF(ISBLANK(INDEX(บันทึกสต็อครายวัน!$K$122:$K$9999,MATCH(TEXT($B$2,"YYYYMMDD")&amp;"|"&amp;$E$2&amp;"|"&amp;B47,บันทึกสต็อครายวัน!$M$122:$M$9999,0))),"",INDEX(บันทึกสต็อครายวัน!$K$122:$K$9999,MATCH(TEXT($B$2,"YYYYMMDD")&amp;"|"&amp;$E$2&amp;"|"&amp;B47,บันทึกสต็อครายวัน!$M$122:$M$9999,0))),"")</f>
        <v/>
      </c>
      <c r="L47" s="154" t="str">
        <f>IFERROR(IF(ISBLANK(INDEX(บันทึกสต็อครายวัน!$L$122:$L$9999,MATCH(TEXT($B$2,"YYYYMMDD")&amp;"|"&amp;$E$2&amp;"|"&amp;B47,บันทึกสต็อครายวัน!$M$122:$M$9999,0))),"",INDEX(บันทึกสต็อครายวัน!$L$122:$L$9999,MATCH(TEXT($B$2,"YYYYMMDD")&amp;"|"&amp;$E$2&amp;"|"&amp;B47,บันทึกสต็อครายวัน!$M$122:$M$9999,0))),"")</f>
        <v/>
      </c>
    </row>
    <row r="48" spans="1:12" ht="18" customHeight="1">
      <c r="A48" s="158" t="s">
        <v>93</v>
      </c>
      <c r="B48" s="159" t="s">
        <v>98</v>
      </c>
      <c r="C48" s="160" t="s">
        <v>99</v>
      </c>
      <c r="D48" s="149">
        <f>IFERROR(IF(INDEX(บันทึกสต็อครายวัน!$D$122:$D$9999,MATCH(TEXT($B$2,"YYYYMMDD")&amp;"|"&amp;$E$2&amp;"|"&amp;B48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48)*บันทึกสต็อครายวัน!$A$122:$A$9999)),"YYYYMMDD")&amp;"|"&amp;$E$2&amp;"|"&amp;B48,บันทึกสต็อครายวัน!$M$122:$M$9999,0))),""),INDEX(บันทึกสต็อครายวัน!$D$122:$D$9999,MATCH(TEXT($B$2,"YYYYMMDD")&amp;"|"&amp;$E$2&amp;"|"&amp;B48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48)*บันทึกสต็อครายวัน!$A$122:$A$9999)),"YYYYMMDD")&amp;"|"&amp;$E$2&amp;"|"&amp;B48,บันทึกสต็อครายวัน!$M$122:$M$9999,0))),""))</f>
        <v>1</v>
      </c>
      <c r="E48" s="150">
        <f>IFERROR(IF(INDEX(บันทึกสต็อครายวัน!$E$122:$E$9999,MATCH(TEXT($B$2,"YYYYMMDD")&amp;"|"&amp;$E$2&amp;"|"&amp;B48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48)*บันทึกสต็อครายวัน!$A$122:$A$9999)),"YYYYMMDD")&amp;"|"&amp;$E$2&amp;"|"&amp;B48,บันทึกสต็อครายวัน!$M$122:$M$9999,0))),""),INDEX(บันทึกสต็อครายวัน!$E$122:$E$9999,MATCH(TEXT($B$2,"YYYYMMDD")&amp;"|"&amp;$E$2&amp;"|"&amp;B48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48)*บันทึกสต็อครายวัน!$A$122:$A$9999)),"YYYYMMDD")&amp;"|"&amp;$E$2&amp;"|"&amp;B48,บันทึกสต็อครายวัน!$M$122:$M$9999,0))),""))</f>
        <v>19</v>
      </c>
      <c r="F48" s="149" t="str">
        <f>IFERROR(IF(ISBLANK(INDEX(บันทึกสต็อครายวัน!$F$122:$F$9999,MATCH(TEXT($B$2,"YYYYMMDD")&amp;"|"&amp;$E$2&amp;"|"&amp;B48,บันทึกสต็อครายวัน!$M$122:$M$9999,0))),"",INDEX(บันทึกสต็อครายวัน!$F$122:$F$9999,MATCH(TEXT($B$2,"YYYYMMDD")&amp;"|"&amp;$E$2&amp;"|"&amp;B48,บันทึกสต็อครายวัน!$M$122:$M$9999,0))),"")</f>
        <v/>
      </c>
      <c r="G48" s="161" t="str">
        <f>IFERROR(IF(ISBLANK(INDEX(บันทึกสต็อครายวัน!$G$122:$G$9999,MATCH(TEXT($B$2,"YYYYMMDD")&amp;"|"&amp;$E$2&amp;"|"&amp;B48,บันทึกสต็อครายวัน!$M$122:$M$9999,0))),"",INDEX(บันทึกสต็อครายวัน!$G$122:$G$9999,MATCH(TEXT($B$2,"YYYYMMDD")&amp;"|"&amp;$E$2&amp;"|"&amp;B48,บันทึกสต็อครายวัน!$M$122:$M$9999,0))),"")</f>
        <v/>
      </c>
      <c r="H48" s="152" t="str">
        <f>IFERROR(IF(ISBLANK(INDEX(บันทึกสต็อครายวัน!$H$122:$H$9999,MATCH(TEXT($B$2,"YYYYMMDD")&amp;"|"&amp;$E$2&amp;"|"&amp;B48,บันทึกสต็อครายวัน!$M$122:$M$9999,0))),"",INDEX(บันทึกสต็อครายวัน!$H$122:$H$9999,MATCH(TEXT($B$2,"YYYYMMDD")&amp;"|"&amp;$E$2&amp;"|"&amp;B48,บันทึกสต็อครายวัน!$M$122:$M$9999,0))),"")</f>
        <v/>
      </c>
      <c r="I48" s="153" t="str">
        <f>IFERROR(IF(ISBLANK(INDEX(บันทึกสต็อครายวัน!$I$122:$I$9999,MATCH(TEXT($B$2,"YYYYMMDD")&amp;"|"&amp;$E$2&amp;"|"&amp;B48,บันทึกสต็อครายวัน!$M$122:$M$9999,0))),"",INDEX(บันทึกสต็อครายวัน!$I$122:$I$9999,MATCH(TEXT($B$2,"YYYYMMDD")&amp;"|"&amp;$E$2&amp;"|"&amp;B48,บันทึกสต็อครายวัน!$M$122:$M$9999,0))),"")</f>
        <v/>
      </c>
      <c r="J48" s="153" t="str">
        <f>IFERROR(IF(ISBLANK(INDEX(บันทึกสต็อครายวัน!$J$122:$J$9999,MATCH(TEXT($B$2,"YYYYMMDD")&amp;"|"&amp;$E$2&amp;"|"&amp;B48,บันทึกสต็อครายวัน!$M$122:$M$9999,0))),"",INDEX(บันทึกสต็อครายวัน!$J$122:$J$9999,MATCH(TEXT($B$2,"YYYYMMDD")&amp;"|"&amp;$E$2&amp;"|"&amp;B48,บันทึกสต็อครายวัน!$M$122:$M$9999,0))),"")</f>
        <v/>
      </c>
      <c r="K48" s="154" t="str">
        <f>IFERROR(IF(ISBLANK(INDEX(บันทึกสต็อครายวัน!$K$122:$K$9999,MATCH(TEXT($B$2,"YYYYMMDD")&amp;"|"&amp;$E$2&amp;"|"&amp;B48,บันทึกสต็อครายวัน!$M$122:$M$9999,0))),"",INDEX(บันทึกสต็อครายวัน!$K$122:$K$9999,MATCH(TEXT($B$2,"YYYYMMDD")&amp;"|"&amp;$E$2&amp;"|"&amp;B48,บันทึกสต็อครายวัน!$M$122:$M$9999,0))),"")</f>
        <v/>
      </c>
      <c r="L48" s="154" t="str">
        <f>IFERROR(IF(ISBLANK(INDEX(บันทึกสต็อครายวัน!$L$122:$L$9999,MATCH(TEXT($B$2,"YYYYMMDD")&amp;"|"&amp;$E$2&amp;"|"&amp;B48,บันทึกสต็อครายวัน!$M$122:$M$9999,0))),"",INDEX(บันทึกสต็อครายวัน!$L$122:$L$9999,MATCH(TEXT($B$2,"YYYYMMDD")&amp;"|"&amp;$E$2&amp;"|"&amp;B48,บันทึกสต็อครายวัน!$M$122:$M$9999,0))),"")</f>
        <v/>
      </c>
    </row>
    <row r="49" spans="1:12" ht="18" customHeight="1">
      <c r="A49" s="158" t="s">
        <v>93</v>
      </c>
      <c r="B49" s="159" t="s">
        <v>203</v>
      </c>
      <c r="C49" s="160" t="s">
        <v>8914</v>
      </c>
      <c r="D49" s="149">
        <f>IFERROR(IF(INDEX(บันทึกสต็อครายวัน!$D$122:$D$9999,MATCH(TEXT($B$2,"YYYYMMDD")&amp;"|"&amp;$E$2&amp;"|"&amp;B49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49)*บันทึกสต็อครายวัน!$A$122:$A$9999)),"YYYYMMDD")&amp;"|"&amp;$E$2&amp;"|"&amp;B49,บันทึกสต็อครายวัน!$M$122:$M$9999,0))),""),INDEX(บันทึกสต็อครายวัน!$D$122:$D$9999,MATCH(TEXT($B$2,"YYYYMMDD")&amp;"|"&amp;$E$2&amp;"|"&amp;B49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49)*บันทึกสต็อครายวัน!$A$122:$A$9999)),"YYYYMMDD")&amp;"|"&amp;$E$2&amp;"|"&amp;B49,บันทึกสต็อครายวัน!$M$122:$M$9999,0))),""))</f>
        <v>4</v>
      </c>
      <c r="E49" s="150">
        <f>IFERROR(IF(INDEX(บันทึกสต็อครายวัน!$E$122:$E$9999,MATCH(TEXT($B$2,"YYYYMMDD")&amp;"|"&amp;$E$2&amp;"|"&amp;B49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49)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49)*บันทึกสต็อครายวัน!$A$122:$A$9999)),"YYYYMMDD")&amp;"|"&amp;$E$2&amp;"|"&amp;B49,บันทึกสต็อครายวัน!$M$122:$M$9999,0))),""),INDEX(บันทึกสต็อครายวัน!$E$122:$E$9999,MATCH(TEXT($B$2,"YYYYMMDD")&amp;"|"&amp;$E$2&amp;"|"&amp;B49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49)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49)*บันทึกสต็อครายวัน!$A$122:$A$9999)),"YYYYMMDD")&amp;"|"&amp;$E$2&amp;"|"&amp;B49,บันทึกสต็อครายวัน!$M$122:$M$9999,0))),""))</f>
        <v>0</v>
      </c>
      <c r="F49" s="149" t="str">
        <f>IFERROR(IF(ISBLANK(INDEX(บันทึกสต็อครายวัน!$F$122:$F$9999,MATCH(TEXT($B$2,"YYYYMMDD")&amp;"|"&amp;$E$2&amp;"|"&amp;B49,บันทึกสต็อครายวัน!$M$122:$M$9999,0))),"",INDEX(บันทึกสต็อครายวัน!$F$122:$F$9999,MATCH(TEXT($B$2,"YYYYMMDD")&amp;"|"&amp;$E$2&amp;"|"&amp;B49,บันทึกสต็อครายวัน!$M$122:$M$9999,0))),"")</f>
        <v/>
      </c>
      <c r="G49" s="161" t="str">
        <f>IFERROR(IF(ISBLANK(INDEX(บันทึกสต็อครายวัน!$G$122:$G$9999,MATCH(TEXT($B$2,"YYYYMMDD")&amp;"|"&amp;$E$2&amp;"|"&amp;B49,บันทึกสต็อครายวัน!$M$122:$M$9999,0))),"",INDEX(บันทึกสต็อครายวัน!$G$122:$G$9999,MATCH(TEXT($B$2,"YYYYMMDD")&amp;"|"&amp;$E$2&amp;"|"&amp;B49,บันทึกสต็อครายวัน!$M$122:$M$9999,0))),"")</f>
        <v/>
      </c>
      <c r="H49" s="152" t="str">
        <f>IFERROR(IF(ISBLANK(INDEX(บันทึกสต็อครายวัน!$H$122:$H$9999,MATCH(TEXT($B$2,"YYYYMMDD")&amp;"|"&amp;$E$2&amp;"|"&amp;B49,บันทึกสต็อครายวัน!$M$122:$M$9999,0))),"",INDEX(บันทึกสต็อครายวัน!$H$122:$H$9999,MATCH(TEXT($B$2,"YYYYMMDD")&amp;"|"&amp;$E$2&amp;"|"&amp;B49,บันทึกสต็อครายวัน!$M$122:$M$9999,0))),"")</f>
        <v/>
      </c>
      <c r="I49" s="153" t="str">
        <f>IFERROR(IF(ISBLANK(INDEX(บันทึกสต็อครายวัน!$I$122:$I$9999,MATCH(TEXT($B$2,"YYYYMMDD")&amp;"|"&amp;$E$2&amp;"|"&amp;B49,บันทึกสต็อครายวัน!$M$122:$M$9999,0))),"",INDEX(บันทึกสต็อครายวัน!$I$122:$I$9999,MATCH(TEXT($B$2,"YYYYMMDD")&amp;"|"&amp;$E$2&amp;"|"&amp;B49,บันทึกสต็อครายวัน!$M$122:$M$9999,0))),"")</f>
        <v/>
      </c>
      <c r="J49" s="153" t="str">
        <f>IFERROR(IF(ISBLANK(INDEX(บันทึกสต็อครายวัน!$J$122:$J$9999,MATCH(TEXT($B$2,"YYYYMMDD")&amp;"|"&amp;$E$2&amp;"|"&amp;B49,บันทึกสต็อครายวัน!$M$122:$M$9999,0))),"",INDEX(บันทึกสต็อครายวัน!$J$122:$J$9999,MATCH(TEXT($B$2,"YYYYMMDD")&amp;"|"&amp;$E$2&amp;"|"&amp;B49,บันทึกสต็อครายวัน!$M$122:$M$9999,0))),"")</f>
        <v/>
      </c>
      <c r="K49" s="154" t="str">
        <f>IFERROR(IF(ISBLANK(INDEX(บันทึกสต็อครายวัน!$K$122:$K$9999,MATCH(TEXT($B$2,"YYYYMMDD")&amp;"|"&amp;$E$2&amp;"|"&amp;B49,บันทึกสต็อครายวัน!$M$122:$M$9999,0))),"",INDEX(บันทึกสต็อครายวัน!$K$122:$K$9999,MATCH(TEXT($B$2,"YYYYMMDD")&amp;"|"&amp;$E$2&amp;"|"&amp;B49,บันทึกสต็อครายวัน!$M$122:$M$9999,0))),"")</f>
        <v/>
      </c>
      <c r="L49" s="154" t="str">
        <f>IFERROR(IF(ISBLANK(INDEX(บันทึกสต็อครายวัน!$L$122:$L$9999,MATCH(TEXT($B$2,"YYYYMMDD")&amp;"|"&amp;$E$2&amp;"|"&amp;B49,บันทึกสต็อครายวัน!$M$122:$M$9999,0))),"",INDEX(บันทึกสต็อครายวัน!$L$122:$L$9999,MATCH(TEXT($B$2,"YYYYMMDD")&amp;"|"&amp;$E$2&amp;"|"&amp;B49,บันทึกสต็อครายวัน!$M$122:$M$9999,0))),"")</f>
        <v/>
      </c>
    </row>
    <row r="50" spans="1:12" ht="18" customHeight="1">
      <c r="A50" s="158" t="s">
        <v>93</v>
      </c>
      <c r="B50" s="159" t="s">
        <v>100</v>
      </c>
      <c r="C50" s="160" t="s">
        <v>97</v>
      </c>
      <c r="D50" s="149">
        <f>IFERROR(IF(INDEX(บันทึกสต็อครายวัน!$D$122:$D$9999,MATCH(TEXT($B$2,"YYYYMMDD")&amp;"|"&amp;$E$2&amp;"|"&amp;B50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50)*บันทึกสต็อครายวัน!$A$122:$A$9999)),"YYYYMMDD")&amp;"|"&amp;$E$2&amp;"|"&amp;B50,บันทึกสต็อครายวัน!$M$122:$M$9999,0))),""),INDEX(บันทึกสต็อครายวัน!$D$122:$D$9999,MATCH(TEXT($B$2,"YYYYMMDD")&amp;"|"&amp;$E$2&amp;"|"&amp;B50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50)*บันทึกสต็อครายวัน!$A$122:$A$9999)),"YYYYMMDD")&amp;"|"&amp;$E$2&amp;"|"&amp;B50,บันทึกสต็อครายวัน!$M$122:$M$9999,0))),""))</f>
        <v>0</v>
      </c>
      <c r="E50" s="150">
        <f>IFERROR(IF(INDEX(บันทึกสต็อครายวัน!$E$122:$E$9999,MATCH(TEXT($B$2,"YYYYMMDD")&amp;"|"&amp;$E$2&amp;"|"&amp;B50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50)*บันทึกสต็อครายวัน!$A$122:$A$9999)),"YYYYMMDD")&amp;"|"&amp;$E$2&amp;"|"&amp;B50,บันทึกสต็อครายวัน!$M$122:$M$9999,0))),""),INDEX(บันทึกสต็อครายวัน!$E$122:$E$9999,MATCH(TEXT($B$2,"YYYYMMDD")&amp;"|"&amp;$E$2&amp;"|"&amp;B50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50)*บันทึกสต็อครายวัน!$A$122:$A$9999)),"YYYYMMDD")&amp;"|"&amp;$E$2&amp;"|"&amp;B50,บันทึกสต็อครายวัน!$M$122:$M$9999,0))),""))</f>
        <v>0</v>
      </c>
      <c r="F50" s="149" t="str">
        <f>IFERROR(IF(ISBLANK(INDEX(บันทึกสต็อครายวัน!$F$122:$F$9999,MATCH(TEXT($B$2,"YYYYMMDD")&amp;"|"&amp;$E$2&amp;"|"&amp;B50,บันทึกสต็อครายวัน!$M$122:$M$9999,0))),"",INDEX(บันทึกสต็อครายวัน!$F$122:$F$9999,MATCH(TEXT($B$2,"YYYYMMDD")&amp;"|"&amp;$E$2&amp;"|"&amp;B50,บันทึกสต็อครายวัน!$M$122:$M$9999,0))),"")</f>
        <v/>
      </c>
      <c r="G50" s="161" t="str">
        <f>IFERROR(IF(ISBLANK(INDEX(บันทึกสต็อครายวัน!$G$122:$G$9999,MATCH(TEXT($B$2,"YYYYMMDD")&amp;"|"&amp;$E$2&amp;"|"&amp;B50,บันทึกสต็อครายวัน!$M$122:$M$9999,0))),"",INDEX(บันทึกสต็อครายวัน!$G$122:$G$9999,MATCH(TEXT($B$2,"YYYYMMDD")&amp;"|"&amp;$E$2&amp;"|"&amp;B50,บันทึกสต็อครายวัน!$M$122:$M$9999,0))),"")</f>
        <v/>
      </c>
      <c r="H50" s="152" t="str">
        <f>IFERROR(IF(ISBLANK(INDEX(บันทึกสต็อครายวัน!$H$122:$H$9999,MATCH(TEXT($B$2,"YYYYMMDD")&amp;"|"&amp;$E$2&amp;"|"&amp;B50,บันทึกสต็อครายวัน!$M$122:$M$9999,0))),"",INDEX(บันทึกสต็อครายวัน!$H$122:$H$9999,MATCH(TEXT($B$2,"YYYYMMDD")&amp;"|"&amp;$E$2&amp;"|"&amp;B50,บันทึกสต็อครายวัน!$M$122:$M$9999,0))),"")</f>
        <v/>
      </c>
      <c r="I50" s="153" t="str">
        <f>IFERROR(IF(ISBLANK(INDEX(บันทึกสต็อครายวัน!$I$122:$I$9999,MATCH(TEXT($B$2,"YYYYMMDD")&amp;"|"&amp;$E$2&amp;"|"&amp;B50,บันทึกสต็อครายวัน!$M$122:$M$9999,0))),"",INDEX(บันทึกสต็อครายวัน!$I$122:$I$9999,MATCH(TEXT($B$2,"YYYYMMDD")&amp;"|"&amp;$E$2&amp;"|"&amp;B50,บันทึกสต็อครายวัน!$M$122:$M$9999,0))),"")</f>
        <v/>
      </c>
      <c r="J50" s="153" t="str">
        <f>IFERROR(IF(ISBLANK(INDEX(บันทึกสต็อครายวัน!$J$122:$J$9999,MATCH(TEXT($B$2,"YYYYMMDD")&amp;"|"&amp;$E$2&amp;"|"&amp;B50,บันทึกสต็อครายวัน!$M$122:$M$9999,0))),"",INDEX(บันทึกสต็อครายวัน!$J$122:$J$9999,MATCH(TEXT($B$2,"YYYYMMDD")&amp;"|"&amp;$E$2&amp;"|"&amp;B50,บันทึกสต็อครายวัน!$M$122:$M$9999,0))),"")</f>
        <v/>
      </c>
      <c r="K50" s="154" t="str">
        <f>IFERROR(IF(ISBLANK(INDEX(บันทึกสต็อครายวัน!$K$122:$K$9999,MATCH(TEXT($B$2,"YYYYMMDD")&amp;"|"&amp;$E$2&amp;"|"&amp;B50,บันทึกสต็อครายวัน!$M$122:$M$9999,0))),"",INDEX(บันทึกสต็อครายวัน!$K$122:$K$9999,MATCH(TEXT($B$2,"YYYYMMDD")&amp;"|"&amp;$E$2&amp;"|"&amp;B50,บันทึกสต็อครายวัน!$M$122:$M$9999,0))),"")</f>
        <v/>
      </c>
      <c r="L50" s="154" t="str">
        <f>IFERROR(IF(ISBLANK(INDEX(บันทึกสต็อครายวัน!$L$122:$L$9999,MATCH(TEXT($B$2,"YYYYMMDD")&amp;"|"&amp;$E$2&amp;"|"&amp;B50,บันทึกสต็อครายวัน!$M$122:$M$9999,0))),"",INDEX(บันทึกสต็อครายวัน!$L$122:$L$9999,MATCH(TEXT($B$2,"YYYYMMDD")&amp;"|"&amp;$E$2&amp;"|"&amp;B50,บันทึกสต็อครายวัน!$M$122:$M$9999,0))),"")</f>
        <v/>
      </c>
    </row>
    <row r="51" spans="1:12" ht="18" customHeight="1">
      <c r="A51" s="158" t="s">
        <v>93</v>
      </c>
      <c r="B51" s="159" t="s">
        <v>101</v>
      </c>
      <c r="C51" s="160" t="s">
        <v>102</v>
      </c>
      <c r="D51" s="149">
        <f>IFERROR(IF(INDEX(บันทึกสต็อครายวัน!$D$122:$D$9999,MATCH(TEXT($B$2,"YYYYMMDD")&amp;"|"&amp;$E$2&amp;"|"&amp;B51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51)*บันทึกสต็อครายวัน!$A$122:$A$9999)),"YYYYMMDD")&amp;"|"&amp;$E$2&amp;"|"&amp;B51,บันทึกสต็อครายวัน!$M$122:$M$9999,0))),""),INDEX(บันทึกสต็อครายวัน!$D$122:$D$9999,MATCH(TEXT($B$2,"YYYYMMDD")&amp;"|"&amp;$E$2&amp;"|"&amp;B51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51)*บันทึกสต็อครายวัน!$A$122:$A$9999)),"YYYYMMDD")&amp;"|"&amp;$E$2&amp;"|"&amp;B51,บันทึกสต็อครายวัน!$M$122:$M$9999,0))),""))</f>
        <v>0</v>
      </c>
      <c r="E51" s="150">
        <f>IFERROR(IF(INDEX(บันทึกสต็อครายวัน!$E$122:$E$9999,MATCH(TEXT($B$2,"YYYYMMDD")&amp;"|"&amp;$E$2&amp;"|"&amp;B51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51)*บันทึกสต็อครายวัน!$A$122:$A$9999)),"YYYYMMDD")&amp;"|"&amp;$E$2&amp;"|"&amp;B51,บันทึกสต็อครายวัน!$M$122:$M$9999,0))),""),INDEX(บันทึกสต็อครายวัน!$E$122:$E$9999,MATCH(TEXT($B$2,"YYYYMMDD")&amp;"|"&amp;$E$2&amp;"|"&amp;B51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51)*บันทึกสต็อครายวัน!$A$122:$A$9999)),"YYYYMMDD")&amp;"|"&amp;$E$2&amp;"|"&amp;B51,บันทึกสต็อครายวัน!$M$122:$M$9999,0))),""))</f>
        <v>333</v>
      </c>
      <c r="F51" s="149" t="str">
        <f>IFERROR(IF(ISBLANK(INDEX(บันทึกสต็อครายวัน!$F$122:$F$9999,MATCH(TEXT($B$2,"YYYYMMDD")&amp;"|"&amp;$E$2&amp;"|"&amp;B51,บันทึกสต็อครายวัน!$M$122:$M$9999,0))),"",INDEX(บันทึกสต็อครายวัน!$F$122:$F$9999,MATCH(TEXT($B$2,"YYYYMMDD")&amp;"|"&amp;$E$2&amp;"|"&amp;B51,บันทึกสต็อครายวัน!$M$122:$M$9999,0))),"")</f>
        <v/>
      </c>
      <c r="G51" s="155" t="str">
        <f>IFERROR(IF(ISBLANK(INDEX(บันทึกสต็อครายวัน!$G$122:$G$9999,MATCH(TEXT($B$2,"YYYYMMDD")&amp;"|"&amp;$E$2&amp;"|"&amp;B51,บันทึกสต็อครายวัน!$M$122:$M$9999,0))),"",INDEX(บันทึกสต็อครายวัน!$G$122:$G$9999,MATCH(TEXT($B$2,"YYYYMMDD")&amp;"|"&amp;$E$2&amp;"|"&amp;B51,บันทึกสต็อครายวัน!$M$122:$M$9999,0))),"")</f>
        <v/>
      </c>
      <c r="H51" s="152" t="str">
        <f>IFERROR(IF(ISBLANK(INDEX(บันทึกสต็อครายวัน!$H$122:$H$9999,MATCH(TEXT($B$2,"YYYYMMDD")&amp;"|"&amp;$E$2&amp;"|"&amp;B51,บันทึกสต็อครายวัน!$M$122:$M$9999,0))),"",INDEX(บันทึกสต็อครายวัน!$H$122:$H$9999,MATCH(TEXT($B$2,"YYYYMMDD")&amp;"|"&amp;$E$2&amp;"|"&amp;B51,บันทึกสต็อครายวัน!$M$122:$M$9999,0))),"")</f>
        <v/>
      </c>
      <c r="I51" s="153" t="str">
        <f>IFERROR(IF(ISBLANK(INDEX(บันทึกสต็อครายวัน!$I$122:$I$9999,MATCH(TEXT($B$2,"YYYYMMDD")&amp;"|"&amp;$E$2&amp;"|"&amp;B51,บันทึกสต็อครายวัน!$M$122:$M$9999,0))),"",INDEX(บันทึกสต็อครายวัน!$I$122:$I$9999,MATCH(TEXT($B$2,"YYYYMMDD")&amp;"|"&amp;$E$2&amp;"|"&amp;B51,บันทึกสต็อครายวัน!$M$122:$M$9999,0))),"")</f>
        <v/>
      </c>
      <c r="J51" s="153" t="str">
        <f>IFERROR(IF(ISBLANK(INDEX(บันทึกสต็อครายวัน!$J$122:$J$9999,MATCH(TEXT($B$2,"YYYYMMDD")&amp;"|"&amp;$E$2&amp;"|"&amp;B51,บันทึกสต็อครายวัน!$M$122:$M$9999,0))),"",INDEX(บันทึกสต็อครายวัน!$J$122:$J$9999,MATCH(TEXT($B$2,"YYYYMMDD")&amp;"|"&amp;$E$2&amp;"|"&amp;B51,บันทึกสต็อครายวัน!$M$122:$M$9999,0))),"")</f>
        <v/>
      </c>
      <c r="K51" s="154" t="str">
        <f>IFERROR(IF(ISBLANK(INDEX(บันทึกสต็อครายวัน!$K$122:$K$9999,MATCH(TEXT($B$2,"YYYYMMDD")&amp;"|"&amp;$E$2&amp;"|"&amp;B51,บันทึกสต็อครายวัน!$M$122:$M$9999,0))),"",INDEX(บันทึกสต็อครายวัน!$K$122:$K$9999,MATCH(TEXT($B$2,"YYYYMMDD")&amp;"|"&amp;$E$2&amp;"|"&amp;B51,บันทึกสต็อครายวัน!$M$122:$M$9999,0))),"")</f>
        <v/>
      </c>
      <c r="L51" s="154" t="str">
        <f>IFERROR(IF(ISBLANK(INDEX(บันทึกสต็อครายวัน!$L$122:$L$9999,MATCH(TEXT($B$2,"YYYYMMDD")&amp;"|"&amp;$E$2&amp;"|"&amp;B51,บันทึกสต็อครายวัน!$M$122:$M$9999,0))),"",INDEX(บันทึกสต็อครายวัน!$L$122:$L$9999,MATCH(TEXT($B$2,"YYYYMMDD")&amp;"|"&amp;$E$2&amp;"|"&amp;B51,บันทึกสต็อครายวัน!$M$122:$M$9999,0))),"")</f>
        <v/>
      </c>
    </row>
    <row r="52" spans="1:12" ht="18" customHeight="1">
      <c r="A52" s="158" t="s">
        <v>93</v>
      </c>
      <c r="B52" s="159" t="s">
        <v>103</v>
      </c>
      <c r="C52" s="160" t="s">
        <v>104</v>
      </c>
      <c r="D52" s="149">
        <f>IFERROR(IF(INDEX(บันทึกสต็อครายวัน!$D$122:$D$9999,MATCH(TEXT($B$2,"YYYYMMDD")&amp;"|"&amp;$E$2&amp;"|"&amp;B52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52)*บันทึกสต็อครายวัน!$A$122:$A$9999)),"YYYYMMDD")&amp;"|"&amp;$E$2&amp;"|"&amp;B52,บันทึกสต็อครายวัน!$M$122:$M$9999,0))),""),INDEX(บันทึกสต็อครายวัน!$D$122:$D$9999,MATCH(TEXT($B$2,"YYYYMMDD")&amp;"|"&amp;$E$2&amp;"|"&amp;B52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52)*บันทึกสต็อครายวัน!$A$122:$A$9999)),"YYYYMMDD")&amp;"|"&amp;$E$2&amp;"|"&amp;B52,บันทึกสต็อครายวัน!$M$122:$M$9999,0))),""))</f>
        <v>0</v>
      </c>
      <c r="E52" s="150">
        <f>IFERROR(IF(INDEX(บันทึกสต็อครายวัน!$E$122:$E$9999,MATCH(TEXT($B$2,"YYYYMMDD")&amp;"|"&amp;$E$2&amp;"|"&amp;B52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52)*บันทึกสต็อครายวัน!$A$122:$A$9999)),"YYYYMMDD")&amp;"|"&amp;$E$2&amp;"|"&amp;B52,บันทึกสต็อครายวัน!$M$122:$M$9999,0))),""),INDEX(บันทึกสต็อครายวัน!$E$122:$E$9999,MATCH(TEXT($B$2,"YYYYMMDD")&amp;"|"&amp;$E$2&amp;"|"&amp;B52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52)*บันทึกสต็อครายวัน!$A$122:$A$9999)),"YYYYMMDD")&amp;"|"&amp;$E$2&amp;"|"&amp;B52,บันทึกสต็อครายวัน!$M$122:$M$9999,0))),""))</f>
        <v>4</v>
      </c>
      <c r="F52" s="155" t="str">
        <f>IFERROR(IF(ISBLANK(INDEX(บันทึกสต็อครายวัน!$F$122:$F$9999,MATCH(TEXT($B$2,"YYYYMMDD")&amp;"|"&amp;$E$2&amp;"|"&amp;B52,บันทึกสต็อครายวัน!$M$122:$M$9999,0))),"",INDEX(บันทึกสต็อครายวัน!$F$122:$F$9999,MATCH(TEXT($B$2,"YYYYMMDD")&amp;"|"&amp;$E$2&amp;"|"&amp;B52,บันทึกสต็อครายวัน!$M$122:$M$9999,0))),"")</f>
        <v/>
      </c>
      <c r="G52" s="151" t="str">
        <f>IFERROR(IF(ISBLANK(INDEX(บันทึกสต็อครายวัน!$G$122:$G$9999,MATCH(TEXT($B$2,"YYYYMMDD")&amp;"|"&amp;$E$2&amp;"|"&amp;B52,บันทึกสต็อครายวัน!$M$122:$M$9999,0))),"",INDEX(บันทึกสต็อครายวัน!$G$122:$G$9999,MATCH(TEXT($B$2,"YYYYMMDD")&amp;"|"&amp;$E$2&amp;"|"&amp;B52,บันทึกสต็อครายวัน!$M$122:$M$9999,0))),"")</f>
        <v/>
      </c>
      <c r="H52" s="152" t="str">
        <f>IFERROR(IF(ISBLANK(INDEX(บันทึกสต็อครายวัน!$H$122:$H$9999,MATCH(TEXT($B$2,"YYYYMMDD")&amp;"|"&amp;$E$2&amp;"|"&amp;B52,บันทึกสต็อครายวัน!$M$122:$M$9999,0))),"",INDEX(บันทึกสต็อครายวัน!$H$122:$H$9999,MATCH(TEXT($B$2,"YYYYMMDD")&amp;"|"&amp;$E$2&amp;"|"&amp;B52,บันทึกสต็อครายวัน!$M$122:$M$9999,0))),"")</f>
        <v/>
      </c>
      <c r="I52" s="155" t="str">
        <f>IFERROR(IF(ISBLANK(INDEX(บันทึกสต็อครายวัน!$I$122:$I$9999,MATCH(TEXT($B$2,"YYYYMMDD")&amp;"|"&amp;$E$2&amp;"|"&amp;B52,บันทึกสต็อครายวัน!$M$122:$M$9999,0))),"",INDEX(บันทึกสต็อครายวัน!$I$122:$I$9999,MATCH(TEXT($B$2,"YYYYMMDD")&amp;"|"&amp;$E$2&amp;"|"&amp;B52,บันทึกสต็อครายวัน!$M$122:$M$9999,0))),"")</f>
        <v/>
      </c>
      <c r="J52" s="153" t="str">
        <f>IFERROR(IF(ISBLANK(INDEX(บันทึกสต็อครายวัน!$J$122:$J$9999,MATCH(TEXT($B$2,"YYYYMMDD")&amp;"|"&amp;$E$2&amp;"|"&amp;B52,บันทึกสต็อครายวัน!$M$122:$M$9999,0))),"",INDEX(บันทึกสต็อครายวัน!$J$122:$J$9999,MATCH(TEXT($B$2,"YYYYMMDD")&amp;"|"&amp;$E$2&amp;"|"&amp;B52,บันทึกสต็อครายวัน!$M$122:$M$9999,0))),"")</f>
        <v/>
      </c>
      <c r="K52" s="154" t="str">
        <f>IFERROR(IF(ISBLANK(INDEX(บันทึกสต็อครายวัน!$K$122:$K$9999,MATCH(TEXT($B$2,"YYYYMMDD")&amp;"|"&amp;$E$2&amp;"|"&amp;B52,บันทึกสต็อครายวัน!$M$122:$M$9999,0))),"",INDEX(บันทึกสต็อครายวัน!$K$122:$K$9999,MATCH(TEXT($B$2,"YYYYMMDD")&amp;"|"&amp;$E$2&amp;"|"&amp;B52,บันทึกสต็อครายวัน!$M$122:$M$9999,0))),"")</f>
        <v/>
      </c>
      <c r="L52" s="154" t="str">
        <f>IFERROR(IF(ISBLANK(INDEX(บันทึกสต็อครายวัน!$L$122:$L$9999,MATCH(TEXT($B$2,"YYYYMMDD")&amp;"|"&amp;$E$2&amp;"|"&amp;B52,บันทึกสต็อครายวัน!$M$122:$M$9999,0))),"",INDEX(บันทึกสต็อครายวัน!$L$122:$L$9999,MATCH(TEXT($B$2,"YYYYMMDD")&amp;"|"&amp;$E$2&amp;"|"&amp;B52,บันทึกสต็อครายวัน!$M$122:$M$9999,0))),"")</f>
        <v/>
      </c>
    </row>
    <row r="53" spans="1:12" ht="18" customHeight="1">
      <c r="A53" s="158" t="s">
        <v>105</v>
      </c>
      <c r="B53" s="159" t="s">
        <v>106</v>
      </c>
      <c r="C53" s="160" t="s">
        <v>107</v>
      </c>
      <c r="D53" s="149">
        <f>IFERROR(IF(INDEX(บันทึกสต็อครายวัน!$D$122:$D$9999,MATCH(TEXT($B$2,"YYYYMMDD")&amp;"|"&amp;$E$2&amp;"|"&amp;B53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53)*บันทึกสต็อครายวัน!$A$122:$A$9999)),"YYYYMMDD")&amp;"|"&amp;$E$2&amp;"|"&amp;B53,บันทึกสต็อครายวัน!$M$122:$M$9999,0))),""),INDEX(บันทึกสต็อครายวัน!$D$122:$D$9999,MATCH(TEXT($B$2,"YYYYMMDD")&amp;"|"&amp;$E$2&amp;"|"&amp;B53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53)*บันทึกสต็อครายวัน!$A$122:$A$9999)),"YYYYMMDD")&amp;"|"&amp;$E$2&amp;"|"&amp;B53,บันทึกสต็อครายวัน!$M$122:$M$9999,0))),""))</f>
        <v>1</v>
      </c>
      <c r="E53" s="150">
        <f>IFERROR(IF(INDEX(บันทึกสต็อครายวัน!$E$122:$E$9999,MATCH(TEXT($B$2,"YYYYMMDD")&amp;"|"&amp;$E$2&amp;"|"&amp;B53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53)*บันทึกสต็อครายวัน!$A$122:$A$9999)),"YYYYMMDD")&amp;"|"&amp;$E$2&amp;"|"&amp;B53,บันทึกสต็อครายวัน!$M$122:$M$9999,0))),""),INDEX(บันทึกสต็อครายวัน!$E$122:$E$9999,MATCH(TEXT($B$2,"YYYYMMDD")&amp;"|"&amp;$E$2&amp;"|"&amp;B53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53)*บันทึกสต็อครายวัน!$A$122:$A$9999)),"YYYYMMDD")&amp;"|"&amp;$E$2&amp;"|"&amp;B53,บันทึกสต็อครายวัน!$M$122:$M$9999,0))),""))</f>
        <v>261</v>
      </c>
      <c r="F53" s="149" t="str">
        <f>IFERROR(IF(ISBLANK(INDEX(บันทึกสต็อครายวัน!$F$122:$F$9999,MATCH(TEXT($B$2,"YYYYMMDD")&amp;"|"&amp;$E$2&amp;"|"&amp;B53,บันทึกสต็อครายวัน!$M$122:$M$9999,0))),"",INDEX(บันทึกสต็อครายวัน!$F$122:$F$9999,MATCH(TEXT($B$2,"YYYYMMDD")&amp;"|"&amp;$E$2&amp;"|"&amp;B53,บันทึกสต็อครายวัน!$M$122:$M$9999,0))),"")</f>
        <v/>
      </c>
      <c r="G53" s="155" t="str">
        <f>IFERROR(IF(ISBLANK(INDEX(บันทึกสต็อครายวัน!$G$122:$G$9999,MATCH(TEXT($B$2,"YYYYMMDD")&amp;"|"&amp;$E$2&amp;"|"&amp;B53,บันทึกสต็อครายวัน!$M$122:$M$9999,0))),"",INDEX(บันทึกสต็อครายวัน!$G$122:$G$9999,MATCH(TEXT($B$2,"YYYYMMDD")&amp;"|"&amp;$E$2&amp;"|"&amp;B53,บันทึกสต็อครายวัน!$M$122:$M$9999,0))),"")</f>
        <v/>
      </c>
      <c r="H53" s="152" t="str">
        <f>IFERROR(IF(ISBLANK(INDEX(บันทึกสต็อครายวัน!$H$122:$H$9999,MATCH(TEXT($B$2,"YYYYMMDD")&amp;"|"&amp;$E$2&amp;"|"&amp;B53,บันทึกสต็อครายวัน!$M$122:$M$9999,0))),"",INDEX(บันทึกสต็อครายวัน!$H$122:$H$9999,MATCH(TEXT($B$2,"YYYYMMDD")&amp;"|"&amp;$E$2&amp;"|"&amp;B53,บันทึกสต็อครายวัน!$M$122:$M$9999,0))),"")</f>
        <v/>
      </c>
      <c r="I53" s="153" t="str">
        <f>IFERROR(IF(ISBLANK(INDEX(บันทึกสต็อครายวัน!$I$122:$I$9999,MATCH(TEXT($B$2,"YYYYMMDD")&amp;"|"&amp;$E$2&amp;"|"&amp;B53,บันทึกสต็อครายวัน!$M$122:$M$9999,0))),"",INDEX(บันทึกสต็อครายวัน!$I$122:$I$9999,MATCH(TEXT($B$2,"YYYYMMDD")&amp;"|"&amp;$E$2&amp;"|"&amp;B53,บันทึกสต็อครายวัน!$M$122:$M$9999,0))),"")</f>
        <v/>
      </c>
      <c r="J53" s="153" t="str">
        <f>IFERROR(IF(ISBLANK(INDEX(บันทึกสต็อครายวัน!$J$122:$J$9999,MATCH(TEXT($B$2,"YYYYMMDD")&amp;"|"&amp;$E$2&amp;"|"&amp;B53,บันทึกสต็อครายวัน!$M$122:$M$9999,0))),"",INDEX(บันทึกสต็อครายวัน!$J$122:$J$9999,MATCH(TEXT($B$2,"YYYYMMDD")&amp;"|"&amp;$E$2&amp;"|"&amp;B53,บันทึกสต็อครายวัน!$M$122:$M$9999,0))),"")</f>
        <v/>
      </c>
      <c r="K53" s="154" t="str">
        <f>IFERROR(IF(ISBLANK(INDEX(บันทึกสต็อครายวัน!$K$122:$K$9999,MATCH(TEXT($B$2,"YYYYMMDD")&amp;"|"&amp;$E$2&amp;"|"&amp;B53,บันทึกสต็อครายวัน!$M$122:$M$9999,0))),"",INDEX(บันทึกสต็อครายวัน!$K$122:$K$9999,MATCH(TEXT($B$2,"YYYYMMDD")&amp;"|"&amp;$E$2&amp;"|"&amp;B53,บันทึกสต็อครายวัน!$M$122:$M$9999,0))),"")</f>
        <v/>
      </c>
      <c r="L53" s="154" t="str">
        <f>IFERROR(IF(ISBLANK(INDEX(บันทึกสต็อครายวัน!$L$122:$L$9999,MATCH(TEXT($B$2,"YYYYMMDD")&amp;"|"&amp;$E$2&amp;"|"&amp;B53,บันทึกสต็อครายวัน!$M$122:$M$9999,0))),"",INDEX(บันทึกสต็อครายวัน!$L$122:$L$9999,MATCH(TEXT($B$2,"YYYYMMDD")&amp;"|"&amp;$E$2&amp;"|"&amp;B53,บันทึกสต็อครายวัน!$M$122:$M$9999,0))),"")</f>
        <v/>
      </c>
    </row>
    <row r="54" spans="1:12" ht="18" customHeight="1">
      <c r="A54" s="158" t="s">
        <v>105</v>
      </c>
      <c r="B54" s="159" t="s">
        <v>108</v>
      </c>
      <c r="C54" s="160" t="s">
        <v>107</v>
      </c>
      <c r="D54" s="149">
        <f>IFERROR(IF(INDEX(บันทึกสต็อครายวัน!$D$122:$D$9999,MATCH(TEXT($B$2,"YYYYMMDD")&amp;"|"&amp;$E$2&amp;"|"&amp;B54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54)*บันทึกสต็อครายวัน!$A$122:$A$9999)),"YYYYMMDD")&amp;"|"&amp;$E$2&amp;"|"&amp;B54,บันทึกสต็อครายวัน!$M$122:$M$9999,0))),""),INDEX(บันทึกสต็อครายวัน!$D$122:$D$9999,MATCH(TEXT($B$2,"YYYYMMDD")&amp;"|"&amp;$E$2&amp;"|"&amp;B54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54)*บันทึกสต็อครายวัน!$A$122:$A$9999)),"YYYYMMDD")&amp;"|"&amp;$E$2&amp;"|"&amp;B54,บันทึกสต็อครายวัน!$M$122:$M$9999,0))),""))</f>
        <v>1</v>
      </c>
      <c r="E54" s="150">
        <f>IFERROR(IF(INDEX(บันทึกสต็อครายวัน!$E$122:$E$9999,MATCH(TEXT($B$2,"YYYYMMDD")&amp;"|"&amp;$E$2&amp;"|"&amp;B54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54)*บันทึกสต็อครายวัน!$A$122:$A$9999)),"YYYYMMDD")&amp;"|"&amp;$E$2&amp;"|"&amp;B54,บันทึกสต็อครายวัน!$M$122:$M$9999,0))),""),INDEX(บันทึกสต็อครายวัน!$E$122:$E$9999,MATCH(TEXT($B$2,"YYYYMMDD")&amp;"|"&amp;$E$2&amp;"|"&amp;B54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54)*บันทึกสต็อครายวัน!$A$122:$A$9999)),"YYYYMMDD")&amp;"|"&amp;$E$2&amp;"|"&amp;B54,บันทึกสต็อครายวัน!$M$122:$M$9999,0))),""))</f>
        <v>582</v>
      </c>
      <c r="F54" s="149" t="str">
        <f>IFERROR(IF(ISBLANK(INDEX(บันทึกสต็อครายวัน!$F$122:$F$9999,MATCH(TEXT($B$2,"YYYYMMDD")&amp;"|"&amp;$E$2&amp;"|"&amp;B54,บันทึกสต็อครายวัน!$M$122:$M$9999,0))),"",INDEX(บันทึกสต็อครายวัน!$F$122:$F$9999,MATCH(TEXT($B$2,"YYYYMMDD")&amp;"|"&amp;$E$2&amp;"|"&amp;B54,บันทึกสต็อครายวัน!$M$122:$M$9999,0))),"")</f>
        <v/>
      </c>
      <c r="G54" s="155" t="str">
        <f>IFERROR(IF(ISBLANK(INDEX(บันทึกสต็อครายวัน!$G$122:$G$9999,MATCH(TEXT($B$2,"YYYYMMDD")&amp;"|"&amp;$E$2&amp;"|"&amp;B54,บันทึกสต็อครายวัน!$M$122:$M$9999,0))),"",INDEX(บันทึกสต็อครายวัน!$G$122:$G$9999,MATCH(TEXT($B$2,"YYYYMMDD")&amp;"|"&amp;$E$2&amp;"|"&amp;B54,บันทึกสต็อครายวัน!$M$122:$M$9999,0))),"")</f>
        <v/>
      </c>
      <c r="H54" s="152" t="str">
        <f>IFERROR(IF(ISBLANK(INDEX(บันทึกสต็อครายวัน!$H$122:$H$9999,MATCH(TEXT($B$2,"YYYYMMDD")&amp;"|"&amp;$E$2&amp;"|"&amp;B54,บันทึกสต็อครายวัน!$M$122:$M$9999,0))),"",INDEX(บันทึกสต็อครายวัน!$H$122:$H$9999,MATCH(TEXT($B$2,"YYYYMMDD")&amp;"|"&amp;$E$2&amp;"|"&amp;B54,บันทึกสต็อครายวัน!$M$122:$M$9999,0))),"")</f>
        <v/>
      </c>
      <c r="I54" s="153" t="str">
        <f>IFERROR(IF(ISBLANK(INDEX(บันทึกสต็อครายวัน!$I$122:$I$9999,MATCH(TEXT($B$2,"YYYYMMDD")&amp;"|"&amp;$E$2&amp;"|"&amp;B54,บันทึกสต็อครายวัน!$M$122:$M$9999,0))),"",INDEX(บันทึกสต็อครายวัน!$I$122:$I$9999,MATCH(TEXT($B$2,"YYYYMMDD")&amp;"|"&amp;$E$2&amp;"|"&amp;B54,บันทึกสต็อครายวัน!$M$122:$M$9999,0))),"")</f>
        <v/>
      </c>
      <c r="J54" s="153" t="str">
        <f>IFERROR(IF(ISBLANK(INDEX(บันทึกสต็อครายวัน!$J$122:$J$9999,MATCH(TEXT($B$2,"YYYYMMDD")&amp;"|"&amp;$E$2&amp;"|"&amp;B54,บันทึกสต็อครายวัน!$M$122:$M$9999,0))),"",INDEX(บันทึกสต็อครายวัน!$J$122:$J$9999,MATCH(TEXT($B$2,"YYYYMMDD")&amp;"|"&amp;$E$2&amp;"|"&amp;B54,บันทึกสต็อครายวัน!$M$122:$M$9999,0))),"")</f>
        <v/>
      </c>
      <c r="K54" s="154" t="str">
        <f>IFERROR(IF(ISBLANK(INDEX(บันทึกสต็อครายวัน!$K$122:$K$9999,MATCH(TEXT($B$2,"YYYYMMDD")&amp;"|"&amp;$E$2&amp;"|"&amp;B54,บันทึกสต็อครายวัน!$M$122:$M$9999,0))),"",INDEX(บันทึกสต็อครายวัน!$K$122:$K$9999,MATCH(TEXT($B$2,"YYYYMMDD")&amp;"|"&amp;$E$2&amp;"|"&amp;B54,บันทึกสต็อครายวัน!$M$122:$M$9999,0))),"")</f>
        <v/>
      </c>
      <c r="L54" s="154" t="str">
        <f>IFERROR(IF(ISBLANK(INDEX(บันทึกสต็อครายวัน!$L$122:$L$9999,MATCH(TEXT($B$2,"YYYYMMDD")&amp;"|"&amp;$E$2&amp;"|"&amp;B54,บันทึกสต็อครายวัน!$M$122:$M$9999,0))),"",INDEX(บันทึกสต็อครายวัน!$L$122:$L$9999,MATCH(TEXT($B$2,"YYYYMMDD")&amp;"|"&amp;$E$2&amp;"|"&amp;B54,บันทึกสต็อครายวัน!$M$122:$M$9999,0))),"")</f>
        <v/>
      </c>
    </row>
    <row r="55" spans="1:12" ht="18" customHeight="1">
      <c r="A55" s="158" t="s">
        <v>105</v>
      </c>
      <c r="B55" s="159" t="s">
        <v>109</v>
      </c>
      <c r="C55" s="160" t="s">
        <v>91</v>
      </c>
      <c r="D55" s="149">
        <f>IFERROR(IF(INDEX(บันทึกสต็อครายวัน!$D$122:$D$9999,MATCH(TEXT($B$2,"YYYYMMDD")&amp;"|"&amp;$E$2&amp;"|"&amp;B55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55)*บันทึกสต็อครายวัน!$A$122:$A$9999)),"YYYYMMDD")&amp;"|"&amp;$E$2&amp;"|"&amp;B55,บันทึกสต็อครายวัน!$M$122:$M$9999,0))),""),INDEX(บันทึกสต็อครายวัน!$D$122:$D$9999,MATCH(TEXT($B$2,"YYYYMMDD")&amp;"|"&amp;$E$2&amp;"|"&amp;B55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55)*บันทึกสต็อครายวัน!$A$122:$A$9999)),"YYYYMMDD")&amp;"|"&amp;$E$2&amp;"|"&amp;B55,บันทึกสต็อครายวัน!$M$122:$M$9999,0))),""))</f>
        <v>1</v>
      </c>
      <c r="E55" s="150">
        <f>IFERROR(IF(INDEX(บันทึกสต็อครายวัน!$E$122:$E$9999,MATCH(TEXT($B$2,"YYYYMMDD")&amp;"|"&amp;$E$2&amp;"|"&amp;B55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55)*บันทึกสต็อครายวัน!$A$122:$A$9999)),"YYYYMMDD")&amp;"|"&amp;$E$2&amp;"|"&amp;B55,บันทึกสต็อครายวัน!$M$122:$M$9999,0))),""),INDEX(บันทึกสต็อครายวัน!$E$122:$E$9999,MATCH(TEXT($B$2,"YYYYMMDD")&amp;"|"&amp;$E$2&amp;"|"&amp;B55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55)*บันทึกสต็อครายวัน!$A$122:$A$9999)),"YYYYMMDD")&amp;"|"&amp;$E$2&amp;"|"&amp;B55,บันทึกสต็อครายวัน!$M$122:$M$9999,0))),""))</f>
        <v>570</v>
      </c>
      <c r="F55" s="149" t="str">
        <f>IFERROR(IF(ISBLANK(INDEX(บันทึกสต็อครายวัน!$F$122:$F$9999,MATCH(TEXT($B$2,"YYYYMMDD")&amp;"|"&amp;$E$2&amp;"|"&amp;B55,บันทึกสต็อครายวัน!$M$122:$M$9999,0))),"",INDEX(บันทึกสต็อครายวัน!$F$122:$F$9999,MATCH(TEXT($B$2,"YYYYMMDD")&amp;"|"&amp;$E$2&amp;"|"&amp;B55,บันทึกสต็อครายวัน!$M$122:$M$9999,0))),"")</f>
        <v/>
      </c>
      <c r="G55" s="155" t="str">
        <f>IFERROR(IF(ISBLANK(INDEX(บันทึกสต็อครายวัน!$G$122:$G$9999,MATCH(TEXT($B$2,"YYYYMMDD")&amp;"|"&amp;$E$2&amp;"|"&amp;B55,บันทึกสต็อครายวัน!$M$122:$M$9999,0))),"",INDEX(บันทึกสต็อครายวัน!$G$122:$G$9999,MATCH(TEXT($B$2,"YYYYMMDD")&amp;"|"&amp;$E$2&amp;"|"&amp;B55,บันทึกสต็อครายวัน!$M$122:$M$9999,0))),"")</f>
        <v/>
      </c>
      <c r="H55" s="152" t="str">
        <f>IFERROR(IF(ISBLANK(INDEX(บันทึกสต็อครายวัน!$H$122:$H$9999,MATCH(TEXT($B$2,"YYYYMMDD")&amp;"|"&amp;$E$2&amp;"|"&amp;B55,บันทึกสต็อครายวัน!$M$122:$M$9999,0))),"",INDEX(บันทึกสต็อครายวัน!$H$122:$H$9999,MATCH(TEXT($B$2,"YYYYMMDD")&amp;"|"&amp;$E$2&amp;"|"&amp;B55,บันทึกสต็อครายวัน!$M$122:$M$9999,0))),"")</f>
        <v/>
      </c>
      <c r="I55" s="153" t="str">
        <f>IFERROR(IF(ISBLANK(INDEX(บันทึกสต็อครายวัน!$I$122:$I$9999,MATCH(TEXT($B$2,"YYYYMMDD")&amp;"|"&amp;$E$2&amp;"|"&amp;B55,บันทึกสต็อครายวัน!$M$122:$M$9999,0))),"",INDEX(บันทึกสต็อครายวัน!$I$122:$I$9999,MATCH(TEXT($B$2,"YYYYMMDD")&amp;"|"&amp;$E$2&amp;"|"&amp;B55,บันทึกสต็อครายวัน!$M$122:$M$9999,0))),"")</f>
        <v/>
      </c>
      <c r="J55" s="153" t="str">
        <f>IFERROR(IF(ISBLANK(INDEX(บันทึกสต็อครายวัน!$J$122:$J$9999,MATCH(TEXT($B$2,"YYYYMMDD")&amp;"|"&amp;$E$2&amp;"|"&amp;B55,บันทึกสต็อครายวัน!$M$122:$M$9999,0))),"",INDEX(บันทึกสต็อครายวัน!$J$122:$J$9999,MATCH(TEXT($B$2,"YYYYMMDD")&amp;"|"&amp;$E$2&amp;"|"&amp;B55,บันทึกสต็อครายวัน!$M$122:$M$9999,0))),"")</f>
        <v/>
      </c>
      <c r="K55" s="154" t="str">
        <f>IFERROR(IF(ISBLANK(INDEX(บันทึกสต็อครายวัน!$K$122:$K$9999,MATCH(TEXT($B$2,"YYYYMMDD")&amp;"|"&amp;$E$2&amp;"|"&amp;B55,บันทึกสต็อครายวัน!$M$122:$M$9999,0))),"",INDEX(บันทึกสต็อครายวัน!$K$122:$K$9999,MATCH(TEXT($B$2,"YYYYMMDD")&amp;"|"&amp;$E$2&amp;"|"&amp;B55,บันทึกสต็อครายวัน!$M$122:$M$9999,0))),"")</f>
        <v/>
      </c>
      <c r="L55" s="154" t="str">
        <f>IFERROR(IF(ISBLANK(INDEX(บันทึกสต็อครายวัน!$L$122:$L$9999,MATCH(TEXT($B$2,"YYYYMMDD")&amp;"|"&amp;$E$2&amp;"|"&amp;B55,บันทึกสต็อครายวัน!$M$122:$M$9999,0))),"",INDEX(บันทึกสต็อครายวัน!$L$122:$L$9999,MATCH(TEXT($B$2,"YYYYMMDD")&amp;"|"&amp;$E$2&amp;"|"&amp;B55,บันทึกสต็อครายวัน!$M$122:$M$9999,0))),"")</f>
        <v/>
      </c>
    </row>
    <row r="56" spans="1:12" ht="18" customHeight="1">
      <c r="A56" s="162" t="s">
        <v>111</v>
      </c>
      <c r="B56" s="163" t="s">
        <v>112</v>
      </c>
      <c r="C56" s="164" t="s">
        <v>113</v>
      </c>
      <c r="D56" s="149">
        <f>IFERROR(IF(INDEX(บันทึกสต็อครายวัน!$D$122:$D$9999,MATCH(TEXT($B$2,"YYYYMMDD")&amp;"|"&amp;$E$2&amp;"|"&amp;B56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56)*บันทึกสต็อครายวัน!$A$122:$A$9999)),"YYYYMMDD")&amp;"|"&amp;$E$2&amp;"|"&amp;B56,บันทึกสต็อครายวัน!$M$122:$M$9999,0))),""),INDEX(บันทึกสต็อครายวัน!$D$122:$D$9999,MATCH(TEXT($B$2,"YYYYMMDD")&amp;"|"&amp;$E$2&amp;"|"&amp;B56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56)*บันทึกสต็อครายวัน!$A$122:$A$9999)),"YYYYMMDD")&amp;"|"&amp;$E$2&amp;"|"&amp;B56,บันทึกสต็อครายวัน!$M$122:$M$9999,0))),""))</f>
        <v>1</v>
      </c>
      <c r="E56" s="150">
        <f>IFERROR(IF(INDEX(บันทึกสต็อครายวัน!$E$122:$E$9999,MATCH(TEXT($B$2,"YYYYMMDD")&amp;"|"&amp;$E$2&amp;"|"&amp;B56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56)*บันทึกสต็อครายวัน!$A$122:$A$9999)),"YYYYMMDD")&amp;"|"&amp;$E$2&amp;"|"&amp;B56,บันทึกสต็อครายวัน!$M$122:$M$9999,0))),""),INDEX(บันทึกสต็อครายวัน!$E$122:$E$9999,MATCH(TEXT($B$2,"YYYYMMDD")&amp;"|"&amp;$E$2&amp;"|"&amp;B56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56)*บันทึกสต็อครายวัน!$A$122:$A$9999)),"YYYYMMDD")&amp;"|"&amp;$E$2&amp;"|"&amp;B56,บันทึกสต็อครายวัน!$M$122:$M$9999,0))),""))</f>
        <v>10</v>
      </c>
      <c r="F56" s="149" t="str">
        <f>IFERROR(IF(ISBLANK(INDEX(บันทึกสต็อครายวัน!$F$122:$F$9999,MATCH(TEXT($B$2,"YYYYMMDD")&amp;"|"&amp;$E$2&amp;"|"&amp;B56,บันทึกสต็อครายวัน!$M$122:$M$9999,0))),"",INDEX(บันทึกสต็อครายวัน!$F$122:$F$9999,MATCH(TEXT($B$2,"YYYYMMDD")&amp;"|"&amp;$E$2&amp;"|"&amp;B56,บันทึกสต็อครายวัน!$M$122:$M$9999,0))),"")</f>
        <v/>
      </c>
      <c r="G56" s="155" t="str">
        <f>IFERROR(IF(ISBLANK(INDEX(บันทึกสต็อครายวัน!$G$122:$G$9999,MATCH(TEXT($B$2,"YYYYMMDD")&amp;"|"&amp;$E$2&amp;"|"&amp;B56,บันทึกสต็อครายวัน!$M$122:$M$9999,0))),"",INDEX(บันทึกสต็อครายวัน!$G$122:$G$9999,MATCH(TEXT($B$2,"YYYYMMDD")&amp;"|"&amp;$E$2&amp;"|"&amp;B56,บันทึกสต็อครายวัน!$M$122:$M$9999,0))),"")</f>
        <v/>
      </c>
      <c r="H56" s="156" t="str">
        <f>IFERROR(IF(ISBLANK(INDEX(บันทึกสต็อครายวัน!$H$122:$H$9999,MATCH(TEXT($B$2,"YYYYMMDD")&amp;"|"&amp;$E$2&amp;"|"&amp;B56,บันทึกสต็อครายวัน!$M$122:$M$9999,0))),"",INDEX(บันทึกสต็อครายวัน!$H$122:$H$9999,MATCH(TEXT($B$2,"YYYYMMDD")&amp;"|"&amp;$E$2&amp;"|"&amp;B56,บันทึกสต็อครายวัน!$M$122:$M$9999,0))),"")</f>
        <v/>
      </c>
      <c r="I56" s="153" t="str">
        <f>IFERROR(IF(ISBLANK(INDEX(บันทึกสต็อครายวัน!$I$122:$I$9999,MATCH(TEXT($B$2,"YYYYMMDD")&amp;"|"&amp;$E$2&amp;"|"&amp;B56,บันทึกสต็อครายวัน!$M$122:$M$9999,0))),"",INDEX(บันทึกสต็อครายวัน!$I$122:$I$9999,MATCH(TEXT($B$2,"YYYYMMDD")&amp;"|"&amp;$E$2&amp;"|"&amp;B56,บันทึกสต็อครายวัน!$M$122:$M$9999,0))),"")</f>
        <v/>
      </c>
      <c r="J56" s="153" t="str">
        <f>IFERROR(IF(ISBLANK(INDEX(บันทึกสต็อครายวัน!$J$122:$J$9999,MATCH(TEXT($B$2,"YYYYMMDD")&amp;"|"&amp;$E$2&amp;"|"&amp;B56,บันทึกสต็อครายวัน!$M$122:$M$9999,0))),"",INDEX(บันทึกสต็อครายวัน!$J$122:$J$9999,MATCH(TEXT($B$2,"YYYYMMDD")&amp;"|"&amp;$E$2&amp;"|"&amp;B56,บันทึกสต็อครายวัน!$M$122:$M$9999,0))),"")</f>
        <v/>
      </c>
      <c r="K56" s="154" t="str">
        <f>IFERROR(IF(ISBLANK(INDEX(บันทึกสต็อครายวัน!$K$122:$K$9999,MATCH(TEXT($B$2,"YYYYMMDD")&amp;"|"&amp;$E$2&amp;"|"&amp;B56,บันทึกสต็อครายวัน!$M$122:$M$9999,0))),"",INDEX(บันทึกสต็อครายวัน!$K$122:$K$9999,MATCH(TEXT($B$2,"YYYYMMDD")&amp;"|"&amp;$E$2&amp;"|"&amp;B56,บันทึกสต็อครายวัน!$M$122:$M$9999,0))),"")</f>
        <v/>
      </c>
      <c r="L56" s="154" t="str">
        <f>IFERROR(IF(ISBLANK(INDEX(บันทึกสต็อครายวัน!$L$122:$L$9999,MATCH(TEXT($B$2,"YYYYMMDD")&amp;"|"&amp;$E$2&amp;"|"&amp;B56,บันทึกสต็อครายวัน!$M$122:$M$9999,0))),"",INDEX(บันทึกสต็อครายวัน!$L$122:$L$9999,MATCH(TEXT($B$2,"YYYYMMDD")&amp;"|"&amp;$E$2&amp;"|"&amp;B56,บันทึกสต็อครายวัน!$M$122:$M$9999,0))),"")</f>
        <v/>
      </c>
    </row>
    <row r="57" spans="1:12" ht="18" customHeight="1">
      <c r="A57" s="162" t="s">
        <v>111</v>
      </c>
      <c r="B57" s="163" t="s">
        <v>114</v>
      </c>
      <c r="C57" s="164" t="s">
        <v>113</v>
      </c>
      <c r="D57" s="149">
        <f>IFERROR(IF(INDEX(บันทึกสต็อครายวัน!$D$122:$D$9999,MATCH(TEXT($B$2,"YYYYMMDD")&amp;"|"&amp;$E$2&amp;"|"&amp;B57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57)*บันทึกสต็อครายวัน!$A$122:$A$9999)),"YYYYMMDD")&amp;"|"&amp;$E$2&amp;"|"&amp;B57,บันทึกสต็อครายวัน!$M$122:$M$9999,0))),""),INDEX(บันทึกสต็อครายวัน!$D$122:$D$9999,MATCH(TEXT($B$2,"YYYYMMDD")&amp;"|"&amp;$E$2&amp;"|"&amp;B57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57)*บันทึกสต็อครายวัน!$A$122:$A$9999)),"YYYYMMDD")&amp;"|"&amp;$E$2&amp;"|"&amp;B57,บันทึกสต็อครายวัน!$M$122:$M$9999,0))),""))</f>
        <v>2</v>
      </c>
      <c r="E57" s="150">
        <f>IFERROR(IF(INDEX(บันทึกสต็อครายวัน!$E$122:$E$9999,MATCH(TEXT($B$2,"YYYYMMDD")&amp;"|"&amp;$E$2&amp;"|"&amp;B57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57)*บันทึกสต็อครายวัน!$A$122:$A$9999)),"YYYYMMDD")&amp;"|"&amp;$E$2&amp;"|"&amp;B57,บันทึกสต็อครายวัน!$M$122:$M$9999,0))),""),INDEX(บันทึกสต็อครายวัน!$E$122:$E$9999,MATCH(TEXT($B$2,"YYYYMMDD")&amp;"|"&amp;$E$2&amp;"|"&amp;B57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57)*บันทึกสต็อครายวัน!$A$122:$A$9999)),"YYYYMMDD")&amp;"|"&amp;$E$2&amp;"|"&amp;B57,บันทึกสต็อครายวัน!$M$122:$M$9999,0))),""))</f>
        <v>2</v>
      </c>
      <c r="F57" s="149" t="str">
        <f>IFERROR(IF(ISBLANK(INDEX(บันทึกสต็อครายวัน!$F$122:$F$9999,MATCH(TEXT($B$2,"YYYYMMDD")&amp;"|"&amp;$E$2&amp;"|"&amp;B57,บันทึกสต็อครายวัน!$M$122:$M$9999,0))),"",INDEX(บันทึกสต็อครายวัน!$F$122:$F$9999,MATCH(TEXT($B$2,"YYYYMMDD")&amp;"|"&amp;$E$2&amp;"|"&amp;B57,บันทึกสต็อครายวัน!$M$122:$M$9999,0))),"")</f>
        <v/>
      </c>
      <c r="G57" s="155" t="str">
        <f>IFERROR(IF(ISBLANK(INDEX(บันทึกสต็อครายวัน!$G$122:$G$9999,MATCH(TEXT($B$2,"YYYYMMDD")&amp;"|"&amp;$E$2&amp;"|"&amp;B57,บันทึกสต็อครายวัน!$M$122:$M$9999,0))),"",INDEX(บันทึกสต็อครายวัน!$G$122:$G$9999,MATCH(TEXT($B$2,"YYYYMMDD")&amp;"|"&amp;$E$2&amp;"|"&amp;B57,บันทึกสต็อครายวัน!$M$122:$M$9999,0))),"")</f>
        <v/>
      </c>
      <c r="H57" s="156" t="str">
        <f>IFERROR(IF(ISBLANK(INDEX(บันทึกสต็อครายวัน!$H$122:$H$9999,MATCH(TEXT($B$2,"YYYYMMDD")&amp;"|"&amp;$E$2&amp;"|"&amp;B57,บันทึกสต็อครายวัน!$M$122:$M$9999,0))),"",INDEX(บันทึกสต็อครายวัน!$H$122:$H$9999,MATCH(TEXT($B$2,"YYYYMMDD")&amp;"|"&amp;$E$2&amp;"|"&amp;B57,บันทึกสต็อครายวัน!$M$122:$M$9999,0))),"")</f>
        <v/>
      </c>
      <c r="I57" s="153" t="str">
        <f>IFERROR(IF(ISBLANK(INDEX(บันทึกสต็อครายวัน!$I$122:$I$9999,MATCH(TEXT($B$2,"YYYYMMDD")&amp;"|"&amp;$E$2&amp;"|"&amp;B57,บันทึกสต็อครายวัน!$M$122:$M$9999,0))),"",INDEX(บันทึกสต็อครายวัน!$I$122:$I$9999,MATCH(TEXT($B$2,"YYYYMMDD")&amp;"|"&amp;$E$2&amp;"|"&amp;B57,บันทึกสต็อครายวัน!$M$122:$M$9999,0))),"")</f>
        <v/>
      </c>
      <c r="J57" s="153" t="str">
        <f>IFERROR(IF(ISBLANK(INDEX(บันทึกสต็อครายวัน!$J$122:$J$9999,MATCH(TEXT($B$2,"YYYYMMDD")&amp;"|"&amp;$E$2&amp;"|"&amp;B57,บันทึกสต็อครายวัน!$M$122:$M$9999,0))),"",INDEX(บันทึกสต็อครายวัน!$J$122:$J$9999,MATCH(TEXT($B$2,"YYYYMMDD")&amp;"|"&amp;$E$2&amp;"|"&amp;B57,บันทึกสต็อครายวัน!$M$122:$M$9999,0))),"")</f>
        <v/>
      </c>
      <c r="K57" s="154" t="str">
        <f>IFERROR(IF(ISBLANK(INDEX(บันทึกสต็อครายวัน!$K$122:$K$9999,MATCH(TEXT($B$2,"YYYYMMDD")&amp;"|"&amp;$E$2&amp;"|"&amp;B57,บันทึกสต็อครายวัน!$M$122:$M$9999,0))),"",INDEX(บันทึกสต็อครายวัน!$K$122:$K$9999,MATCH(TEXT($B$2,"YYYYMMDD")&amp;"|"&amp;$E$2&amp;"|"&amp;B57,บันทึกสต็อครายวัน!$M$122:$M$9999,0))),"")</f>
        <v/>
      </c>
      <c r="L57" s="154" t="str">
        <f>IFERROR(IF(ISBLANK(INDEX(บันทึกสต็อครายวัน!$L$122:$L$9999,MATCH(TEXT($B$2,"YYYYMMDD")&amp;"|"&amp;$E$2&amp;"|"&amp;B57,บันทึกสต็อครายวัน!$M$122:$M$9999,0))),"",INDEX(บันทึกสต็อครายวัน!$L$122:$L$9999,MATCH(TEXT($B$2,"YYYYMMDD")&amp;"|"&amp;$E$2&amp;"|"&amp;B57,บันทึกสต็อครายวัน!$M$122:$M$9999,0))),"")</f>
        <v/>
      </c>
    </row>
    <row r="58" spans="1:12" ht="18" customHeight="1">
      <c r="A58" s="162" t="s">
        <v>111</v>
      </c>
      <c r="B58" s="163" t="s">
        <v>115</v>
      </c>
      <c r="C58" s="164" t="s">
        <v>113</v>
      </c>
      <c r="D58" s="149">
        <f>IFERROR(IF(INDEX(บันทึกสต็อครายวัน!$D$122:$D$9999,MATCH(TEXT($B$2,"YYYYMMDD")&amp;"|"&amp;$E$2&amp;"|"&amp;B58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58)*บันทึกสต็อครายวัน!$A$122:$A$9999)),"YYYYMMDD")&amp;"|"&amp;$E$2&amp;"|"&amp;B58,บันทึกสต็อครายวัน!$M$122:$M$9999,0))),""),INDEX(บันทึกสต็อครายวัน!$D$122:$D$9999,MATCH(TEXT($B$2,"YYYYMMDD")&amp;"|"&amp;$E$2&amp;"|"&amp;B58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58)*บันทึกสต็อครายวัน!$A$122:$A$9999)),"YYYYMMDD")&amp;"|"&amp;$E$2&amp;"|"&amp;B58,บันทึกสต็อครายวัน!$M$122:$M$9999,0))),""))</f>
        <v>0</v>
      </c>
      <c r="E58" s="150">
        <f>IFERROR(IF(INDEX(บันทึกสต็อครายวัน!$E$122:$E$9999,MATCH(TEXT($B$2,"YYYYMMDD")&amp;"|"&amp;$E$2&amp;"|"&amp;B58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58)*บันทึกสต็อครายวัน!$A$122:$A$9999)),"YYYYMMDD")&amp;"|"&amp;$E$2&amp;"|"&amp;B58,บันทึกสต็อครายวัน!$M$122:$M$9999,0))),""),INDEX(บันทึกสต็อครายวัน!$E$122:$E$9999,MATCH(TEXT($B$2,"YYYYMMDD")&amp;"|"&amp;$E$2&amp;"|"&amp;B58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58)*บันทึกสต็อครายวัน!$A$122:$A$9999)),"YYYYMMDD")&amp;"|"&amp;$E$2&amp;"|"&amp;B58,บันทึกสต็อครายวัน!$M$122:$M$9999,0))),""))</f>
        <v>49</v>
      </c>
      <c r="F58" s="149" t="str">
        <f>IFERROR(IF(ISBLANK(INDEX(บันทึกสต็อครายวัน!$F$122:$F$9999,MATCH(TEXT($B$2,"YYYYMMDD")&amp;"|"&amp;$E$2&amp;"|"&amp;B58,บันทึกสต็อครายวัน!$M$122:$M$9999,0))),"",INDEX(บันทึกสต็อครายวัน!$F$122:$F$9999,MATCH(TEXT($B$2,"YYYYMMDD")&amp;"|"&amp;$E$2&amp;"|"&amp;B58,บันทึกสต็อครายวัน!$M$122:$M$9999,0))),"")</f>
        <v/>
      </c>
      <c r="G58" s="155" t="str">
        <f>IFERROR(IF(ISBLANK(INDEX(บันทึกสต็อครายวัน!$G$122:$G$9999,MATCH(TEXT($B$2,"YYYYMMDD")&amp;"|"&amp;$E$2&amp;"|"&amp;B58,บันทึกสต็อครายวัน!$M$122:$M$9999,0))),"",INDEX(บันทึกสต็อครายวัน!$G$122:$G$9999,MATCH(TEXT($B$2,"YYYYMMDD")&amp;"|"&amp;$E$2&amp;"|"&amp;B58,บันทึกสต็อครายวัน!$M$122:$M$9999,0))),"")</f>
        <v/>
      </c>
      <c r="H58" s="156" t="str">
        <f>IFERROR(IF(ISBLANK(INDEX(บันทึกสต็อครายวัน!$H$122:$H$9999,MATCH(TEXT($B$2,"YYYYMMDD")&amp;"|"&amp;$E$2&amp;"|"&amp;B58,บันทึกสต็อครายวัน!$M$122:$M$9999,0))),"",INDEX(บันทึกสต็อครายวัน!$H$122:$H$9999,MATCH(TEXT($B$2,"YYYYMMDD")&amp;"|"&amp;$E$2&amp;"|"&amp;B58,บันทึกสต็อครายวัน!$M$122:$M$9999,0))),"")</f>
        <v/>
      </c>
      <c r="I58" s="153" t="str">
        <f>IFERROR(IF(ISBLANK(INDEX(บันทึกสต็อครายวัน!$I$122:$I$9999,MATCH(TEXT($B$2,"YYYYMMDD")&amp;"|"&amp;$E$2&amp;"|"&amp;B58,บันทึกสต็อครายวัน!$M$122:$M$9999,0))),"",INDEX(บันทึกสต็อครายวัน!$I$122:$I$9999,MATCH(TEXT($B$2,"YYYYMMDD")&amp;"|"&amp;$E$2&amp;"|"&amp;B58,บันทึกสต็อครายวัน!$M$122:$M$9999,0))),"")</f>
        <v/>
      </c>
      <c r="J58" s="153" t="str">
        <f>IFERROR(IF(ISBLANK(INDEX(บันทึกสต็อครายวัน!$J$122:$J$9999,MATCH(TEXT($B$2,"YYYYMMDD")&amp;"|"&amp;$E$2&amp;"|"&amp;B58,บันทึกสต็อครายวัน!$M$122:$M$9999,0))),"",INDEX(บันทึกสต็อครายวัน!$J$122:$J$9999,MATCH(TEXT($B$2,"YYYYMMDD")&amp;"|"&amp;$E$2&amp;"|"&amp;B58,บันทึกสต็อครายวัน!$M$122:$M$9999,0))),"")</f>
        <v/>
      </c>
      <c r="K58" s="154" t="str">
        <f>IFERROR(IF(ISBLANK(INDEX(บันทึกสต็อครายวัน!$K$122:$K$9999,MATCH(TEXT($B$2,"YYYYMMDD")&amp;"|"&amp;$E$2&amp;"|"&amp;B58,บันทึกสต็อครายวัน!$M$122:$M$9999,0))),"",INDEX(บันทึกสต็อครายวัน!$K$122:$K$9999,MATCH(TEXT($B$2,"YYYYMMDD")&amp;"|"&amp;$E$2&amp;"|"&amp;B58,บันทึกสต็อครายวัน!$M$122:$M$9999,0))),"")</f>
        <v/>
      </c>
      <c r="L58" s="154" t="str">
        <f>IFERROR(IF(ISBLANK(INDEX(บันทึกสต็อครายวัน!$L$122:$L$9999,MATCH(TEXT($B$2,"YYYYMMDD")&amp;"|"&amp;$E$2&amp;"|"&amp;B58,บันทึกสต็อครายวัน!$M$122:$M$9999,0))),"",INDEX(บันทึกสต็อครายวัน!$L$122:$L$9999,MATCH(TEXT($B$2,"YYYYMMDD")&amp;"|"&amp;$E$2&amp;"|"&amp;B58,บันทึกสต็อครายวัน!$M$122:$M$9999,0))),"")</f>
        <v/>
      </c>
    </row>
    <row r="59" spans="1:12" ht="18" customHeight="1">
      <c r="A59" s="162" t="s">
        <v>111</v>
      </c>
      <c r="B59" s="163" t="s">
        <v>116</v>
      </c>
      <c r="C59" s="164" t="s">
        <v>113</v>
      </c>
      <c r="D59" s="149">
        <f>IFERROR(IF(INDEX(บันทึกสต็อครายวัน!$D$122:$D$9999,MATCH(TEXT($B$2,"YYYYMMDD")&amp;"|"&amp;$E$2&amp;"|"&amp;B59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59)*บันทึกสต็อครายวัน!$A$122:$A$9999)),"YYYYMMDD")&amp;"|"&amp;$E$2&amp;"|"&amp;B59,บันทึกสต็อครายวัน!$M$122:$M$9999,0))),""),INDEX(บันทึกสต็อครายวัน!$D$122:$D$9999,MATCH(TEXT($B$2,"YYYYMMDD")&amp;"|"&amp;$E$2&amp;"|"&amp;B59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59)*บันทึกสต็อครายวัน!$A$122:$A$9999)),"YYYYMMDD")&amp;"|"&amp;$E$2&amp;"|"&amp;B59,บันทึกสต็อครายวัน!$M$122:$M$9999,0))),""))</f>
        <v>2</v>
      </c>
      <c r="E59" s="150">
        <f>IFERROR(IF(INDEX(บันทึกสต็อครายวัน!$E$122:$E$9999,MATCH(TEXT($B$2,"YYYYMMDD")&amp;"|"&amp;$E$2&amp;"|"&amp;B59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59)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59)*บันทึกสต็อครายวัน!$A$122:$A$9999)),"YYYYMMDD")&amp;"|"&amp;$E$2&amp;"|"&amp;B59,บันทึกสต็อครายวัน!$M$122:$M$9999,0))),""),INDEX(บันทึกสต็อครายวัน!$E$122:$E$9999,MATCH(TEXT($B$2,"YYYYMMDD")&amp;"|"&amp;$E$2&amp;"|"&amp;B59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59)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59)*บันทึกสต็อครายวัน!$A$122:$A$9999)),"YYYYMMDD")&amp;"|"&amp;$E$2&amp;"|"&amp;B59,บันทึกสต็อครายวัน!$M$122:$M$9999,0))),""))</f>
        <v>10</v>
      </c>
      <c r="F59" s="149" t="str">
        <f>IFERROR(IF(ISBLANK(INDEX(บันทึกสต็อครายวัน!$F$122:$F$9999,MATCH(TEXT($B$2,"YYYYMMDD")&amp;"|"&amp;$E$2&amp;"|"&amp;B59,บันทึกสต็อครายวัน!$M$122:$M$9999,0))),"",INDEX(บันทึกสต็อครายวัน!$F$122:$F$9999,MATCH(TEXT($B$2,"YYYYMMDD")&amp;"|"&amp;$E$2&amp;"|"&amp;B59,บันทึกสต็อครายวัน!$M$122:$M$9999,0))),"")</f>
        <v/>
      </c>
      <c r="G59" s="155" t="str">
        <f>IFERROR(IF(ISBLANK(INDEX(บันทึกสต็อครายวัน!$G$122:$G$9999,MATCH(TEXT($B$2,"YYYYMMDD")&amp;"|"&amp;$E$2&amp;"|"&amp;B59,บันทึกสต็อครายวัน!$M$122:$M$9999,0))),"",INDEX(บันทึกสต็อครายวัน!$G$122:$G$9999,MATCH(TEXT($B$2,"YYYYMMDD")&amp;"|"&amp;$E$2&amp;"|"&amp;B59,บันทึกสต็อครายวัน!$M$122:$M$9999,0))),"")</f>
        <v/>
      </c>
      <c r="H59" s="156" t="str">
        <f>IFERROR(IF(ISBLANK(INDEX(บันทึกสต็อครายวัน!$H$122:$H$9999,MATCH(TEXT($B$2,"YYYYMMDD")&amp;"|"&amp;$E$2&amp;"|"&amp;B59,บันทึกสต็อครายวัน!$M$122:$M$9999,0))),"",INDEX(บันทึกสต็อครายวัน!$H$122:$H$9999,MATCH(TEXT($B$2,"YYYYMMDD")&amp;"|"&amp;$E$2&amp;"|"&amp;B59,บันทึกสต็อครายวัน!$M$122:$M$9999,0))),"")</f>
        <v/>
      </c>
      <c r="I59" s="153" t="str">
        <f>IFERROR(IF(ISBLANK(INDEX(บันทึกสต็อครายวัน!$I$122:$I$9999,MATCH(TEXT($B$2,"YYYYMMDD")&amp;"|"&amp;$E$2&amp;"|"&amp;B59,บันทึกสต็อครายวัน!$M$122:$M$9999,0))),"",INDEX(บันทึกสต็อครายวัน!$I$122:$I$9999,MATCH(TEXT($B$2,"YYYYMMDD")&amp;"|"&amp;$E$2&amp;"|"&amp;B59,บันทึกสต็อครายวัน!$M$122:$M$9999,0))),"")</f>
        <v/>
      </c>
      <c r="J59" s="153" t="str">
        <f>IFERROR(IF(ISBLANK(INDEX(บันทึกสต็อครายวัน!$J$122:$J$9999,MATCH(TEXT($B$2,"YYYYMMDD")&amp;"|"&amp;$E$2&amp;"|"&amp;B59,บันทึกสต็อครายวัน!$M$122:$M$9999,0))),"",INDEX(บันทึกสต็อครายวัน!$J$122:$J$9999,MATCH(TEXT($B$2,"YYYYMMDD")&amp;"|"&amp;$E$2&amp;"|"&amp;B59,บันทึกสต็อครายวัน!$M$122:$M$9999,0))),"")</f>
        <v/>
      </c>
      <c r="K59" s="154" t="str">
        <f>IFERROR(IF(ISBLANK(INDEX(บันทึกสต็อครายวัน!$K$122:$K$9999,MATCH(TEXT($B$2,"YYYYMMDD")&amp;"|"&amp;$E$2&amp;"|"&amp;B59,บันทึกสต็อครายวัน!$M$122:$M$9999,0))),"",INDEX(บันทึกสต็อครายวัน!$K$122:$K$9999,MATCH(TEXT($B$2,"YYYYMMDD")&amp;"|"&amp;$E$2&amp;"|"&amp;B59,บันทึกสต็อครายวัน!$M$122:$M$9999,0))),"")</f>
        <v/>
      </c>
      <c r="L59" s="154" t="str">
        <f>IFERROR(IF(ISBLANK(INDEX(บันทึกสต็อครายวัน!$L$122:$L$9999,MATCH(TEXT($B$2,"YYYYMMDD")&amp;"|"&amp;$E$2&amp;"|"&amp;B59,บันทึกสต็อครายวัน!$M$122:$M$9999,0))),"",INDEX(บันทึกสต็อครายวัน!$L$122:$L$9999,MATCH(TEXT($B$2,"YYYYMMDD")&amp;"|"&amp;$E$2&amp;"|"&amp;B59,บันทึกสต็อครายวัน!$M$122:$M$9999,0))),"")</f>
        <v/>
      </c>
    </row>
    <row r="60" spans="1:12" ht="18" customHeight="1">
      <c r="A60" s="162" t="s">
        <v>111</v>
      </c>
      <c r="B60" s="165" t="s">
        <v>117</v>
      </c>
      <c r="C60" s="164" t="s">
        <v>104</v>
      </c>
      <c r="D60" s="166"/>
      <c r="E60" s="166"/>
      <c r="F60" s="166"/>
      <c r="G60" s="167"/>
      <c r="H60" s="166"/>
      <c r="I60" s="166"/>
      <c r="J60" s="166"/>
      <c r="K60" s="166"/>
      <c r="L60" s="166"/>
    </row>
    <row r="61" spans="1:12" ht="18" customHeight="1">
      <c r="A61" s="162" t="s">
        <v>118</v>
      </c>
      <c r="B61" s="163" t="s">
        <v>119</v>
      </c>
      <c r="C61" s="164" t="s">
        <v>113</v>
      </c>
      <c r="D61" s="149">
        <f>IFERROR(IF(INDEX(บันทึกสต็อครายวัน!$D$122:$D$9999,MATCH(TEXT($B$2,"YYYYMMDD")&amp;"|"&amp;$E$2&amp;"|"&amp;B61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61)*บันทึกสต็อครายวัน!$A$122:$A$9999)),"YYYYMMDD")&amp;"|"&amp;$E$2&amp;"|"&amp;B61,บันทึกสต็อครายวัน!$M$122:$M$9999,0))),""),INDEX(บันทึกสต็อครายวัน!$D$122:$D$9999,MATCH(TEXT($B$2,"YYYYMMDD")&amp;"|"&amp;$E$2&amp;"|"&amp;B61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61)*บันทึกสต็อครายวัน!$A$122:$A$9999)),"YYYYMMDD")&amp;"|"&amp;$E$2&amp;"|"&amp;B61,บันทึกสต็อครายวัน!$M$122:$M$9999,0))),""))</f>
        <v>2</v>
      </c>
      <c r="E61" s="150">
        <f>IFERROR(IF(INDEX(บันทึกสต็อครายวัน!$E$122:$E$9999,MATCH(TEXT($B$2,"YYYYMMDD")&amp;"|"&amp;$E$2&amp;"|"&amp;B61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61)*บันทึกสต็อครายวัน!$A$122:$A$9999)),"YYYYMMDD")&amp;"|"&amp;$E$2&amp;"|"&amp;B61,บันทึกสต็อครายวัน!$M$122:$M$9999,0))),""),INDEX(บันทึกสต็อครายวัน!$E$122:$E$9999,MATCH(TEXT($B$2,"YYYYMMDD")&amp;"|"&amp;$E$2&amp;"|"&amp;B61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61)*บันทึกสต็อครายวัน!$A$122:$A$9999)),"YYYYMMDD")&amp;"|"&amp;$E$2&amp;"|"&amp;B61,บันทึกสต็อครายวัน!$M$122:$M$9999,0))),""))</f>
        <v>0</v>
      </c>
      <c r="F61" s="149" t="str">
        <f>IFERROR(IF(ISBLANK(INDEX(บันทึกสต็อครายวัน!$F$122:$F$9999,MATCH(TEXT($B$2,"YYYYMMDD")&amp;"|"&amp;$E$2&amp;"|"&amp;B61,บันทึกสต็อครายวัน!$M$122:$M$9999,0))),"",INDEX(บันทึกสต็อครายวัน!$F$122:$F$9999,MATCH(TEXT($B$2,"YYYYMMDD")&amp;"|"&amp;$E$2&amp;"|"&amp;B61,บันทึกสต็อครายวัน!$M$122:$M$9999,0))),"")</f>
        <v/>
      </c>
      <c r="G61" s="155" t="str">
        <f>IFERROR(IF(ISBLANK(INDEX(บันทึกสต็อครายวัน!$G$122:$G$9999,MATCH(TEXT($B$2,"YYYYMMDD")&amp;"|"&amp;$E$2&amp;"|"&amp;B61,บันทึกสต็อครายวัน!$M$122:$M$9999,0))),"",INDEX(บันทึกสต็อครายวัน!$G$122:$G$9999,MATCH(TEXT($B$2,"YYYYMMDD")&amp;"|"&amp;$E$2&amp;"|"&amp;B61,บันทึกสต็อครายวัน!$M$122:$M$9999,0))),"")</f>
        <v/>
      </c>
      <c r="H61" s="152" t="str">
        <f>IFERROR(IF(ISBLANK(INDEX(บันทึกสต็อครายวัน!$H$122:$H$9999,MATCH(TEXT($B$2,"YYYYMMDD")&amp;"|"&amp;$E$2&amp;"|"&amp;B61,บันทึกสต็อครายวัน!$M$122:$M$9999,0))),"",INDEX(บันทึกสต็อครายวัน!$H$122:$H$9999,MATCH(TEXT($B$2,"YYYYMMDD")&amp;"|"&amp;$E$2&amp;"|"&amp;B61,บันทึกสต็อครายวัน!$M$122:$M$9999,0))),"")</f>
        <v/>
      </c>
      <c r="I61" s="153" t="str">
        <f>IFERROR(IF(ISBLANK(INDEX(บันทึกสต็อครายวัน!$I$122:$I$9999,MATCH(TEXT($B$2,"YYYYMMDD")&amp;"|"&amp;$E$2&amp;"|"&amp;B61,บันทึกสต็อครายวัน!$M$122:$M$9999,0))),"",INDEX(บันทึกสต็อครายวัน!$I$122:$I$9999,MATCH(TEXT($B$2,"YYYYMMDD")&amp;"|"&amp;$E$2&amp;"|"&amp;B61,บันทึกสต็อครายวัน!$M$122:$M$9999,0))),"")</f>
        <v/>
      </c>
      <c r="J61" s="155" t="str">
        <f>IFERROR(IF(ISBLANK(INDEX(บันทึกสต็อครายวัน!$J$122:$J$9999,MATCH(TEXT($B$2,"YYYYMMDD")&amp;"|"&amp;$E$2&amp;"|"&amp;B61,บันทึกสต็อครายวัน!$M$122:$M$9999,0))),"",INDEX(บันทึกสต็อครายวัน!$J$122:$J$9999,MATCH(TEXT($B$2,"YYYYMMDD")&amp;"|"&amp;$E$2&amp;"|"&amp;B61,บันทึกสต็อครายวัน!$M$122:$M$9999,0))),"")</f>
        <v/>
      </c>
      <c r="K61" s="154" t="str">
        <f>IFERROR(IF(ISBLANK(INDEX(บันทึกสต็อครายวัน!$K$122:$K$9999,MATCH(TEXT($B$2,"YYYYMMDD")&amp;"|"&amp;$E$2&amp;"|"&amp;B61,บันทึกสต็อครายวัน!$M$122:$M$9999,0))),"",INDEX(บันทึกสต็อครายวัน!$K$122:$K$9999,MATCH(TEXT($B$2,"YYYYMMDD")&amp;"|"&amp;$E$2&amp;"|"&amp;B61,บันทึกสต็อครายวัน!$M$122:$M$9999,0))),"")</f>
        <v/>
      </c>
      <c r="L61" s="154" t="str">
        <f>IFERROR(IF(ISBLANK(INDEX(บันทึกสต็อครายวัน!$L$122:$L$9999,MATCH(TEXT($B$2,"YYYYMMDD")&amp;"|"&amp;$E$2&amp;"|"&amp;B61,บันทึกสต็อครายวัน!$M$122:$M$9999,0))),"",INDEX(บันทึกสต็อครายวัน!$L$122:$L$9999,MATCH(TEXT($B$2,"YYYYMMDD")&amp;"|"&amp;$E$2&amp;"|"&amp;B61,บันทึกสต็อครายวัน!$M$122:$M$9999,0))),"")</f>
        <v/>
      </c>
    </row>
    <row r="62" spans="1:12" ht="18" customHeight="1">
      <c r="A62" s="162" t="s">
        <v>118</v>
      </c>
      <c r="B62" s="163" t="s">
        <v>120</v>
      </c>
      <c r="C62" s="164" t="s">
        <v>113</v>
      </c>
      <c r="D62" s="149">
        <f>IFERROR(IF(INDEX(บันทึกสต็อครายวัน!$D$122:$D$9999,MATCH(TEXT($B$2,"YYYYMMDD")&amp;"|"&amp;$E$2&amp;"|"&amp;B62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62)*บันทึกสต็อครายวัน!$A$122:$A$9999)),"YYYYMMDD")&amp;"|"&amp;$E$2&amp;"|"&amp;B62,บันทึกสต็อครายวัน!$M$122:$M$9999,0))),""),INDEX(บันทึกสต็อครายวัน!$D$122:$D$9999,MATCH(TEXT($B$2,"YYYYMMDD")&amp;"|"&amp;$E$2&amp;"|"&amp;B62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62)*บันทึกสต็อครายวัน!$A$122:$A$9999)),"YYYYMMDD")&amp;"|"&amp;$E$2&amp;"|"&amp;B62,บันทึกสต็อครายวัน!$M$122:$M$9999,0))),""))</f>
        <v>2</v>
      </c>
      <c r="E62" s="150">
        <f>IFERROR(IF(INDEX(บันทึกสต็อครายวัน!$E$122:$E$9999,MATCH(TEXT($B$2,"YYYYMMDD")&amp;"|"&amp;$E$2&amp;"|"&amp;B62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62)*บันทึกสต็อครายวัน!$A$122:$A$9999)),"YYYYMMDD")&amp;"|"&amp;$E$2&amp;"|"&amp;B62,บันทึกสต็อครายวัน!$M$122:$M$9999,0))),""),INDEX(บันทึกสต็อครายวัน!$E$122:$E$9999,MATCH(TEXT($B$2,"YYYYMMDD")&amp;"|"&amp;$E$2&amp;"|"&amp;B62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62)*บันทึกสต็อครายวัน!$A$122:$A$9999)),"YYYYMMDD")&amp;"|"&amp;$E$2&amp;"|"&amp;B62,บันทึกสต็อครายวัน!$M$122:$M$9999,0))),""))</f>
        <v>0</v>
      </c>
      <c r="F62" s="149" t="str">
        <f>IFERROR(IF(ISBLANK(INDEX(บันทึกสต็อครายวัน!$F$122:$F$9999,MATCH(TEXT($B$2,"YYYYMMDD")&amp;"|"&amp;$E$2&amp;"|"&amp;B62,บันทึกสต็อครายวัน!$M$122:$M$9999,0))),"",INDEX(บันทึกสต็อครายวัน!$F$122:$F$9999,MATCH(TEXT($B$2,"YYYYMMDD")&amp;"|"&amp;$E$2&amp;"|"&amp;B62,บันทึกสต็อครายวัน!$M$122:$M$9999,0))),"")</f>
        <v/>
      </c>
      <c r="G62" s="155" t="str">
        <f>IFERROR(IF(ISBLANK(INDEX(บันทึกสต็อครายวัน!$G$122:$G$9999,MATCH(TEXT($B$2,"YYYYMMDD")&amp;"|"&amp;$E$2&amp;"|"&amp;B62,บันทึกสต็อครายวัน!$M$122:$M$9999,0))),"",INDEX(บันทึกสต็อครายวัน!$G$122:$G$9999,MATCH(TEXT($B$2,"YYYYMMDD")&amp;"|"&amp;$E$2&amp;"|"&amp;B62,บันทึกสต็อครายวัน!$M$122:$M$9999,0))),"")</f>
        <v/>
      </c>
      <c r="H62" s="152" t="str">
        <f>IFERROR(IF(ISBLANK(INDEX(บันทึกสต็อครายวัน!$H$122:$H$9999,MATCH(TEXT($B$2,"YYYYMMDD")&amp;"|"&amp;$E$2&amp;"|"&amp;B62,บันทึกสต็อครายวัน!$M$122:$M$9999,0))),"",INDEX(บันทึกสต็อครายวัน!$H$122:$H$9999,MATCH(TEXT($B$2,"YYYYMMDD")&amp;"|"&amp;$E$2&amp;"|"&amp;B62,บันทึกสต็อครายวัน!$M$122:$M$9999,0))),"")</f>
        <v/>
      </c>
      <c r="I62" s="153" t="str">
        <f>IFERROR(IF(ISBLANK(INDEX(บันทึกสต็อครายวัน!$I$122:$I$9999,MATCH(TEXT($B$2,"YYYYMMDD")&amp;"|"&amp;$E$2&amp;"|"&amp;B62,บันทึกสต็อครายวัน!$M$122:$M$9999,0))),"",INDEX(บันทึกสต็อครายวัน!$I$122:$I$9999,MATCH(TEXT($B$2,"YYYYMMDD")&amp;"|"&amp;$E$2&amp;"|"&amp;B62,บันทึกสต็อครายวัน!$M$122:$M$9999,0))),"")</f>
        <v/>
      </c>
      <c r="J62" s="155" t="str">
        <f>IFERROR(IF(ISBLANK(INDEX(บันทึกสต็อครายวัน!$J$122:$J$9999,MATCH(TEXT($B$2,"YYYYMMDD")&amp;"|"&amp;$E$2&amp;"|"&amp;B62,บันทึกสต็อครายวัน!$M$122:$M$9999,0))),"",INDEX(บันทึกสต็อครายวัน!$J$122:$J$9999,MATCH(TEXT($B$2,"YYYYMMDD")&amp;"|"&amp;$E$2&amp;"|"&amp;B62,บันทึกสต็อครายวัน!$M$122:$M$9999,0))),"")</f>
        <v/>
      </c>
      <c r="K62" s="154" t="str">
        <f>IFERROR(IF(ISBLANK(INDEX(บันทึกสต็อครายวัน!$K$122:$K$9999,MATCH(TEXT($B$2,"YYYYMMDD")&amp;"|"&amp;$E$2&amp;"|"&amp;B62,บันทึกสต็อครายวัน!$M$122:$M$9999,0))),"",INDEX(บันทึกสต็อครายวัน!$K$122:$K$9999,MATCH(TEXT($B$2,"YYYYMMDD")&amp;"|"&amp;$E$2&amp;"|"&amp;B62,บันทึกสต็อครายวัน!$M$122:$M$9999,0))),"")</f>
        <v/>
      </c>
      <c r="L62" s="154" t="str">
        <f>IFERROR(IF(ISBLANK(INDEX(บันทึกสต็อครายวัน!$L$122:$L$9999,MATCH(TEXT($B$2,"YYYYMMDD")&amp;"|"&amp;$E$2&amp;"|"&amp;B62,บันทึกสต็อครายวัน!$M$122:$M$9999,0))),"",INDEX(บันทึกสต็อครายวัน!$L$122:$L$9999,MATCH(TEXT($B$2,"YYYYMMDD")&amp;"|"&amp;$E$2&amp;"|"&amp;B62,บันทึกสต็อครายวัน!$M$122:$M$9999,0))),"")</f>
        <v/>
      </c>
    </row>
    <row r="63" spans="1:12" ht="18" customHeight="1">
      <c r="A63" s="162" t="s">
        <v>118</v>
      </c>
      <c r="B63" s="163" t="s">
        <v>121</v>
      </c>
      <c r="C63" s="164" t="s">
        <v>113</v>
      </c>
      <c r="D63" s="149">
        <f>IFERROR(IF(INDEX(บันทึกสต็อครายวัน!$D$122:$D$9999,MATCH(TEXT($B$2,"YYYYMMDD")&amp;"|"&amp;$E$2&amp;"|"&amp;B63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63)*บันทึกสต็อครายวัน!$A$122:$A$9999)),"YYYYMMDD")&amp;"|"&amp;$E$2&amp;"|"&amp;B63,บันทึกสต็อครายวัน!$M$122:$M$9999,0))),""),INDEX(บันทึกสต็อครายวัน!$D$122:$D$9999,MATCH(TEXT($B$2,"YYYYMMDD")&amp;"|"&amp;$E$2&amp;"|"&amp;B63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63)*บันทึกสต็อครายวัน!$A$122:$A$9999)),"YYYYMMDD")&amp;"|"&amp;$E$2&amp;"|"&amp;B63,บันทึกสต็อครายวัน!$M$122:$M$9999,0))),""))</f>
        <v>2</v>
      </c>
      <c r="E63" s="150">
        <f>IFERROR(IF(INDEX(บันทึกสต็อครายวัน!$E$122:$E$9999,MATCH(TEXT($B$2,"YYYYMMDD")&amp;"|"&amp;$E$2&amp;"|"&amp;B63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63)*บันทึกสต็อครายวัน!$A$122:$A$9999)),"YYYYMMDD")&amp;"|"&amp;$E$2&amp;"|"&amp;B63,บันทึกสต็อครายวัน!$M$122:$M$9999,0))),""),INDEX(บันทึกสต็อครายวัน!$E$122:$E$9999,MATCH(TEXT($B$2,"YYYYMMDD")&amp;"|"&amp;$E$2&amp;"|"&amp;B63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63)*บันทึกสต็อครายวัน!$A$122:$A$9999)),"YYYYMMDD")&amp;"|"&amp;$E$2&amp;"|"&amp;B63,บันทึกสต็อครายวัน!$M$122:$M$9999,0))),""))</f>
        <v>0</v>
      </c>
      <c r="F63" s="149" t="str">
        <f>IFERROR(IF(ISBLANK(INDEX(บันทึกสต็อครายวัน!$F$122:$F$9999,MATCH(TEXT($B$2,"YYYYMMDD")&amp;"|"&amp;$E$2&amp;"|"&amp;B63,บันทึกสต็อครายวัน!$M$122:$M$9999,0))),"",INDEX(บันทึกสต็อครายวัน!$F$122:$F$9999,MATCH(TEXT($B$2,"YYYYMMDD")&amp;"|"&amp;$E$2&amp;"|"&amp;B63,บันทึกสต็อครายวัน!$M$122:$M$9999,0))),"")</f>
        <v/>
      </c>
      <c r="G63" s="155" t="str">
        <f>IFERROR(IF(ISBLANK(INDEX(บันทึกสต็อครายวัน!$G$122:$G$9999,MATCH(TEXT($B$2,"YYYYMMDD")&amp;"|"&amp;$E$2&amp;"|"&amp;B63,บันทึกสต็อครายวัน!$M$122:$M$9999,0))),"",INDEX(บันทึกสต็อครายวัน!$G$122:$G$9999,MATCH(TEXT($B$2,"YYYYMMDD")&amp;"|"&amp;$E$2&amp;"|"&amp;B63,บันทึกสต็อครายวัน!$M$122:$M$9999,0))),"")</f>
        <v/>
      </c>
      <c r="H63" s="152" t="str">
        <f>IFERROR(IF(ISBLANK(INDEX(บันทึกสต็อครายวัน!$H$122:$H$9999,MATCH(TEXT($B$2,"YYYYMMDD")&amp;"|"&amp;$E$2&amp;"|"&amp;B63,บันทึกสต็อครายวัน!$M$122:$M$9999,0))),"",INDEX(บันทึกสต็อครายวัน!$H$122:$H$9999,MATCH(TEXT($B$2,"YYYYMMDD")&amp;"|"&amp;$E$2&amp;"|"&amp;B63,บันทึกสต็อครายวัน!$M$122:$M$9999,0))),"")</f>
        <v/>
      </c>
      <c r="I63" s="153" t="str">
        <f>IFERROR(IF(ISBLANK(INDEX(บันทึกสต็อครายวัน!$I$122:$I$9999,MATCH(TEXT($B$2,"YYYYMMDD")&amp;"|"&amp;$E$2&amp;"|"&amp;B63,บันทึกสต็อครายวัน!$M$122:$M$9999,0))),"",INDEX(บันทึกสต็อครายวัน!$I$122:$I$9999,MATCH(TEXT($B$2,"YYYYMMDD")&amp;"|"&amp;$E$2&amp;"|"&amp;B63,บันทึกสต็อครายวัน!$M$122:$M$9999,0))),"")</f>
        <v/>
      </c>
      <c r="J63" s="155" t="str">
        <f>IFERROR(IF(ISBLANK(INDEX(บันทึกสต็อครายวัน!$J$122:$J$9999,MATCH(TEXT($B$2,"YYYYMMDD")&amp;"|"&amp;$E$2&amp;"|"&amp;B63,บันทึกสต็อครายวัน!$M$122:$M$9999,0))),"",INDEX(บันทึกสต็อครายวัน!$J$122:$J$9999,MATCH(TEXT($B$2,"YYYYMMDD")&amp;"|"&amp;$E$2&amp;"|"&amp;B63,บันทึกสต็อครายวัน!$M$122:$M$9999,0))),"")</f>
        <v/>
      </c>
      <c r="K63" s="154" t="str">
        <f>IFERROR(IF(ISBLANK(INDEX(บันทึกสต็อครายวัน!$K$122:$K$9999,MATCH(TEXT($B$2,"YYYYMMDD")&amp;"|"&amp;$E$2&amp;"|"&amp;B63,บันทึกสต็อครายวัน!$M$122:$M$9999,0))),"",INDEX(บันทึกสต็อครายวัน!$K$122:$K$9999,MATCH(TEXT($B$2,"YYYYMMDD")&amp;"|"&amp;$E$2&amp;"|"&amp;B63,บันทึกสต็อครายวัน!$M$122:$M$9999,0))),"")</f>
        <v/>
      </c>
      <c r="L63" s="154" t="str">
        <f>IFERROR(IF(ISBLANK(INDEX(บันทึกสต็อครายวัน!$L$122:$L$9999,MATCH(TEXT($B$2,"YYYYMMDD")&amp;"|"&amp;$E$2&amp;"|"&amp;B63,บันทึกสต็อครายวัน!$M$122:$M$9999,0))),"",INDEX(บันทึกสต็อครายวัน!$L$122:$L$9999,MATCH(TEXT($B$2,"YYYYMMDD")&amp;"|"&amp;$E$2&amp;"|"&amp;B63,บันทึกสต็อครายวัน!$M$122:$M$9999,0))),"")</f>
        <v/>
      </c>
    </row>
    <row r="64" spans="1:12" ht="18" customHeight="1">
      <c r="A64" s="162" t="s">
        <v>122</v>
      </c>
      <c r="B64" s="163" t="s">
        <v>123</v>
      </c>
      <c r="C64" s="164" t="s">
        <v>113</v>
      </c>
      <c r="D64" s="149">
        <f>IFERROR(IF(INDEX(บันทึกสต็อครายวัน!$D$122:$D$9999,MATCH(TEXT($B$2,"YYYYMMDD")&amp;"|"&amp;$E$2&amp;"|"&amp;B64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64)*บันทึกสต็อครายวัน!$A$122:$A$9999)),"YYYYMMDD")&amp;"|"&amp;$E$2&amp;"|"&amp;B64,บันทึกสต็อครายวัน!$M$122:$M$9999,0))),""),INDEX(บันทึกสต็อครายวัน!$D$122:$D$9999,MATCH(TEXT($B$2,"YYYYMMDD")&amp;"|"&amp;$E$2&amp;"|"&amp;B64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64)*บันทึกสต็อครายวัน!$A$122:$A$9999)),"YYYYMMDD")&amp;"|"&amp;$E$2&amp;"|"&amp;B64,บันทึกสต็อครายวัน!$M$122:$M$9999,0))),""))</f>
        <v>1</v>
      </c>
      <c r="E64" s="150">
        <f>IFERROR(IF(INDEX(บันทึกสต็อครายวัน!$E$122:$E$9999,MATCH(TEXT($B$2,"YYYYMMDD")&amp;"|"&amp;$E$2&amp;"|"&amp;B64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64)*บันทึกสต็อครายวัน!$A$122:$A$9999)),"YYYYMMDD")&amp;"|"&amp;$E$2&amp;"|"&amp;B64,บันทึกสต็อครายวัน!$M$122:$M$9999,0))),""),INDEX(บันทึกสต็อครายวัน!$E$122:$E$9999,MATCH(TEXT($B$2,"YYYYMMDD")&amp;"|"&amp;$E$2&amp;"|"&amp;B64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64)*บันทึกสต็อครายวัน!$A$122:$A$9999)),"YYYYMMDD")&amp;"|"&amp;$E$2&amp;"|"&amp;B64,บันทึกสต็อครายวัน!$M$122:$M$9999,0))),""))</f>
        <v>0</v>
      </c>
      <c r="F64" s="149" t="str">
        <f>IFERROR(IF(ISBLANK(INDEX(บันทึกสต็อครายวัน!$F$122:$F$9999,MATCH(TEXT($B$2,"YYYYMMDD")&amp;"|"&amp;$E$2&amp;"|"&amp;B64,บันทึกสต็อครายวัน!$M$122:$M$9999,0))),"",INDEX(บันทึกสต็อครายวัน!$F$122:$F$9999,MATCH(TEXT($B$2,"YYYYMMDD")&amp;"|"&amp;$E$2&amp;"|"&amp;B64,บันทึกสต็อครายวัน!$M$122:$M$9999,0))),"")</f>
        <v/>
      </c>
      <c r="G64" s="155" t="str">
        <f>IFERROR(IF(ISBLANK(INDEX(บันทึกสต็อครายวัน!$G$122:$G$9999,MATCH(TEXT($B$2,"YYYYMMDD")&amp;"|"&amp;$E$2&amp;"|"&amp;B64,บันทึกสต็อครายวัน!$M$122:$M$9999,0))),"",INDEX(บันทึกสต็อครายวัน!$G$122:$G$9999,MATCH(TEXT($B$2,"YYYYMMDD")&amp;"|"&amp;$E$2&amp;"|"&amp;B64,บันทึกสต็อครายวัน!$M$122:$M$9999,0))),"")</f>
        <v/>
      </c>
      <c r="H64" s="152" t="str">
        <f>IFERROR(IF(ISBLANK(INDEX(บันทึกสต็อครายวัน!$H$122:$H$9999,MATCH(TEXT($B$2,"YYYYMMDD")&amp;"|"&amp;$E$2&amp;"|"&amp;B64,บันทึกสต็อครายวัน!$M$122:$M$9999,0))),"",INDEX(บันทึกสต็อครายวัน!$H$122:$H$9999,MATCH(TEXT($B$2,"YYYYMMDD")&amp;"|"&amp;$E$2&amp;"|"&amp;B64,บันทึกสต็อครายวัน!$M$122:$M$9999,0))),"")</f>
        <v/>
      </c>
      <c r="I64" s="153" t="str">
        <f>IFERROR(IF(ISBLANK(INDEX(บันทึกสต็อครายวัน!$I$122:$I$9999,MATCH(TEXT($B$2,"YYYYMMDD")&amp;"|"&amp;$E$2&amp;"|"&amp;B64,บันทึกสต็อครายวัน!$M$122:$M$9999,0))),"",INDEX(บันทึกสต็อครายวัน!$I$122:$I$9999,MATCH(TEXT($B$2,"YYYYMMDD")&amp;"|"&amp;$E$2&amp;"|"&amp;B64,บันทึกสต็อครายวัน!$M$122:$M$9999,0))),"")</f>
        <v/>
      </c>
      <c r="J64" s="155" t="str">
        <f>IFERROR(IF(ISBLANK(INDEX(บันทึกสต็อครายวัน!$J$122:$J$9999,MATCH(TEXT($B$2,"YYYYMMDD")&amp;"|"&amp;$E$2&amp;"|"&amp;B64,บันทึกสต็อครายวัน!$M$122:$M$9999,0))),"",INDEX(บันทึกสต็อครายวัน!$J$122:$J$9999,MATCH(TEXT($B$2,"YYYYMMDD")&amp;"|"&amp;$E$2&amp;"|"&amp;B64,บันทึกสต็อครายวัน!$M$122:$M$9999,0))),"")</f>
        <v/>
      </c>
      <c r="K64" s="154" t="str">
        <f>IFERROR(IF(ISBLANK(INDEX(บันทึกสต็อครายวัน!$K$122:$K$9999,MATCH(TEXT($B$2,"YYYYMMDD")&amp;"|"&amp;$E$2&amp;"|"&amp;B64,บันทึกสต็อครายวัน!$M$122:$M$9999,0))),"",INDEX(บันทึกสต็อครายวัน!$K$122:$K$9999,MATCH(TEXT($B$2,"YYYYMMDD")&amp;"|"&amp;$E$2&amp;"|"&amp;B64,บันทึกสต็อครายวัน!$M$122:$M$9999,0))),"")</f>
        <v/>
      </c>
      <c r="L64" s="154" t="str">
        <f>IFERROR(IF(ISBLANK(INDEX(บันทึกสต็อครายวัน!$L$122:$L$9999,MATCH(TEXT($B$2,"YYYYMMDD")&amp;"|"&amp;$E$2&amp;"|"&amp;B64,บันทึกสต็อครายวัน!$M$122:$M$9999,0))),"",INDEX(บันทึกสต็อครายวัน!$L$122:$L$9999,MATCH(TEXT($B$2,"YYYYMMDD")&amp;"|"&amp;$E$2&amp;"|"&amp;B64,บันทึกสต็อครายวัน!$M$122:$M$9999,0))),"")</f>
        <v/>
      </c>
    </row>
    <row r="65" spans="1:12" ht="18" customHeight="1">
      <c r="A65" s="162" t="s">
        <v>122</v>
      </c>
      <c r="B65" s="163" t="s">
        <v>124</v>
      </c>
      <c r="C65" s="164" t="s">
        <v>113</v>
      </c>
      <c r="D65" s="149">
        <f>IFERROR(IF(INDEX(บันทึกสต็อครายวัน!$D$122:$D$9999,MATCH(TEXT($B$2,"YYYYMMDD")&amp;"|"&amp;$E$2&amp;"|"&amp;B65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65)*บันทึกสต็อครายวัน!$A$122:$A$9999)),"YYYYMMDD")&amp;"|"&amp;$E$2&amp;"|"&amp;B65,บันทึกสต็อครายวัน!$M$122:$M$9999,0))),""),INDEX(บันทึกสต็อครายวัน!$D$122:$D$9999,MATCH(TEXT($B$2,"YYYYMMDD")&amp;"|"&amp;$E$2&amp;"|"&amp;B65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65)*บันทึกสต็อครายวัน!$A$122:$A$9999)),"YYYYMMDD")&amp;"|"&amp;$E$2&amp;"|"&amp;B65,บันทึกสต็อครายวัน!$M$122:$M$9999,0))),""))</f>
        <v>1</v>
      </c>
      <c r="E65" s="150">
        <f>IFERROR(IF(INDEX(บันทึกสต็อครายวัน!$E$122:$E$9999,MATCH(TEXT($B$2,"YYYYMMDD")&amp;"|"&amp;$E$2&amp;"|"&amp;B65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65)*บันทึกสต็อครายวัน!$A$122:$A$9999)),"YYYYMMDD")&amp;"|"&amp;$E$2&amp;"|"&amp;B65,บันทึกสต็อครายวัน!$M$122:$M$9999,0))),""),INDEX(บันทึกสต็อครายวัน!$E$122:$E$9999,MATCH(TEXT($B$2,"YYYYMMDD")&amp;"|"&amp;$E$2&amp;"|"&amp;B65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65)*บันทึกสต็อครายวัน!$A$122:$A$9999)),"YYYYMMDD")&amp;"|"&amp;$E$2&amp;"|"&amp;B65,บันทึกสต็อครายวัน!$M$122:$M$9999,0))),""))</f>
        <v>0</v>
      </c>
      <c r="F65" s="149" t="str">
        <f>IFERROR(IF(ISBLANK(INDEX(บันทึกสต็อครายวัน!$F$122:$F$9999,MATCH(TEXT($B$2,"YYYYMMDD")&amp;"|"&amp;$E$2&amp;"|"&amp;B65,บันทึกสต็อครายวัน!$M$122:$M$9999,0))),"",INDEX(บันทึกสต็อครายวัน!$F$122:$F$9999,MATCH(TEXT($B$2,"YYYYMMDD")&amp;"|"&amp;$E$2&amp;"|"&amp;B65,บันทึกสต็อครายวัน!$M$122:$M$9999,0))),"")</f>
        <v/>
      </c>
      <c r="G65" s="155" t="str">
        <f>IFERROR(IF(ISBLANK(INDEX(บันทึกสต็อครายวัน!$G$122:$G$9999,MATCH(TEXT($B$2,"YYYYMMDD")&amp;"|"&amp;$E$2&amp;"|"&amp;B65,บันทึกสต็อครายวัน!$M$122:$M$9999,0))),"",INDEX(บันทึกสต็อครายวัน!$G$122:$G$9999,MATCH(TEXT($B$2,"YYYYMMDD")&amp;"|"&amp;$E$2&amp;"|"&amp;B65,บันทึกสต็อครายวัน!$M$122:$M$9999,0))),"")</f>
        <v/>
      </c>
      <c r="H65" s="152" t="str">
        <f>IFERROR(IF(ISBLANK(INDEX(บันทึกสต็อครายวัน!$H$122:$H$9999,MATCH(TEXT($B$2,"YYYYMMDD")&amp;"|"&amp;$E$2&amp;"|"&amp;B65,บันทึกสต็อครายวัน!$M$122:$M$9999,0))),"",INDEX(บันทึกสต็อครายวัน!$H$122:$H$9999,MATCH(TEXT($B$2,"YYYYMMDD")&amp;"|"&amp;$E$2&amp;"|"&amp;B65,บันทึกสต็อครายวัน!$M$122:$M$9999,0))),"")</f>
        <v/>
      </c>
      <c r="I65" s="153" t="str">
        <f>IFERROR(IF(ISBLANK(INDEX(บันทึกสต็อครายวัน!$I$122:$I$9999,MATCH(TEXT($B$2,"YYYYMMDD")&amp;"|"&amp;$E$2&amp;"|"&amp;B65,บันทึกสต็อครายวัน!$M$122:$M$9999,0))),"",INDEX(บันทึกสต็อครายวัน!$I$122:$I$9999,MATCH(TEXT($B$2,"YYYYMMDD")&amp;"|"&amp;$E$2&amp;"|"&amp;B65,บันทึกสต็อครายวัน!$M$122:$M$9999,0))),"")</f>
        <v/>
      </c>
      <c r="J65" s="155" t="str">
        <f>IFERROR(IF(ISBLANK(INDEX(บันทึกสต็อครายวัน!$J$122:$J$9999,MATCH(TEXT($B$2,"YYYYMMDD")&amp;"|"&amp;$E$2&amp;"|"&amp;B65,บันทึกสต็อครายวัน!$M$122:$M$9999,0))),"",INDEX(บันทึกสต็อครายวัน!$J$122:$J$9999,MATCH(TEXT($B$2,"YYYYMMDD")&amp;"|"&amp;$E$2&amp;"|"&amp;B65,บันทึกสต็อครายวัน!$M$122:$M$9999,0))),"")</f>
        <v/>
      </c>
      <c r="K65" s="154" t="str">
        <f>IFERROR(IF(ISBLANK(INDEX(บันทึกสต็อครายวัน!$K$122:$K$9999,MATCH(TEXT($B$2,"YYYYMMDD")&amp;"|"&amp;$E$2&amp;"|"&amp;B65,บันทึกสต็อครายวัน!$M$122:$M$9999,0))),"",INDEX(บันทึกสต็อครายวัน!$K$122:$K$9999,MATCH(TEXT($B$2,"YYYYMMDD")&amp;"|"&amp;$E$2&amp;"|"&amp;B65,บันทึกสต็อครายวัน!$M$122:$M$9999,0))),"")</f>
        <v/>
      </c>
      <c r="L65" s="154" t="str">
        <f>IFERROR(IF(ISBLANK(INDEX(บันทึกสต็อครายวัน!$L$122:$L$9999,MATCH(TEXT($B$2,"YYYYMMDD")&amp;"|"&amp;$E$2&amp;"|"&amp;B65,บันทึกสต็อครายวัน!$M$122:$M$9999,0))),"",INDEX(บันทึกสต็อครายวัน!$L$122:$L$9999,MATCH(TEXT($B$2,"YYYYMMDD")&amp;"|"&amp;$E$2&amp;"|"&amp;B65,บันทึกสต็อครายวัน!$M$122:$M$9999,0))),"")</f>
        <v/>
      </c>
    </row>
    <row r="66" spans="1:12" ht="18" customHeight="1">
      <c r="A66" s="162" t="s">
        <v>122</v>
      </c>
      <c r="B66" s="163" t="s">
        <v>125</v>
      </c>
      <c r="C66" s="164" t="s">
        <v>113</v>
      </c>
      <c r="D66" s="149">
        <f>IFERROR(IF(INDEX(บันทึกสต็อครายวัน!$D$122:$D$9999,MATCH(TEXT($B$2,"YYYYMMDD")&amp;"|"&amp;$E$2&amp;"|"&amp;B66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66)*บันทึกสต็อครายวัน!$A$122:$A$9999)),"YYYYMMDD")&amp;"|"&amp;$E$2&amp;"|"&amp;B66,บันทึกสต็อครายวัน!$M$122:$M$9999,0))),""),INDEX(บันทึกสต็อครายวัน!$D$122:$D$9999,MATCH(TEXT($B$2,"YYYYMMDD")&amp;"|"&amp;$E$2&amp;"|"&amp;B66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66)*บันทึกสต็อครายวัน!$A$122:$A$9999)),"YYYYMMDD")&amp;"|"&amp;$E$2&amp;"|"&amp;B66,บันทึกสต็อครายวัน!$M$122:$M$9999,0))),""))</f>
        <v>2</v>
      </c>
      <c r="E66" s="150">
        <f>IFERROR(IF(INDEX(บันทึกสต็อครายวัน!$E$122:$E$9999,MATCH(TEXT($B$2,"YYYYMMDD")&amp;"|"&amp;$E$2&amp;"|"&amp;B66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66)*บันทึกสต็อครายวัน!$A$122:$A$9999)),"YYYYMMDD")&amp;"|"&amp;$E$2&amp;"|"&amp;B66,บันทึกสต็อครายวัน!$M$122:$M$9999,0))),""),INDEX(บันทึกสต็อครายวัน!$E$122:$E$9999,MATCH(TEXT($B$2,"YYYYMMDD")&amp;"|"&amp;$E$2&amp;"|"&amp;B66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66)*บันทึกสต็อครายวัน!$A$122:$A$9999)),"YYYYMMDD")&amp;"|"&amp;$E$2&amp;"|"&amp;B66,บันทึกสต็อครายวัน!$M$122:$M$9999,0))),""))</f>
        <v>0</v>
      </c>
      <c r="F66" s="149" t="str">
        <f>IFERROR(IF(ISBLANK(INDEX(บันทึกสต็อครายวัน!$F$122:$F$9999,MATCH(TEXT($B$2,"YYYYMMDD")&amp;"|"&amp;$E$2&amp;"|"&amp;B66,บันทึกสต็อครายวัน!$M$122:$M$9999,0))),"",INDEX(บันทึกสต็อครายวัน!$F$122:$F$9999,MATCH(TEXT($B$2,"YYYYMMDD")&amp;"|"&amp;$E$2&amp;"|"&amp;B66,บันทึกสต็อครายวัน!$M$122:$M$9999,0))),"")</f>
        <v/>
      </c>
      <c r="G66" s="155" t="str">
        <f>IFERROR(IF(ISBLANK(INDEX(บันทึกสต็อครายวัน!$G$122:$G$9999,MATCH(TEXT($B$2,"YYYYMMDD")&amp;"|"&amp;$E$2&amp;"|"&amp;B66,บันทึกสต็อครายวัน!$M$122:$M$9999,0))),"",INDEX(บันทึกสต็อครายวัน!$G$122:$G$9999,MATCH(TEXT($B$2,"YYYYMMDD")&amp;"|"&amp;$E$2&amp;"|"&amp;B66,บันทึกสต็อครายวัน!$M$122:$M$9999,0))),"")</f>
        <v/>
      </c>
      <c r="H66" s="152" t="str">
        <f>IFERROR(IF(ISBLANK(INDEX(บันทึกสต็อครายวัน!$H$122:$H$9999,MATCH(TEXT($B$2,"YYYYMMDD")&amp;"|"&amp;$E$2&amp;"|"&amp;B66,บันทึกสต็อครายวัน!$M$122:$M$9999,0))),"",INDEX(บันทึกสต็อครายวัน!$H$122:$H$9999,MATCH(TEXT($B$2,"YYYYMMDD")&amp;"|"&amp;$E$2&amp;"|"&amp;B66,บันทึกสต็อครายวัน!$M$122:$M$9999,0))),"")</f>
        <v/>
      </c>
      <c r="I66" s="153" t="str">
        <f>IFERROR(IF(ISBLANK(INDEX(บันทึกสต็อครายวัน!$I$122:$I$9999,MATCH(TEXT($B$2,"YYYYMMDD")&amp;"|"&amp;$E$2&amp;"|"&amp;B66,บันทึกสต็อครายวัน!$M$122:$M$9999,0))),"",INDEX(บันทึกสต็อครายวัน!$I$122:$I$9999,MATCH(TEXT($B$2,"YYYYMMDD")&amp;"|"&amp;$E$2&amp;"|"&amp;B66,บันทึกสต็อครายวัน!$M$122:$M$9999,0))),"")</f>
        <v/>
      </c>
      <c r="J66" s="155" t="str">
        <f>IFERROR(IF(ISBLANK(INDEX(บันทึกสต็อครายวัน!$J$122:$J$9999,MATCH(TEXT($B$2,"YYYYMMDD")&amp;"|"&amp;$E$2&amp;"|"&amp;B66,บันทึกสต็อครายวัน!$M$122:$M$9999,0))),"",INDEX(บันทึกสต็อครายวัน!$J$122:$J$9999,MATCH(TEXT($B$2,"YYYYMMDD")&amp;"|"&amp;$E$2&amp;"|"&amp;B66,บันทึกสต็อครายวัน!$M$122:$M$9999,0))),"")</f>
        <v/>
      </c>
      <c r="K66" s="154" t="str">
        <f>IFERROR(IF(ISBLANK(INDEX(บันทึกสต็อครายวัน!$K$122:$K$9999,MATCH(TEXT($B$2,"YYYYMMDD")&amp;"|"&amp;$E$2&amp;"|"&amp;B66,บันทึกสต็อครายวัน!$M$122:$M$9999,0))),"",INDEX(บันทึกสต็อครายวัน!$K$122:$K$9999,MATCH(TEXT($B$2,"YYYYMMDD")&amp;"|"&amp;$E$2&amp;"|"&amp;B66,บันทึกสต็อครายวัน!$M$122:$M$9999,0))),"")</f>
        <v/>
      </c>
      <c r="L66" s="154" t="str">
        <f>IFERROR(IF(ISBLANK(INDEX(บันทึกสต็อครายวัน!$L$122:$L$9999,MATCH(TEXT($B$2,"YYYYMMDD")&amp;"|"&amp;$E$2&amp;"|"&amp;B66,บันทึกสต็อครายวัน!$M$122:$M$9999,0))),"",INDEX(บันทึกสต็อครายวัน!$L$122:$L$9999,MATCH(TEXT($B$2,"YYYYMMDD")&amp;"|"&amp;$E$2&amp;"|"&amp;B66,บันทึกสต็อครายวัน!$M$122:$M$9999,0))),"")</f>
        <v/>
      </c>
    </row>
    <row r="67" spans="1:12" ht="18" customHeight="1">
      <c r="A67" s="162" t="s">
        <v>122</v>
      </c>
      <c r="B67" s="163" t="s">
        <v>126</v>
      </c>
      <c r="C67" s="164" t="s">
        <v>113</v>
      </c>
      <c r="D67" s="149">
        <f>IFERROR(IF(INDEX(บันทึกสต็อครายวัน!$D$122:$D$9999,MATCH(TEXT($B$2,"YYYYMMDD")&amp;"|"&amp;$E$2&amp;"|"&amp;B67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67)*บันทึกสต็อครายวัน!$A$122:$A$9999)),"YYYYMMDD")&amp;"|"&amp;$E$2&amp;"|"&amp;B67,บันทึกสต็อครายวัน!$M$122:$M$9999,0))),""),INDEX(บันทึกสต็อครายวัน!$D$122:$D$9999,MATCH(TEXT($B$2,"YYYYMMDD")&amp;"|"&amp;$E$2&amp;"|"&amp;B67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67)*บันทึกสต็อครายวัน!$A$122:$A$9999)),"YYYYMMDD")&amp;"|"&amp;$E$2&amp;"|"&amp;B67,บันทึกสต็อครายวัน!$M$122:$M$9999,0))),""))</f>
        <v>2</v>
      </c>
      <c r="E67" s="150">
        <f>IFERROR(IF(INDEX(บันทึกสต็อครายวัน!$E$122:$E$9999,MATCH(TEXT($B$2,"YYYYMMDD")&amp;"|"&amp;$E$2&amp;"|"&amp;B67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67)*บันทึกสต็อครายวัน!$A$122:$A$9999)),"YYYYMMDD")&amp;"|"&amp;$E$2&amp;"|"&amp;B67,บันทึกสต็อครายวัน!$M$122:$M$9999,0))),""),INDEX(บันทึกสต็อครายวัน!$E$122:$E$9999,MATCH(TEXT($B$2,"YYYYMMDD")&amp;"|"&amp;$E$2&amp;"|"&amp;B67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67)*บันทึกสต็อครายวัน!$A$122:$A$9999)),"YYYYMMDD")&amp;"|"&amp;$E$2&amp;"|"&amp;B67,บันทึกสต็อครายวัน!$M$122:$M$9999,0))),""))</f>
        <v>0</v>
      </c>
      <c r="F67" s="149" t="str">
        <f>IFERROR(IF(ISBLANK(INDEX(บันทึกสต็อครายวัน!$F$122:$F$9999,MATCH(TEXT($B$2,"YYYYMMDD")&amp;"|"&amp;$E$2&amp;"|"&amp;B67,บันทึกสต็อครายวัน!$M$122:$M$9999,0))),"",INDEX(บันทึกสต็อครายวัน!$F$122:$F$9999,MATCH(TEXT($B$2,"YYYYMMDD")&amp;"|"&amp;$E$2&amp;"|"&amp;B67,บันทึกสต็อครายวัน!$M$122:$M$9999,0))),"")</f>
        <v/>
      </c>
      <c r="G67" s="155" t="str">
        <f>IFERROR(IF(ISBLANK(INDEX(บันทึกสต็อครายวัน!$G$122:$G$9999,MATCH(TEXT($B$2,"YYYYMMDD")&amp;"|"&amp;$E$2&amp;"|"&amp;B67,บันทึกสต็อครายวัน!$M$122:$M$9999,0))),"",INDEX(บันทึกสต็อครายวัน!$G$122:$G$9999,MATCH(TEXT($B$2,"YYYYMMDD")&amp;"|"&amp;$E$2&amp;"|"&amp;B67,บันทึกสต็อครายวัน!$M$122:$M$9999,0))),"")</f>
        <v/>
      </c>
      <c r="H67" s="152" t="str">
        <f>IFERROR(IF(ISBLANK(INDEX(บันทึกสต็อครายวัน!$H$122:$H$9999,MATCH(TEXT($B$2,"YYYYMMDD")&amp;"|"&amp;$E$2&amp;"|"&amp;B67,บันทึกสต็อครายวัน!$M$122:$M$9999,0))),"",INDEX(บันทึกสต็อครายวัน!$H$122:$H$9999,MATCH(TEXT($B$2,"YYYYMMDD")&amp;"|"&amp;$E$2&amp;"|"&amp;B67,บันทึกสต็อครายวัน!$M$122:$M$9999,0))),"")</f>
        <v/>
      </c>
      <c r="I67" s="153" t="str">
        <f>IFERROR(IF(ISBLANK(INDEX(บันทึกสต็อครายวัน!$I$122:$I$9999,MATCH(TEXT($B$2,"YYYYMMDD")&amp;"|"&amp;$E$2&amp;"|"&amp;B67,บันทึกสต็อครายวัน!$M$122:$M$9999,0))),"",INDEX(บันทึกสต็อครายวัน!$I$122:$I$9999,MATCH(TEXT($B$2,"YYYYMMDD")&amp;"|"&amp;$E$2&amp;"|"&amp;B67,บันทึกสต็อครายวัน!$M$122:$M$9999,0))),"")</f>
        <v/>
      </c>
      <c r="J67" s="155" t="str">
        <f>IFERROR(IF(ISBLANK(INDEX(บันทึกสต็อครายวัน!$J$122:$J$9999,MATCH(TEXT($B$2,"YYYYMMDD")&amp;"|"&amp;$E$2&amp;"|"&amp;B67,บันทึกสต็อครายวัน!$M$122:$M$9999,0))),"",INDEX(บันทึกสต็อครายวัน!$J$122:$J$9999,MATCH(TEXT($B$2,"YYYYMMDD")&amp;"|"&amp;$E$2&amp;"|"&amp;B67,บันทึกสต็อครายวัน!$M$122:$M$9999,0))),"")</f>
        <v/>
      </c>
      <c r="K67" s="154" t="str">
        <f>IFERROR(IF(ISBLANK(INDEX(บันทึกสต็อครายวัน!$K$122:$K$9999,MATCH(TEXT($B$2,"YYYYMMDD")&amp;"|"&amp;$E$2&amp;"|"&amp;B67,บันทึกสต็อครายวัน!$M$122:$M$9999,0))),"",INDEX(บันทึกสต็อครายวัน!$K$122:$K$9999,MATCH(TEXT($B$2,"YYYYMMDD")&amp;"|"&amp;$E$2&amp;"|"&amp;B67,บันทึกสต็อครายวัน!$M$122:$M$9999,0))),"")</f>
        <v/>
      </c>
      <c r="L67" s="154" t="str">
        <f>IFERROR(IF(ISBLANK(INDEX(บันทึกสต็อครายวัน!$L$122:$L$9999,MATCH(TEXT($B$2,"YYYYMMDD")&amp;"|"&amp;$E$2&amp;"|"&amp;B67,บันทึกสต็อครายวัน!$M$122:$M$9999,0))),"",INDEX(บันทึกสต็อครายวัน!$L$122:$L$9999,MATCH(TEXT($B$2,"YYYYMMDD")&amp;"|"&amp;$E$2&amp;"|"&amp;B67,บันทึกสต็อครายวัน!$M$122:$M$9999,0))),"")</f>
        <v/>
      </c>
    </row>
    <row r="68" spans="1:12" ht="18" customHeight="1">
      <c r="A68" s="162" t="s">
        <v>127</v>
      </c>
      <c r="B68" s="163" t="s">
        <v>128</v>
      </c>
      <c r="C68" s="164" t="s">
        <v>129</v>
      </c>
      <c r="D68" s="149">
        <f>IFERROR(IF(INDEX(บันทึกสต็อครายวัน!$D$122:$D$9999,MATCH(TEXT($B$2,"YYYYMMDD")&amp;"|"&amp;$E$2&amp;"|"&amp;B68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68)*บันทึกสต็อครายวัน!$A$122:$A$9999)),"YYYYMMDD")&amp;"|"&amp;$E$2&amp;"|"&amp;B68,บันทึกสต็อครายวัน!$M$122:$M$9999,0))),""),INDEX(บันทึกสต็อครายวัน!$D$122:$D$9999,MATCH(TEXT($B$2,"YYYYMMDD")&amp;"|"&amp;$E$2&amp;"|"&amp;B68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68)*บันทึกสต็อครายวัน!$A$122:$A$9999)),"YYYYMMDD")&amp;"|"&amp;$E$2&amp;"|"&amp;B68,บันทึกสต็อครายวัน!$M$122:$M$9999,0))),""))</f>
        <v>2</v>
      </c>
      <c r="E68" s="150">
        <f>IFERROR(IF(INDEX(บันทึกสต็อครายวัน!$E$122:$E$9999,MATCH(TEXT($B$2,"YYYYMMDD")&amp;"|"&amp;$E$2&amp;"|"&amp;B68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68)*บันทึกสต็อครายวัน!$A$122:$A$9999)),"YYYYMMDD")&amp;"|"&amp;$E$2&amp;"|"&amp;B68,บันทึกสต็อครายวัน!$M$122:$M$9999,0))),""),INDEX(บันทึกสต็อครายวัน!$E$122:$E$9999,MATCH(TEXT($B$2,"YYYYMMDD")&amp;"|"&amp;$E$2&amp;"|"&amp;B68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68)*บันทึกสต็อครายวัน!$A$122:$A$9999)),"YYYYMMDD")&amp;"|"&amp;$E$2&amp;"|"&amp;B68,บันทึกสต็อครายวัน!$M$122:$M$9999,0))),""))</f>
        <v>0</v>
      </c>
      <c r="F68" s="149" t="str">
        <f>IFERROR(IF(ISBLANK(INDEX(บันทึกสต็อครายวัน!$F$122:$F$9999,MATCH(TEXT($B$2,"YYYYMMDD")&amp;"|"&amp;$E$2&amp;"|"&amp;B68,บันทึกสต็อครายวัน!$M$122:$M$9999,0))),"",INDEX(บันทึกสต็อครายวัน!$F$122:$F$9999,MATCH(TEXT($B$2,"YYYYMMDD")&amp;"|"&amp;$E$2&amp;"|"&amp;B68,บันทึกสต็อครายวัน!$M$122:$M$9999,0))),"")</f>
        <v/>
      </c>
      <c r="G68" s="155" t="str">
        <f>IFERROR(IF(ISBLANK(INDEX(บันทึกสต็อครายวัน!$G$122:$G$9999,MATCH(TEXT($B$2,"YYYYMMDD")&amp;"|"&amp;$E$2&amp;"|"&amp;B68,บันทึกสต็อครายวัน!$M$122:$M$9999,0))),"",INDEX(บันทึกสต็อครายวัน!$G$122:$G$9999,MATCH(TEXT($B$2,"YYYYMMDD")&amp;"|"&amp;$E$2&amp;"|"&amp;B68,บันทึกสต็อครายวัน!$M$122:$M$9999,0))),"")</f>
        <v/>
      </c>
      <c r="H68" s="152" t="str">
        <f>IFERROR(IF(ISBLANK(INDEX(บันทึกสต็อครายวัน!$H$122:$H$9999,MATCH(TEXT($B$2,"YYYYMMDD")&amp;"|"&amp;$E$2&amp;"|"&amp;B68,บันทึกสต็อครายวัน!$M$122:$M$9999,0))),"",INDEX(บันทึกสต็อครายวัน!$H$122:$H$9999,MATCH(TEXT($B$2,"YYYYMMDD")&amp;"|"&amp;$E$2&amp;"|"&amp;B68,บันทึกสต็อครายวัน!$M$122:$M$9999,0))),"")</f>
        <v/>
      </c>
      <c r="I68" s="153" t="str">
        <f>IFERROR(IF(ISBLANK(INDEX(บันทึกสต็อครายวัน!$I$122:$I$9999,MATCH(TEXT($B$2,"YYYYMMDD")&amp;"|"&amp;$E$2&amp;"|"&amp;B68,บันทึกสต็อครายวัน!$M$122:$M$9999,0))),"",INDEX(บันทึกสต็อครายวัน!$I$122:$I$9999,MATCH(TEXT($B$2,"YYYYMMDD")&amp;"|"&amp;$E$2&amp;"|"&amp;B68,บันทึกสต็อครายวัน!$M$122:$M$9999,0))),"")</f>
        <v/>
      </c>
      <c r="J68" s="155" t="str">
        <f>IFERROR(IF(ISBLANK(INDEX(บันทึกสต็อครายวัน!$J$122:$J$9999,MATCH(TEXT($B$2,"YYYYMMDD")&amp;"|"&amp;$E$2&amp;"|"&amp;B68,บันทึกสต็อครายวัน!$M$122:$M$9999,0))),"",INDEX(บันทึกสต็อครายวัน!$J$122:$J$9999,MATCH(TEXT($B$2,"YYYYMMDD")&amp;"|"&amp;$E$2&amp;"|"&amp;B68,บันทึกสต็อครายวัน!$M$122:$M$9999,0))),"")</f>
        <v/>
      </c>
      <c r="K68" s="154" t="str">
        <f>IFERROR(IF(ISBLANK(INDEX(บันทึกสต็อครายวัน!$K$122:$K$9999,MATCH(TEXT($B$2,"YYYYMMDD")&amp;"|"&amp;$E$2&amp;"|"&amp;B68,บันทึกสต็อครายวัน!$M$122:$M$9999,0))),"",INDEX(บันทึกสต็อครายวัน!$K$122:$K$9999,MATCH(TEXT($B$2,"YYYYMMDD")&amp;"|"&amp;$E$2&amp;"|"&amp;B68,บันทึกสต็อครายวัน!$M$122:$M$9999,0))),"")</f>
        <v/>
      </c>
      <c r="L68" s="154" t="str">
        <f>IFERROR(IF(ISBLANK(INDEX(บันทึกสต็อครายวัน!$L$122:$L$9999,MATCH(TEXT($B$2,"YYYYMMDD")&amp;"|"&amp;$E$2&amp;"|"&amp;B68,บันทึกสต็อครายวัน!$M$122:$M$9999,0))),"",INDEX(บันทึกสต็อครายวัน!$L$122:$L$9999,MATCH(TEXT($B$2,"YYYYMMDD")&amp;"|"&amp;$E$2&amp;"|"&amp;B68,บันทึกสต็อครายวัน!$M$122:$M$9999,0))),"")</f>
        <v/>
      </c>
    </row>
    <row r="69" spans="1:12" ht="18" customHeight="1">
      <c r="A69" s="162" t="s">
        <v>127</v>
      </c>
      <c r="B69" s="163" t="s">
        <v>130</v>
      </c>
      <c r="C69" s="164" t="s">
        <v>129</v>
      </c>
      <c r="D69" s="149">
        <f>IFERROR(IF(INDEX(บันทึกสต็อครายวัน!$D$122:$D$9999,MATCH(TEXT($B$2,"YYYYMMDD")&amp;"|"&amp;$E$2&amp;"|"&amp;B69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69)*บันทึกสต็อครายวัน!$A$122:$A$9999)),"YYYYMMDD")&amp;"|"&amp;$E$2&amp;"|"&amp;B69,บันทึกสต็อครายวัน!$M$122:$M$9999,0))),""),INDEX(บันทึกสต็อครายวัน!$D$122:$D$9999,MATCH(TEXT($B$2,"YYYYMMDD")&amp;"|"&amp;$E$2&amp;"|"&amp;B69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69)*บันทึกสต็อครายวัน!$A$122:$A$9999)),"YYYYMMDD")&amp;"|"&amp;$E$2&amp;"|"&amp;B69,บันทึกสต็อครายวัน!$M$122:$M$9999,0))),""))</f>
        <v>4</v>
      </c>
      <c r="E69" s="150">
        <f>IFERROR(IF(INDEX(บันทึกสต็อครายวัน!$E$122:$E$9999,MATCH(TEXT($B$2,"YYYYMMDD")&amp;"|"&amp;$E$2&amp;"|"&amp;B69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69)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69)*บันทึกสต็อครายวัน!$A$122:$A$9999)),"YYYYMMDD")&amp;"|"&amp;$E$2&amp;"|"&amp;B69,บันทึกสต็อครายวัน!$M$122:$M$9999,0))),""),INDEX(บันทึกสต็อครายวัน!$E$122:$E$9999,MATCH(TEXT($B$2,"YYYYMMDD")&amp;"|"&amp;$E$2&amp;"|"&amp;B69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69)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69)*บันทึกสต็อครายวัน!$A$122:$A$9999)),"YYYYMMDD")&amp;"|"&amp;$E$2&amp;"|"&amp;B69,บันทึกสต็อครายวัน!$M$122:$M$9999,0))),""))</f>
        <v>0</v>
      </c>
      <c r="F69" s="149" t="str">
        <f>IFERROR(IF(ISBLANK(INDEX(บันทึกสต็อครายวัน!$F$122:$F$9999,MATCH(TEXT($B$2,"YYYYMMDD")&amp;"|"&amp;$E$2&amp;"|"&amp;B69,บันทึกสต็อครายวัน!$M$122:$M$9999,0))),"",INDEX(บันทึกสต็อครายวัน!$F$122:$F$9999,MATCH(TEXT($B$2,"YYYYMMDD")&amp;"|"&amp;$E$2&amp;"|"&amp;B69,บันทึกสต็อครายวัน!$M$122:$M$9999,0))),"")</f>
        <v/>
      </c>
      <c r="G69" s="155" t="str">
        <f>IFERROR(IF(ISBLANK(INDEX(บันทึกสต็อครายวัน!$G$122:$G$9999,MATCH(TEXT($B$2,"YYYYMMDD")&amp;"|"&amp;$E$2&amp;"|"&amp;B69,บันทึกสต็อครายวัน!$M$122:$M$9999,0))),"",INDEX(บันทึกสต็อครายวัน!$G$122:$G$9999,MATCH(TEXT($B$2,"YYYYMMDD")&amp;"|"&amp;$E$2&amp;"|"&amp;B69,บันทึกสต็อครายวัน!$M$122:$M$9999,0))),"")</f>
        <v/>
      </c>
      <c r="H69" s="152" t="str">
        <f>IFERROR(IF(ISBLANK(INDEX(บันทึกสต็อครายวัน!$H$122:$H$9999,MATCH(TEXT($B$2,"YYYYMMDD")&amp;"|"&amp;$E$2&amp;"|"&amp;B69,บันทึกสต็อครายวัน!$M$122:$M$9999,0))),"",INDEX(บันทึกสต็อครายวัน!$H$122:$H$9999,MATCH(TEXT($B$2,"YYYYMMDD")&amp;"|"&amp;$E$2&amp;"|"&amp;B69,บันทึกสต็อครายวัน!$M$122:$M$9999,0))),"")</f>
        <v/>
      </c>
      <c r="I69" s="153" t="str">
        <f>IFERROR(IF(ISBLANK(INDEX(บันทึกสต็อครายวัน!$I$122:$I$9999,MATCH(TEXT($B$2,"YYYYMMDD")&amp;"|"&amp;$E$2&amp;"|"&amp;B69,บันทึกสต็อครายวัน!$M$122:$M$9999,0))),"",INDEX(บันทึกสต็อครายวัน!$I$122:$I$9999,MATCH(TEXT($B$2,"YYYYMMDD")&amp;"|"&amp;$E$2&amp;"|"&amp;B69,บันทึกสต็อครายวัน!$M$122:$M$9999,0))),"")</f>
        <v/>
      </c>
      <c r="J69" s="155" t="str">
        <f>IFERROR(IF(ISBLANK(INDEX(บันทึกสต็อครายวัน!$J$122:$J$9999,MATCH(TEXT($B$2,"YYYYMMDD")&amp;"|"&amp;$E$2&amp;"|"&amp;B69,บันทึกสต็อครายวัน!$M$122:$M$9999,0))),"",INDEX(บันทึกสต็อครายวัน!$J$122:$J$9999,MATCH(TEXT($B$2,"YYYYMMDD")&amp;"|"&amp;$E$2&amp;"|"&amp;B69,บันทึกสต็อครายวัน!$M$122:$M$9999,0))),"")</f>
        <v/>
      </c>
      <c r="K69" s="154" t="str">
        <f>IFERROR(IF(ISBLANK(INDEX(บันทึกสต็อครายวัน!$K$122:$K$9999,MATCH(TEXT($B$2,"YYYYMMDD")&amp;"|"&amp;$E$2&amp;"|"&amp;B69,บันทึกสต็อครายวัน!$M$122:$M$9999,0))),"",INDEX(บันทึกสต็อครายวัน!$K$122:$K$9999,MATCH(TEXT($B$2,"YYYYMMDD")&amp;"|"&amp;$E$2&amp;"|"&amp;B69,บันทึกสต็อครายวัน!$M$122:$M$9999,0))),"")</f>
        <v/>
      </c>
      <c r="L69" s="154" t="str">
        <f>IFERROR(IF(ISBLANK(INDEX(บันทึกสต็อครายวัน!$L$122:$L$9999,MATCH(TEXT($B$2,"YYYYMMDD")&amp;"|"&amp;$E$2&amp;"|"&amp;B69,บันทึกสต็อครายวัน!$M$122:$M$9999,0))),"",INDEX(บันทึกสต็อครายวัน!$L$122:$L$9999,MATCH(TEXT($B$2,"YYYYMMDD")&amp;"|"&amp;$E$2&amp;"|"&amp;B69,บันทึกสต็อครายวัน!$M$122:$M$9999,0))),"")</f>
        <v/>
      </c>
    </row>
    <row r="70" spans="1:12" ht="18" customHeight="1">
      <c r="A70" s="162" t="s">
        <v>127</v>
      </c>
      <c r="B70" s="163" t="s">
        <v>131</v>
      </c>
      <c r="C70" s="164" t="s">
        <v>129</v>
      </c>
      <c r="D70" s="149">
        <f>IFERROR(IF(INDEX(บันทึกสต็อครายวัน!$D$122:$D$9999,MATCH(TEXT($B$2,"YYYYMMDD")&amp;"|"&amp;$E$2&amp;"|"&amp;B70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70)*บันทึกสต็อครายวัน!$A$122:$A$9999)),"YYYYMMDD")&amp;"|"&amp;$E$2&amp;"|"&amp;B70,บันทึกสต็อครายวัน!$M$122:$M$9999,0))),""),INDEX(บันทึกสต็อครายวัน!$D$122:$D$9999,MATCH(TEXT($B$2,"YYYYMMDD")&amp;"|"&amp;$E$2&amp;"|"&amp;B70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70)*บันทึกสต็อครายวัน!$A$122:$A$9999)),"YYYYMMDD")&amp;"|"&amp;$E$2&amp;"|"&amp;B70,บันทึกสต็อครายวัน!$M$122:$M$9999,0))),""))</f>
        <v>2</v>
      </c>
      <c r="E70" s="150">
        <f>IFERROR(IF(INDEX(บันทึกสต็อครายวัน!$E$122:$E$9999,MATCH(TEXT($B$2,"YYYYMMDD")&amp;"|"&amp;$E$2&amp;"|"&amp;B70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70)*บันทึกสต็อครายวัน!$A$122:$A$9999)),"YYYYMMDD")&amp;"|"&amp;$E$2&amp;"|"&amp;B70,บันทึกสต็อครายวัน!$M$122:$M$9999,0))),""),INDEX(บันทึกสต็อครายวัน!$E$122:$E$9999,MATCH(TEXT($B$2,"YYYYMMDD")&amp;"|"&amp;$E$2&amp;"|"&amp;B70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70)*บันทึกสต็อครายวัน!$A$122:$A$9999)),"YYYYMMDD")&amp;"|"&amp;$E$2&amp;"|"&amp;B70,บันทึกสต็อครายวัน!$M$122:$M$9999,0))),""))</f>
        <v>0</v>
      </c>
      <c r="F70" s="149" t="str">
        <f>IFERROR(IF(ISBLANK(INDEX(บันทึกสต็อครายวัน!$F$122:$F$9999,MATCH(TEXT($B$2,"YYYYMMDD")&amp;"|"&amp;$E$2&amp;"|"&amp;B70,บันทึกสต็อครายวัน!$M$122:$M$9999,0))),"",INDEX(บันทึกสต็อครายวัน!$F$122:$F$9999,MATCH(TEXT($B$2,"YYYYMMDD")&amp;"|"&amp;$E$2&amp;"|"&amp;B70,บันทึกสต็อครายวัน!$M$122:$M$9999,0))),"")</f>
        <v/>
      </c>
      <c r="G70" s="155" t="str">
        <f>IFERROR(IF(ISBLANK(INDEX(บันทึกสต็อครายวัน!$G$122:$G$9999,MATCH(TEXT($B$2,"YYYYMMDD")&amp;"|"&amp;$E$2&amp;"|"&amp;B70,บันทึกสต็อครายวัน!$M$122:$M$9999,0))),"",INDEX(บันทึกสต็อครายวัน!$G$122:$G$9999,MATCH(TEXT($B$2,"YYYYMMDD")&amp;"|"&amp;$E$2&amp;"|"&amp;B70,บันทึกสต็อครายวัน!$M$122:$M$9999,0))),"")</f>
        <v/>
      </c>
      <c r="H70" s="152" t="str">
        <f>IFERROR(IF(ISBLANK(INDEX(บันทึกสต็อครายวัน!$H$122:$H$9999,MATCH(TEXT($B$2,"YYYYMMDD")&amp;"|"&amp;$E$2&amp;"|"&amp;B70,บันทึกสต็อครายวัน!$M$122:$M$9999,0))),"",INDEX(บันทึกสต็อครายวัน!$H$122:$H$9999,MATCH(TEXT($B$2,"YYYYMMDD")&amp;"|"&amp;$E$2&amp;"|"&amp;B70,บันทึกสต็อครายวัน!$M$122:$M$9999,0))),"")</f>
        <v/>
      </c>
      <c r="I70" s="153" t="str">
        <f>IFERROR(IF(ISBLANK(INDEX(บันทึกสต็อครายวัน!$I$122:$I$9999,MATCH(TEXT($B$2,"YYYYMMDD")&amp;"|"&amp;$E$2&amp;"|"&amp;B70,บันทึกสต็อครายวัน!$M$122:$M$9999,0))),"",INDEX(บันทึกสต็อครายวัน!$I$122:$I$9999,MATCH(TEXT($B$2,"YYYYMMDD")&amp;"|"&amp;$E$2&amp;"|"&amp;B70,บันทึกสต็อครายวัน!$M$122:$M$9999,0))),"")</f>
        <v/>
      </c>
      <c r="J70" s="155" t="str">
        <f>IFERROR(IF(ISBLANK(INDEX(บันทึกสต็อครายวัน!$J$122:$J$9999,MATCH(TEXT($B$2,"YYYYMMDD")&amp;"|"&amp;$E$2&amp;"|"&amp;B70,บันทึกสต็อครายวัน!$M$122:$M$9999,0))),"",INDEX(บันทึกสต็อครายวัน!$J$122:$J$9999,MATCH(TEXT($B$2,"YYYYMMDD")&amp;"|"&amp;$E$2&amp;"|"&amp;B70,บันทึกสต็อครายวัน!$M$122:$M$9999,0))),"")</f>
        <v/>
      </c>
      <c r="K70" s="154" t="str">
        <f>IFERROR(IF(ISBLANK(INDEX(บันทึกสต็อครายวัน!$K$122:$K$9999,MATCH(TEXT($B$2,"YYYYMMDD")&amp;"|"&amp;$E$2&amp;"|"&amp;B70,บันทึกสต็อครายวัน!$M$122:$M$9999,0))),"",INDEX(บันทึกสต็อครายวัน!$K$122:$K$9999,MATCH(TEXT($B$2,"YYYYMMDD")&amp;"|"&amp;$E$2&amp;"|"&amp;B70,บันทึกสต็อครายวัน!$M$122:$M$9999,0))),"")</f>
        <v/>
      </c>
      <c r="L70" s="154" t="str">
        <f>IFERROR(IF(ISBLANK(INDEX(บันทึกสต็อครายวัน!$L$122:$L$9999,MATCH(TEXT($B$2,"YYYYMMDD")&amp;"|"&amp;$E$2&amp;"|"&amp;B70,บันทึกสต็อครายวัน!$M$122:$M$9999,0))),"",INDEX(บันทึกสต็อครายวัน!$L$122:$L$9999,MATCH(TEXT($B$2,"YYYYMMDD")&amp;"|"&amp;$E$2&amp;"|"&amp;B70,บันทึกสต็อครายวัน!$M$122:$M$9999,0))),"")</f>
        <v/>
      </c>
    </row>
    <row r="71" spans="1:12" ht="18" customHeight="1">
      <c r="A71" s="162" t="s">
        <v>127</v>
      </c>
      <c r="B71" s="163" t="s">
        <v>132</v>
      </c>
      <c r="C71" s="164" t="s">
        <v>129</v>
      </c>
      <c r="D71" s="149">
        <f>IFERROR(IF(INDEX(บันทึกสต็อครายวัน!$D$122:$D$9999,MATCH(TEXT($B$2,"YYYYMMDD")&amp;"|"&amp;$E$2&amp;"|"&amp;B71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71)*บันทึกสต็อครายวัน!$A$122:$A$9999)),"YYYYMMDD")&amp;"|"&amp;$E$2&amp;"|"&amp;B71,บันทึกสต็อครายวัน!$M$122:$M$9999,0))),""),INDEX(บันทึกสต็อครายวัน!$D$122:$D$9999,MATCH(TEXT($B$2,"YYYYMMDD")&amp;"|"&amp;$E$2&amp;"|"&amp;B71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71)*บันทึกสต็อครายวัน!$A$122:$A$9999)),"YYYYMMDD")&amp;"|"&amp;$E$2&amp;"|"&amp;B71,บันทึกสต็อครายวัน!$M$122:$M$9999,0))),""))</f>
        <v>2</v>
      </c>
      <c r="E71" s="150">
        <f>IFERROR(IF(INDEX(บันทึกสต็อครายวัน!$E$122:$E$9999,MATCH(TEXT($B$2,"YYYYMMDD")&amp;"|"&amp;$E$2&amp;"|"&amp;B71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71)*บันทึกสต็อครายวัน!$A$122:$A$9999)),"YYYYMMDD")&amp;"|"&amp;$E$2&amp;"|"&amp;B71,บันทึกสต็อครายวัน!$M$122:$M$9999,0))),""),INDEX(บันทึกสต็อครายวัน!$E$122:$E$9999,MATCH(TEXT($B$2,"YYYYMMDD")&amp;"|"&amp;$E$2&amp;"|"&amp;B71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71)*บันทึกสต็อครายวัน!$A$122:$A$9999)),"YYYYMMDD")&amp;"|"&amp;$E$2&amp;"|"&amp;B71,บันทึกสต็อครายวัน!$M$122:$M$9999,0))),""))</f>
        <v>0</v>
      </c>
      <c r="F71" s="149" t="str">
        <f>IFERROR(IF(ISBLANK(INDEX(บันทึกสต็อครายวัน!$F$122:$F$9999,MATCH(TEXT($B$2,"YYYYMMDD")&amp;"|"&amp;$E$2&amp;"|"&amp;B71,บันทึกสต็อครายวัน!$M$122:$M$9999,0))),"",INDEX(บันทึกสต็อครายวัน!$F$122:$F$9999,MATCH(TEXT($B$2,"YYYYMMDD")&amp;"|"&amp;$E$2&amp;"|"&amp;B71,บันทึกสต็อครายวัน!$M$122:$M$9999,0))),"")</f>
        <v/>
      </c>
      <c r="G71" s="155" t="str">
        <f>IFERROR(IF(ISBLANK(INDEX(บันทึกสต็อครายวัน!$G$122:$G$9999,MATCH(TEXT($B$2,"YYYYMMDD")&amp;"|"&amp;$E$2&amp;"|"&amp;B71,บันทึกสต็อครายวัน!$M$122:$M$9999,0))),"",INDEX(บันทึกสต็อครายวัน!$G$122:$G$9999,MATCH(TEXT($B$2,"YYYYMMDD")&amp;"|"&amp;$E$2&amp;"|"&amp;B71,บันทึกสต็อครายวัน!$M$122:$M$9999,0))),"")</f>
        <v/>
      </c>
      <c r="H71" s="152" t="str">
        <f>IFERROR(IF(ISBLANK(INDEX(บันทึกสต็อครายวัน!$H$122:$H$9999,MATCH(TEXT($B$2,"YYYYMMDD")&amp;"|"&amp;$E$2&amp;"|"&amp;B71,บันทึกสต็อครายวัน!$M$122:$M$9999,0))),"",INDEX(บันทึกสต็อครายวัน!$H$122:$H$9999,MATCH(TEXT($B$2,"YYYYMMDD")&amp;"|"&amp;$E$2&amp;"|"&amp;B71,บันทึกสต็อครายวัน!$M$122:$M$9999,0))),"")</f>
        <v/>
      </c>
      <c r="I71" s="153" t="str">
        <f>IFERROR(IF(ISBLANK(INDEX(บันทึกสต็อครายวัน!$I$122:$I$9999,MATCH(TEXT($B$2,"YYYYMMDD")&amp;"|"&amp;$E$2&amp;"|"&amp;B71,บันทึกสต็อครายวัน!$M$122:$M$9999,0))),"",INDEX(บันทึกสต็อครายวัน!$I$122:$I$9999,MATCH(TEXT($B$2,"YYYYMMDD")&amp;"|"&amp;$E$2&amp;"|"&amp;B71,บันทึกสต็อครายวัน!$M$122:$M$9999,0))),"")</f>
        <v/>
      </c>
      <c r="J71" s="155" t="str">
        <f>IFERROR(IF(ISBLANK(INDEX(บันทึกสต็อครายวัน!$J$122:$J$9999,MATCH(TEXT($B$2,"YYYYMMDD")&amp;"|"&amp;$E$2&amp;"|"&amp;B71,บันทึกสต็อครายวัน!$M$122:$M$9999,0))),"",INDEX(บันทึกสต็อครายวัน!$J$122:$J$9999,MATCH(TEXT($B$2,"YYYYMMDD")&amp;"|"&amp;$E$2&amp;"|"&amp;B71,บันทึกสต็อครายวัน!$M$122:$M$9999,0))),"")</f>
        <v/>
      </c>
      <c r="K71" s="154" t="str">
        <f>IFERROR(IF(ISBLANK(INDEX(บันทึกสต็อครายวัน!$K$122:$K$9999,MATCH(TEXT($B$2,"YYYYMMDD")&amp;"|"&amp;$E$2&amp;"|"&amp;B71,บันทึกสต็อครายวัน!$M$122:$M$9999,0))),"",INDEX(บันทึกสต็อครายวัน!$K$122:$K$9999,MATCH(TEXT($B$2,"YYYYMMDD")&amp;"|"&amp;$E$2&amp;"|"&amp;B71,บันทึกสต็อครายวัน!$M$122:$M$9999,0))),"")</f>
        <v/>
      </c>
      <c r="L71" s="154" t="str">
        <f>IFERROR(IF(ISBLANK(INDEX(บันทึกสต็อครายวัน!$L$122:$L$9999,MATCH(TEXT($B$2,"YYYYMMDD")&amp;"|"&amp;$E$2&amp;"|"&amp;B71,บันทึกสต็อครายวัน!$M$122:$M$9999,0))),"",INDEX(บันทึกสต็อครายวัน!$L$122:$L$9999,MATCH(TEXT($B$2,"YYYYMMDD")&amp;"|"&amp;$E$2&amp;"|"&amp;B71,บันทึกสต็อครายวัน!$M$122:$M$9999,0))),"")</f>
        <v/>
      </c>
    </row>
    <row r="72" spans="1:12" ht="18" customHeight="1">
      <c r="A72" s="162" t="s">
        <v>127</v>
      </c>
      <c r="B72" s="163" t="s">
        <v>133</v>
      </c>
      <c r="C72" s="164" t="s">
        <v>129</v>
      </c>
      <c r="D72" s="149">
        <f>IFERROR(IF(INDEX(บันทึกสต็อครายวัน!$D$122:$D$9999,MATCH(TEXT($B$2,"YYYYMMDD")&amp;"|"&amp;$E$2&amp;"|"&amp;B72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72)*บันทึกสต็อครายวัน!$A$122:$A$9999)),"YYYYMMDD")&amp;"|"&amp;$E$2&amp;"|"&amp;B72,บันทึกสต็อครายวัน!$M$122:$M$9999,0))),""),INDEX(บันทึกสต็อครายวัน!$D$122:$D$9999,MATCH(TEXT($B$2,"YYYYMMDD")&amp;"|"&amp;$E$2&amp;"|"&amp;B72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72)*บันทึกสต็อครายวัน!$A$122:$A$9999)),"YYYYMMDD")&amp;"|"&amp;$E$2&amp;"|"&amp;B72,บันทึกสต็อครายวัน!$M$122:$M$9999,0))),""))</f>
        <v>2</v>
      </c>
      <c r="E72" s="150">
        <f>IFERROR(IF(INDEX(บันทึกสต็อครายวัน!$E$122:$E$9999,MATCH(TEXT($B$2,"YYYYMMDD")&amp;"|"&amp;$E$2&amp;"|"&amp;B72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72)*บันทึกสต็อครายวัน!$A$122:$A$9999)),"YYYYMMDD")&amp;"|"&amp;$E$2&amp;"|"&amp;B72,บันทึกสต็อครายวัน!$M$122:$M$9999,0))),""),INDEX(บันทึกสต็อครายวัน!$E$122:$E$9999,MATCH(TEXT($B$2,"YYYYMMDD")&amp;"|"&amp;$E$2&amp;"|"&amp;B72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72)*บันทึกสต็อครายวัน!$A$122:$A$9999)),"YYYYMMDD")&amp;"|"&amp;$E$2&amp;"|"&amp;B72,บันทึกสต็อครายวัน!$M$122:$M$9999,0))),""))</f>
        <v>0</v>
      </c>
      <c r="F72" s="149" t="str">
        <f>IFERROR(IF(ISBLANK(INDEX(บันทึกสต็อครายวัน!$F$122:$F$9999,MATCH(TEXT($B$2,"YYYYMMDD")&amp;"|"&amp;$E$2&amp;"|"&amp;B72,บันทึกสต็อครายวัน!$M$122:$M$9999,0))),"",INDEX(บันทึกสต็อครายวัน!$F$122:$F$9999,MATCH(TEXT($B$2,"YYYYMMDD")&amp;"|"&amp;$E$2&amp;"|"&amp;B72,บันทึกสต็อครายวัน!$M$122:$M$9999,0))),"")</f>
        <v/>
      </c>
      <c r="G72" s="155" t="str">
        <f>IFERROR(IF(ISBLANK(INDEX(บันทึกสต็อครายวัน!$G$122:$G$9999,MATCH(TEXT($B$2,"YYYYMMDD")&amp;"|"&amp;$E$2&amp;"|"&amp;B72,บันทึกสต็อครายวัน!$M$122:$M$9999,0))),"",INDEX(บันทึกสต็อครายวัน!$G$122:$G$9999,MATCH(TEXT($B$2,"YYYYMMDD")&amp;"|"&amp;$E$2&amp;"|"&amp;B72,บันทึกสต็อครายวัน!$M$122:$M$9999,0))),"")</f>
        <v/>
      </c>
      <c r="H72" s="152" t="str">
        <f>IFERROR(IF(ISBLANK(INDEX(บันทึกสต็อครายวัน!$H$122:$H$9999,MATCH(TEXT($B$2,"YYYYMMDD")&amp;"|"&amp;$E$2&amp;"|"&amp;B72,บันทึกสต็อครายวัน!$M$122:$M$9999,0))),"",INDEX(บันทึกสต็อครายวัน!$H$122:$H$9999,MATCH(TEXT($B$2,"YYYYMMDD")&amp;"|"&amp;$E$2&amp;"|"&amp;B72,บันทึกสต็อครายวัน!$M$122:$M$9999,0))),"")</f>
        <v/>
      </c>
      <c r="I72" s="153" t="str">
        <f>IFERROR(IF(ISBLANK(INDEX(บันทึกสต็อครายวัน!$I$122:$I$9999,MATCH(TEXT($B$2,"YYYYMMDD")&amp;"|"&amp;$E$2&amp;"|"&amp;B72,บันทึกสต็อครายวัน!$M$122:$M$9999,0))),"",INDEX(บันทึกสต็อครายวัน!$I$122:$I$9999,MATCH(TEXT($B$2,"YYYYMMDD")&amp;"|"&amp;$E$2&amp;"|"&amp;B72,บันทึกสต็อครายวัน!$M$122:$M$9999,0))),"")</f>
        <v/>
      </c>
      <c r="J72" s="155" t="str">
        <f>IFERROR(IF(ISBLANK(INDEX(บันทึกสต็อครายวัน!$J$122:$J$9999,MATCH(TEXT($B$2,"YYYYMMDD")&amp;"|"&amp;$E$2&amp;"|"&amp;B72,บันทึกสต็อครายวัน!$M$122:$M$9999,0))),"",INDEX(บันทึกสต็อครายวัน!$J$122:$J$9999,MATCH(TEXT($B$2,"YYYYMMDD")&amp;"|"&amp;$E$2&amp;"|"&amp;B72,บันทึกสต็อครายวัน!$M$122:$M$9999,0))),"")</f>
        <v/>
      </c>
      <c r="K72" s="154" t="str">
        <f>IFERROR(IF(ISBLANK(INDEX(บันทึกสต็อครายวัน!$K$122:$K$9999,MATCH(TEXT($B$2,"YYYYMMDD")&amp;"|"&amp;$E$2&amp;"|"&amp;B72,บันทึกสต็อครายวัน!$M$122:$M$9999,0))),"",INDEX(บันทึกสต็อครายวัน!$K$122:$K$9999,MATCH(TEXT($B$2,"YYYYMMDD")&amp;"|"&amp;$E$2&amp;"|"&amp;B72,บันทึกสต็อครายวัน!$M$122:$M$9999,0))),"")</f>
        <v/>
      </c>
      <c r="L72" s="154" t="str">
        <f>IFERROR(IF(ISBLANK(INDEX(บันทึกสต็อครายวัน!$L$122:$L$9999,MATCH(TEXT($B$2,"YYYYMMDD")&amp;"|"&amp;$E$2&amp;"|"&amp;B72,บันทึกสต็อครายวัน!$M$122:$M$9999,0))),"",INDEX(บันทึกสต็อครายวัน!$L$122:$L$9999,MATCH(TEXT($B$2,"YYYYMMDD")&amp;"|"&amp;$E$2&amp;"|"&amp;B72,บันทึกสต็อครายวัน!$M$122:$M$9999,0))),"")</f>
        <v/>
      </c>
    </row>
    <row r="73" spans="1:12" ht="18" customHeight="1">
      <c r="A73" s="162" t="s">
        <v>127</v>
      </c>
      <c r="B73" s="163" t="s">
        <v>134</v>
      </c>
      <c r="C73" s="164" t="s">
        <v>129</v>
      </c>
      <c r="D73" s="149">
        <f>IFERROR(IF(INDEX(บันทึกสต็อครายวัน!$D$122:$D$9999,MATCH(TEXT($B$2,"YYYYMMDD")&amp;"|"&amp;$E$2&amp;"|"&amp;B73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73)*บันทึกสต็อครายวัน!$A$122:$A$9999)),"YYYYMMDD")&amp;"|"&amp;$E$2&amp;"|"&amp;B73,บันทึกสต็อครายวัน!$M$122:$M$9999,0))),""),INDEX(บันทึกสต็อครายวัน!$D$122:$D$9999,MATCH(TEXT($B$2,"YYYYMMDD")&amp;"|"&amp;$E$2&amp;"|"&amp;B73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73)*บันทึกสต็อครายวัน!$A$122:$A$9999)),"YYYYMMDD")&amp;"|"&amp;$E$2&amp;"|"&amp;B73,บันทึกสต็อครายวัน!$M$122:$M$9999,0))),""))</f>
        <v>2</v>
      </c>
      <c r="E73" s="150">
        <f>IFERROR(IF(INDEX(บันทึกสต็อครายวัน!$E$122:$E$9999,MATCH(TEXT($B$2,"YYYYMMDD")&amp;"|"&amp;$E$2&amp;"|"&amp;B73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73)*บันทึกสต็อครายวัน!$A$122:$A$9999)),"YYYYMMDD")&amp;"|"&amp;$E$2&amp;"|"&amp;B73,บันทึกสต็อครายวัน!$M$122:$M$9999,0))),""),INDEX(บันทึกสต็อครายวัน!$E$122:$E$9999,MATCH(TEXT($B$2,"YYYYMMDD")&amp;"|"&amp;$E$2&amp;"|"&amp;B73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73)*บันทึกสต็อครายวัน!$A$122:$A$9999)),"YYYYMMDD")&amp;"|"&amp;$E$2&amp;"|"&amp;B73,บันทึกสต็อครายวัน!$M$122:$M$9999,0))),""))</f>
        <v>0</v>
      </c>
      <c r="F73" s="149" t="str">
        <f>IFERROR(IF(ISBLANK(INDEX(บันทึกสต็อครายวัน!$F$122:$F$9999,MATCH(TEXT($B$2,"YYYYMMDD")&amp;"|"&amp;$E$2&amp;"|"&amp;B73,บันทึกสต็อครายวัน!$M$122:$M$9999,0))),"",INDEX(บันทึกสต็อครายวัน!$F$122:$F$9999,MATCH(TEXT($B$2,"YYYYMMDD")&amp;"|"&amp;$E$2&amp;"|"&amp;B73,บันทึกสต็อครายวัน!$M$122:$M$9999,0))),"")</f>
        <v/>
      </c>
      <c r="G73" s="155" t="str">
        <f>IFERROR(IF(ISBLANK(INDEX(บันทึกสต็อครายวัน!$G$122:$G$9999,MATCH(TEXT($B$2,"YYYYMMDD")&amp;"|"&amp;$E$2&amp;"|"&amp;B73,บันทึกสต็อครายวัน!$M$122:$M$9999,0))),"",INDEX(บันทึกสต็อครายวัน!$G$122:$G$9999,MATCH(TEXT($B$2,"YYYYMMDD")&amp;"|"&amp;$E$2&amp;"|"&amp;B73,บันทึกสต็อครายวัน!$M$122:$M$9999,0))),"")</f>
        <v/>
      </c>
      <c r="H73" s="152" t="str">
        <f>IFERROR(IF(ISBLANK(INDEX(บันทึกสต็อครายวัน!$H$122:$H$9999,MATCH(TEXT($B$2,"YYYYMMDD")&amp;"|"&amp;$E$2&amp;"|"&amp;B73,บันทึกสต็อครายวัน!$M$122:$M$9999,0))),"",INDEX(บันทึกสต็อครายวัน!$H$122:$H$9999,MATCH(TEXT($B$2,"YYYYMMDD")&amp;"|"&amp;$E$2&amp;"|"&amp;B73,บันทึกสต็อครายวัน!$M$122:$M$9999,0))),"")</f>
        <v/>
      </c>
      <c r="I73" s="153" t="str">
        <f>IFERROR(IF(ISBLANK(INDEX(บันทึกสต็อครายวัน!$I$122:$I$9999,MATCH(TEXT($B$2,"YYYYMMDD")&amp;"|"&amp;$E$2&amp;"|"&amp;B73,บันทึกสต็อครายวัน!$M$122:$M$9999,0))),"",INDEX(บันทึกสต็อครายวัน!$I$122:$I$9999,MATCH(TEXT($B$2,"YYYYMMDD")&amp;"|"&amp;$E$2&amp;"|"&amp;B73,บันทึกสต็อครายวัน!$M$122:$M$9999,0))),"")</f>
        <v/>
      </c>
      <c r="J73" s="155" t="str">
        <f>IFERROR(IF(ISBLANK(INDEX(บันทึกสต็อครายวัน!$J$122:$J$9999,MATCH(TEXT($B$2,"YYYYMMDD")&amp;"|"&amp;$E$2&amp;"|"&amp;B73,บันทึกสต็อครายวัน!$M$122:$M$9999,0))),"",INDEX(บันทึกสต็อครายวัน!$J$122:$J$9999,MATCH(TEXT($B$2,"YYYYMMDD")&amp;"|"&amp;$E$2&amp;"|"&amp;B73,บันทึกสต็อครายวัน!$M$122:$M$9999,0))),"")</f>
        <v/>
      </c>
      <c r="K73" s="154" t="str">
        <f>IFERROR(IF(ISBLANK(INDEX(บันทึกสต็อครายวัน!$K$122:$K$9999,MATCH(TEXT($B$2,"YYYYMMDD")&amp;"|"&amp;$E$2&amp;"|"&amp;B73,บันทึกสต็อครายวัน!$M$122:$M$9999,0))),"",INDEX(บันทึกสต็อครายวัน!$K$122:$K$9999,MATCH(TEXT($B$2,"YYYYMMDD")&amp;"|"&amp;$E$2&amp;"|"&amp;B73,บันทึกสต็อครายวัน!$M$122:$M$9999,0))),"")</f>
        <v/>
      </c>
      <c r="L73" s="154" t="str">
        <f>IFERROR(IF(ISBLANK(INDEX(บันทึกสต็อครายวัน!$L$122:$L$9999,MATCH(TEXT($B$2,"YYYYMMDD")&amp;"|"&amp;$E$2&amp;"|"&amp;B73,บันทึกสต็อครายวัน!$M$122:$M$9999,0))),"",INDEX(บันทึกสต็อครายวัน!$L$122:$L$9999,MATCH(TEXT($B$2,"YYYYMMDD")&amp;"|"&amp;$E$2&amp;"|"&amp;B73,บันทึกสต็อครายวัน!$M$122:$M$9999,0))),"")</f>
        <v/>
      </c>
    </row>
    <row r="74" spans="1:12" ht="18" customHeight="1">
      <c r="A74" s="162" t="s">
        <v>135</v>
      </c>
      <c r="B74" s="163" t="s">
        <v>136</v>
      </c>
      <c r="C74" s="164" t="s">
        <v>137</v>
      </c>
      <c r="D74" s="149">
        <f>IFERROR(IF(INDEX(บันทึกสต็อครายวัน!$D$122:$D$9999,MATCH(TEXT($B$2,"YYYYMMDD")&amp;"|"&amp;$E$2&amp;"|"&amp;B74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74)*บันทึกสต็อครายวัน!$A$122:$A$9999)),"YYYYMMDD")&amp;"|"&amp;$E$2&amp;"|"&amp;B74,บันทึกสต็อครายวัน!$M$122:$M$9999,0))),""),INDEX(บันทึกสต็อครายวัน!$D$122:$D$9999,MATCH(TEXT($B$2,"YYYYMMDD")&amp;"|"&amp;$E$2&amp;"|"&amp;B74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74)*บันทึกสต็อครายวัน!$A$122:$A$9999)),"YYYYMMDD")&amp;"|"&amp;$E$2&amp;"|"&amp;B74,บันทึกสต็อครายวัน!$M$122:$M$9999,0))),""))</f>
        <v>2</v>
      </c>
      <c r="E74" s="150">
        <f>IFERROR(IF(INDEX(บันทึกสต็อครายวัน!$E$122:$E$9999,MATCH(TEXT($B$2,"YYYYMMDD")&amp;"|"&amp;$E$2&amp;"|"&amp;B74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74)*บันทึกสต็อครายวัน!$A$122:$A$9999)),"YYYYMMDD")&amp;"|"&amp;$E$2&amp;"|"&amp;B74,บันทึกสต็อครายวัน!$M$122:$M$9999,0))),""),INDEX(บันทึกสต็อครายวัน!$E$122:$E$9999,MATCH(TEXT($B$2,"YYYYMMDD")&amp;"|"&amp;$E$2&amp;"|"&amp;B74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74)*บันทึกสต็อครายวัน!$A$122:$A$9999)),"YYYYMMDD")&amp;"|"&amp;$E$2&amp;"|"&amp;B74,บันทึกสต็อครายวัน!$M$122:$M$9999,0))),""))</f>
        <v>0</v>
      </c>
      <c r="F74" s="149" t="str">
        <f>IFERROR(IF(ISBLANK(INDEX(บันทึกสต็อครายวัน!$F$122:$F$9999,MATCH(TEXT($B$2,"YYYYMMDD")&amp;"|"&amp;$E$2&amp;"|"&amp;B74,บันทึกสต็อครายวัน!$M$122:$M$9999,0))),"",INDEX(บันทึกสต็อครายวัน!$F$122:$F$9999,MATCH(TEXT($B$2,"YYYYMMDD")&amp;"|"&amp;$E$2&amp;"|"&amp;B74,บันทึกสต็อครายวัน!$M$122:$M$9999,0))),"")</f>
        <v/>
      </c>
      <c r="G74" s="155" t="str">
        <f>IFERROR(IF(ISBLANK(INDEX(บันทึกสต็อครายวัน!$G$122:$G$9999,MATCH(TEXT($B$2,"YYYYMMDD")&amp;"|"&amp;$E$2&amp;"|"&amp;B74,บันทึกสต็อครายวัน!$M$122:$M$9999,0))),"",INDEX(บันทึกสต็อครายวัน!$G$122:$G$9999,MATCH(TEXT($B$2,"YYYYMMDD")&amp;"|"&amp;$E$2&amp;"|"&amp;B74,บันทึกสต็อครายวัน!$M$122:$M$9999,0))),"")</f>
        <v/>
      </c>
      <c r="H74" s="152" t="str">
        <f>IFERROR(IF(ISBLANK(INDEX(บันทึกสต็อครายวัน!$H$122:$H$9999,MATCH(TEXT($B$2,"YYYYMMDD")&amp;"|"&amp;$E$2&amp;"|"&amp;B74,บันทึกสต็อครายวัน!$M$122:$M$9999,0))),"",INDEX(บันทึกสต็อครายวัน!$H$122:$H$9999,MATCH(TEXT($B$2,"YYYYMMDD")&amp;"|"&amp;$E$2&amp;"|"&amp;B74,บันทึกสต็อครายวัน!$M$122:$M$9999,0))),"")</f>
        <v/>
      </c>
      <c r="I74" s="153" t="str">
        <f>IFERROR(IF(ISBLANK(INDEX(บันทึกสต็อครายวัน!$I$122:$I$9999,MATCH(TEXT($B$2,"YYYYMMDD")&amp;"|"&amp;$E$2&amp;"|"&amp;B74,บันทึกสต็อครายวัน!$M$122:$M$9999,0))),"",INDEX(บันทึกสต็อครายวัน!$I$122:$I$9999,MATCH(TEXT($B$2,"YYYYMMDD")&amp;"|"&amp;$E$2&amp;"|"&amp;B74,บันทึกสต็อครายวัน!$M$122:$M$9999,0))),"")</f>
        <v/>
      </c>
      <c r="J74" s="155" t="str">
        <f>IFERROR(IF(ISBLANK(INDEX(บันทึกสต็อครายวัน!$J$122:$J$9999,MATCH(TEXT($B$2,"YYYYMMDD")&amp;"|"&amp;$E$2&amp;"|"&amp;B74,บันทึกสต็อครายวัน!$M$122:$M$9999,0))),"",INDEX(บันทึกสต็อครายวัน!$J$122:$J$9999,MATCH(TEXT($B$2,"YYYYMMDD")&amp;"|"&amp;$E$2&amp;"|"&amp;B74,บันทึกสต็อครายวัน!$M$122:$M$9999,0))),"")</f>
        <v/>
      </c>
      <c r="K74" s="154" t="str">
        <f>IFERROR(IF(ISBLANK(INDEX(บันทึกสต็อครายวัน!$K$122:$K$9999,MATCH(TEXT($B$2,"YYYYMMDD")&amp;"|"&amp;$E$2&amp;"|"&amp;B74,บันทึกสต็อครายวัน!$M$122:$M$9999,0))),"",INDEX(บันทึกสต็อครายวัน!$K$122:$K$9999,MATCH(TEXT($B$2,"YYYYMMDD")&amp;"|"&amp;$E$2&amp;"|"&amp;B74,บันทึกสต็อครายวัน!$M$122:$M$9999,0))),"")</f>
        <v/>
      </c>
      <c r="L74" s="154" t="str">
        <f>IFERROR(IF(ISBLANK(INDEX(บันทึกสต็อครายวัน!$L$122:$L$9999,MATCH(TEXT($B$2,"YYYYMMDD")&amp;"|"&amp;$E$2&amp;"|"&amp;B74,บันทึกสต็อครายวัน!$M$122:$M$9999,0))),"",INDEX(บันทึกสต็อครายวัน!$L$122:$L$9999,MATCH(TEXT($B$2,"YYYYMMDD")&amp;"|"&amp;$E$2&amp;"|"&amp;B74,บันทึกสต็อครายวัน!$M$122:$M$9999,0))),"")</f>
        <v/>
      </c>
    </row>
    <row r="75" spans="1:12" ht="18" customHeight="1">
      <c r="A75" s="162" t="s">
        <v>135</v>
      </c>
      <c r="B75" s="163" t="s">
        <v>138</v>
      </c>
      <c r="C75" s="164" t="s">
        <v>137</v>
      </c>
      <c r="D75" s="149">
        <f>IFERROR(IF(INDEX(บันทึกสต็อครายวัน!$D$122:$D$9999,MATCH(TEXT($B$2,"YYYYMMDD")&amp;"|"&amp;$E$2&amp;"|"&amp;B75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75)*บันทึกสต็อครายวัน!$A$122:$A$9999)),"YYYYMMDD")&amp;"|"&amp;$E$2&amp;"|"&amp;B75,บันทึกสต็อครายวัน!$M$122:$M$9999,0))),""),INDEX(บันทึกสต็อครายวัน!$D$122:$D$9999,MATCH(TEXT($B$2,"YYYYMMDD")&amp;"|"&amp;$E$2&amp;"|"&amp;B75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75)*บันทึกสต็อครายวัน!$A$122:$A$9999)),"YYYYMMDD")&amp;"|"&amp;$E$2&amp;"|"&amp;B75,บันทึกสต็อครายวัน!$M$122:$M$9999,0))),""))</f>
        <v>0</v>
      </c>
      <c r="E75" s="168">
        <f>IFERROR(IF(INDEX(บันทึกสต็อครายวัน!$E$122:$E$9999,MATCH(TEXT($B$2,"YYYYMMDD")&amp;"|"&amp;$E$2&amp;"|"&amp;B75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75)*บันทึกสต็อครายวัน!$A$122:$A$9999)),"YYYYMMDD")&amp;"|"&amp;$E$2&amp;"|"&amp;B75,บันทึกสต็อครายวัน!$M$122:$M$9999,0))),""),INDEX(บันทึกสต็อครายวัน!$E$122:$E$9999,MATCH(TEXT($B$2,"YYYYMMDD")&amp;"|"&amp;$E$2&amp;"|"&amp;B75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75)*บันทึกสต็อครายวัน!$A$122:$A$9999)),"YYYYMMDD")&amp;"|"&amp;$E$2&amp;"|"&amp;B75,บันทึกสต็อครายวัน!$M$122:$M$9999,0))),""))</f>
        <v>45</v>
      </c>
      <c r="F75" s="155" t="str">
        <f>IFERROR(IF(ISBLANK(INDEX(บันทึกสต็อครายวัน!$F$122:$F$9999,MATCH(TEXT($B$2,"YYYYMMDD")&amp;"|"&amp;$E$2&amp;"|"&amp;B75,บันทึกสต็อครายวัน!$M$122:$M$9999,0))),"",INDEX(บันทึกสต็อครายวัน!$F$122:$F$9999,MATCH(TEXT($B$2,"YYYYMMDD")&amp;"|"&amp;$E$2&amp;"|"&amp;B75,บันทึกสต็อครายวัน!$M$122:$M$9999,0))),"")</f>
        <v/>
      </c>
      <c r="G75" s="149" t="str">
        <f>IFERROR(IF(ISBLANK(INDEX(บันทึกสต็อครายวัน!$G$122:$G$9999,MATCH(TEXT($B$2,"YYYYMMDD")&amp;"|"&amp;$E$2&amp;"|"&amp;B75,บันทึกสต็อครายวัน!$M$122:$M$9999,0))),"",INDEX(บันทึกสต็อครายวัน!$G$122:$G$9999,MATCH(TEXT($B$2,"YYYYMMDD")&amp;"|"&amp;$E$2&amp;"|"&amp;B75,บันทึกสต็อครายวัน!$M$122:$M$9999,0))),"")</f>
        <v/>
      </c>
      <c r="H75" s="152" t="str">
        <f>IFERROR(IF(ISBLANK(INDEX(บันทึกสต็อครายวัน!$H$122:$H$9999,MATCH(TEXT($B$2,"YYYYMMDD")&amp;"|"&amp;$E$2&amp;"|"&amp;B75,บันทึกสต็อครายวัน!$M$122:$M$9999,0))),"",INDEX(บันทึกสต็อครายวัน!$H$122:$H$9999,MATCH(TEXT($B$2,"YYYYMMDD")&amp;"|"&amp;$E$2&amp;"|"&amp;B75,บันทึกสต็อครายวัน!$M$122:$M$9999,0))),"")</f>
        <v/>
      </c>
      <c r="I75" s="155" t="str">
        <f>IFERROR(IF(ISBLANK(INDEX(บันทึกสต็อครายวัน!$I$122:$I$9999,MATCH(TEXT($B$2,"YYYYMMDD")&amp;"|"&amp;$E$2&amp;"|"&amp;B75,บันทึกสต็อครายวัน!$M$122:$M$9999,0))),"",INDEX(บันทึกสต็อครายวัน!$I$122:$I$9999,MATCH(TEXT($B$2,"YYYYMMDD")&amp;"|"&amp;$E$2&amp;"|"&amp;B75,บันทึกสต็อครายวัน!$M$122:$M$9999,0))),"")</f>
        <v/>
      </c>
      <c r="J75" s="153" t="str">
        <f>IFERROR(IF(ISBLANK(INDEX(บันทึกสต็อครายวัน!$J$122:$J$9999,MATCH(TEXT($B$2,"YYYYMMDD")&amp;"|"&amp;$E$2&amp;"|"&amp;B75,บันทึกสต็อครายวัน!$M$122:$M$9999,0))),"",INDEX(บันทึกสต็อครายวัน!$J$122:$J$9999,MATCH(TEXT($B$2,"YYYYMMDD")&amp;"|"&amp;$E$2&amp;"|"&amp;B75,บันทึกสต็อครายวัน!$M$122:$M$9999,0))),"")</f>
        <v/>
      </c>
      <c r="K75" s="154" t="str">
        <f>IFERROR(IF(ISBLANK(INDEX(บันทึกสต็อครายวัน!$K$122:$K$9999,MATCH(TEXT($B$2,"YYYYMMDD")&amp;"|"&amp;$E$2&amp;"|"&amp;B75,บันทึกสต็อครายวัน!$M$122:$M$9999,0))),"",INDEX(บันทึกสต็อครายวัน!$K$122:$K$9999,MATCH(TEXT($B$2,"YYYYMMDD")&amp;"|"&amp;$E$2&amp;"|"&amp;B75,บันทึกสต็อครายวัน!$M$122:$M$9999,0))),"")</f>
        <v/>
      </c>
      <c r="L75" s="154" t="str">
        <f>IFERROR(IF(ISBLANK(INDEX(บันทึกสต็อครายวัน!$L$122:$L$9999,MATCH(TEXT($B$2,"YYYYMMDD")&amp;"|"&amp;$E$2&amp;"|"&amp;B75,บันทึกสต็อครายวัน!$M$122:$M$9999,0))),"",INDEX(บันทึกสต็อครายวัน!$L$122:$L$9999,MATCH(TEXT($B$2,"YYYYMMDD")&amp;"|"&amp;$E$2&amp;"|"&amp;B75,บันทึกสต็อครายวัน!$M$122:$M$9999,0))),"")</f>
        <v/>
      </c>
    </row>
    <row r="76" spans="1:12" ht="18" customHeight="1">
      <c r="A76" s="162" t="s">
        <v>135</v>
      </c>
      <c r="B76" s="163" t="s">
        <v>139</v>
      </c>
      <c r="C76" s="164" t="s">
        <v>137</v>
      </c>
      <c r="D76" s="149">
        <f>IFERROR(IF(INDEX(บันทึกสต็อครายวัน!$D$122:$D$9999,MATCH(TEXT($B$2,"YYYYMMDD")&amp;"|"&amp;$E$2&amp;"|"&amp;B76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76)*บันทึกสต็อครายวัน!$A$122:$A$9999)),"YYYYMMDD")&amp;"|"&amp;$E$2&amp;"|"&amp;B76,บันทึกสต็อครายวัน!$M$122:$M$9999,0))),""),INDEX(บันทึกสต็อครายวัน!$D$122:$D$9999,MATCH(TEXT($B$2,"YYYYMMDD")&amp;"|"&amp;$E$2&amp;"|"&amp;B76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76)*บันทึกสต็อครายวัน!$A$122:$A$9999)),"YYYYMMDD")&amp;"|"&amp;$E$2&amp;"|"&amp;B76,บันทึกสต็อครายวัน!$M$122:$M$9999,0))),""))</f>
        <v>0</v>
      </c>
      <c r="E76" s="168">
        <f>IFERROR(IF(INDEX(บันทึกสต็อครายวัน!$E$122:$E$9999,MATCH(TEXT($B$2,"YYYYMMDD")&amp;"|"&amp;$E$2&amp;"|"&amp;B76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76)*บันทึกสต็อครายวัน!$A$122:$A$9999)),"YYYYMMDD")&amp;"|"&amp;$E$2&amp;"|"&amp;B76,บันทึกสต็อครายวัน!$M$122:$M$9999,0))),""),INDEX(บันทึกสต็อครายวัน!$E$122:$E$9999,MATCH(TEXT($B$2,"YYYYMMDD")&amp;"|"&amp;$E$2&amp;"|"&amp;B76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76)*บันทึกสต็อครายวัน!$A$122:$A$9999)),"YYYYMMDD")&amp;"|"&amp;$E$2&amp;"|"&amp;B76,บันทึกสต็อครายวัน!$M$122:$M$9999,0))),""))</f>
        <v>34</v>
      </c>
      <c r="F76" s="155" t="str">
        <f>IFERROR(IF(ISBLANK(INDEX(บันทึกสต็อครายวัน!$F$122:$F$9999,MATCH(TEXT($B$2,"YYYYMMDD")&amp;"|"&amp;$E$2&amp;"|"&amp;B76,บันทึกสต็อครายวัน!$M$122:$M$9999,0))),"",INDEX(บันทึกสต็อครายวัน!$F$122:$F$9999,MATCH(TEXT($B$2,"YYYYMMDD")&amp;"|"&amp;$E$2&amp;"|"&amp;B76,บันทึกสต็อครายวัน!$M$122:$M$9999,0))),"")</f>
        <v/>
      </c>
      <c r="G76" s="149" t="str">
        <f>IFERROR(IF(ISBLANK(INDEX(บันทึกสต็อครายวัน!$G$122:$G$9999,MATCH(TEXT($B$2,"YYYYMMDD")&amp;"|"&amp;$E$2&amp;"|"&amp;B76,บันทึกสต็อครายวัน!$M$122:$M$9999,0))),"",INDEX(บันทึกสต็อครายวัน!$G$122:$G$9999,MATCH(TEXT($B$2,"YYYYMMDD")&amp;"|"&amp;$E$2&amp;"|"&amp;B76,บันทึกสต็อครายวัน!$M$122:$M$9999,0))),"")</f>
        <v/>
      </c>
      <c r="H76" s="152" t="str">
        <f>IFERROR(IF(ISBLANK(INDEX(บันทึกสต็อครายวัน!$H$122:$H$9999,MATCH(TEXT($B$2,"YYYYMMDD")&amp;"|"&amp;$E$2&amp;"|"&amp;B76,บันทึกสต็อครายวัน!$M$122:$M$9999,0))),"",INDEX(บันทึกสต็อครายวัน!$H$122:$H$9999,MATCH(TEXT($B$2,"YYYYMMDD")&amp;"|"&amp;$E$2&amp;"|"&amp;B76,บันทึกสต็อครายวัน!$M$122:$M$9999,0))),"")</f>
        <v/>
      </c>
      <c r="I76" s="155" t="str">
        <f>IFERROR(IF(ISBLANK(INDEX(บันทึกสต็อครายวัน!$I$122:$I$9999,MATCH(TEXT($B$2,"YYYYMMDD")&amp;"|"&amp;$E$2&amp;"|"&amp;B76,บันทึกสต็อครายวัน!$M$122:$M$9999,0))),"",INDEX(บันทึกสต็อครายวัน!$I$122:$I$9999,MATCH(TEXT($B$2,"YYYYMMDD")&amp;"|"&amp;$E$2&amp;"|"&amp;B76,บันทึกสต็อครายวัน!$M$122:$M$9999,0))),"")</f>
        <v/>
      </c>
      <c r="J76" s="153" t="str">
        <f>IFERROR(IF(ISBLANK(INDEX(บันทึกสต็อครายวัน!$J$122:$J$9999,MATCH(TEXT($B$2,"YYYYMMDD")&amp;"|"&amp;$E$2&amp;"|"&amp;B76,บันทึกสต็อครายวัน!$M$122:$M$9999,0))),"",INDEX(บันทึกสต็อครายวัน!$J$122:$J$9999,MATCH(TEXT($B$2,"YYYYMMDD")&amp;"|"&amp;$E$2&amp;"|"&amp;B76,บันทึกสต็อครายวัน!$M$122:$M$9999,0))),"")</f>
        <v/>
      </c>
      <c r="K76" s="154" t="str">
        <f>IFERROR(IF(ISBLANK(INDEX(บันทึกสต็อครายวัน!$K$122:$K$9999,MATCH(TEXT($B$2,"YYYYMMDD")&amp;"|"&amp;$E$2&amp;"|"&amp;B76,บันทึกสต็อครายวัน!$M$122:$M$9999,0))),"",INDEX(บันทึกสต็อครายวัน!$K$122:$K$9999,MATCH(TEXT($B$2,"YYYYMMDD")&amp;"|"&amp;$E$2&amp;"|"&amp;B76,บันทึกสต็อครายวัน!$M$122:$M$9999,0))),"")</f>
        <v/>
      </c>
      <c r="L76" s="154" t="str">
        <f>IFERROR(IF(ISBLANK(INDEX(บันทึกสต็อครายวัน!$L$122:$L$9999,MATCH(TEXT($B$2,"YYYYMMDD")&amp;"|"&amp;$E$2&amp;"|"&amp;B76,บันทึกสต็อครายวัน!$M$122:$M$9999,0))),"",INDEX(บันทึกสต็อครายวัน!$L$122:$L$9999,MATCH(TEXT($B$2,"YYYYMMDD")&amp;"|"&amp;$E$2&amp;"|"&amp;B76,บันทึกสต็อครายวัน!$M$122:$M$9999,0))),"")</f>
        <v/>
      </c>
    </row>
    <row r="77" spans="1:12" ht="18" customHeight="1">
      <c r="A77" s="162" t="s">
        <v>135</v>
      </c>
      <c r="B77" s="163" t="s">
        <v>140</v>
      </c>
      <c r="C77" s="164" t="s">
        <v>137</v>
      </c>
      <c r="D77" s="149">
        <f>IFERROR(IF(INDEX(บันทึกสต็อครายวัน!$D$122:$D$9999,MATCH(TEXT($B$2,"YYYYMMDD")&amp;"|"&amp;$E$2&amp;"|"&amp;B77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77)*บันทึกสต็อครายวัน!$A$122:$A$9999)),"YYYYMMDD")&amp;"|"&amp;$E$2&amp;"|"&amp;B77,บันทึกสต็อครายวัน!$M$122:$M$9999,0))),""),INDEX(บันทึกสต็อครายวัน!$D$122:$D$9999,MATCH(TEXT($B$2,"YYYYMMDD")&amp;"|"&amp;$E$2&amp;"|"&amp;B77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77)*บันทึกสต็อครายวัน!$A$122:$A$9999)),"YYYYMMDD")&amp;"|"&amp;$E$2&amp;"|"&amp;B77,บันทึกสต็อครายวัน!$M$122:$M$9999,0))),""))</f>
        <v>0</v>
      </c>
      <c r="E77" s="168">
        <f>IFERROR(IF(INDEX(บันทึกสต็อครายวัน!$E$122:$E$9999,MATCH(TEXT($B$2,"YYYYMMDD")&amp;"|"&amp;$E$2&amp;"|"&amp;B77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77)*บันทึกสต็อครายวัน!$A$122:$A$9999)),"YYYYMMDD")&amp;"|"&amp;$E$2&amp;"|"&amp;B77,บันทึกสต็อครายวัน!$M$122:$M$9999,0))),""),INDEX(บันทึกสต็อครายวัน!$E$122:$E$9999,MATCH(TEXT($B$2,"YYYYMMDD")&amp;"|"&amp;$E$2&amp;"|"&amp;B77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77)*บันทึกสต็อครายวัน!$A$122:$A$9999)),"YYYYMMDD")&amp;"|"&amp;$E$2&amp;"|"&amp;B77,บันทึกสต็อครายวัน!$M$122:$M$9999,0))),""))</f>
        <v>21</v>
      </c>
      <c r="F77" s="155" t="str">
        <f>IFERROR(IF(ISBLANK(INDEX(บันทึกสต็อครายวัน!$F$122:$F$9999,MATCH(TEXT($B$2,"YYYYMMDD")&amp;"|"&amp;$E$2&amp;"|"&amp;B77,บันทึกสต็อครายวัน!$M$122:$M$9999,0))),"",INDEX(บันทึกสต็อครายวัน!$F$122:$F$9999,MATCH(TEXT($B$2,"YYYYMMDD")&amp;"|"&amp;$E$2&amp;"|"&amp;B77,บันทึกสต็อครายวัน!$M$122:$M$9999,0))),"")</f>
        <v/>
      </c>
      <c r="G77" s="149" t="str">
        <f>IFERROR(IF(ISBLANK(INDEX(บันทึกสต็อครายวัน!$G$122:$G$9999,MATCH(TEXT($B$2,"YYYYMMDD")&amp;"|"&amp;$E$2&amp;"|"&amp;B77,บันทึกสต็อครายวัน!$M$122:$M$9999,0))),"",INDEX(บันทึกสต็อครายวัน!$G$122:$G$9999,MATCH(TEXT($B$2,"YYYYMMDD")&amp;"|"&amp;$E$2&amp;"|"&amp;B77,บันทึกสต็อครายวัน!$M$122:$M$9999,0))),"")</f>
        <v/>
      </c>
      <c r="H77" s="152" t="str">
        <f>IFERROR(IF(ISBLANK(INDEX(บันทึกสต็อครายวัน!$H$122:$H$9999,MATCH(TEXT($B$2,"YYYYMMDD")&amp;"|"&amp;$E$2&amp;"|"&amp;B77,บันทึกสต็อครายวัน!$M$122:$M$9999,0))),"",INDEX(บันทึกสต็อครายวัน!$H$122:$H$9999,MATCH(TEXT($B$2,"YYYYMMDD")&amp;"|"&amp;$E$2&amp;"|"&amp;B77,บันทึกสต็อครายวัน!$M$122:$M$9999,0))),"")</f>
        <v/>
      </c>
      <c r="I77" s="155" t="str">
        <f>IFERROR(IF(ISBLANK(INDEX(บันทึกสต็อครายวัน!$I$122:$I$9999,MATCH(TEXT($B$2,"YYYYMMDD")&amp;"|"&amp;$E$2&amp;"|"&amp;B77,บันทึกสต็อครายวัน!$M$122:$M$9999,0))),"",INDEX(บันทึกสต็อครายวัน!$I$122:$I$9999,MATCH(TEXT($B$2,"YYYYMMDD")&amp;"|"&amp;$E$2&amp;"|"&amp;B77,บันทึกสต็อครายวัน!$M$122:$M$9999,0))),"")</f>
        <v/>
      </c>
      <c r="J77" s="153" t="str">
        <f>IFERROR(IF(ISBLANK(INDEX(บันทึกสต็อครายวัน!$J$122:$J$9999,MATCH(TEXT($B$2,"YYYYMMDD")&amp;"|"&amp;$E$2&amp;"|"&amp;B77,บันทึกสต็อครายวัน!$M$122:$M$9999,0))),"",INDEX(บันทึกสต็อครายวัน!$J$122:$J$9999,MATCH(TEXT($B$2,"YYYYMMDD")&amp;"|"&amp;$E$2&amp;"|"&amp;B77,บันทึกสต็อครายวัน!$M$122:$M$9999,0))),"")</f>
        <v/>
      </c>
      <c r="K77" s="154" t="str">
        <f>IFERROR(IF(ISBLANK(INDEX(บันทึกสต็อครายวัน!$K$122:$K$9999,MATCH(TEXT($B$2,"YYYYMMDD")&amp;"|"&amp;$E$2&amp;"|"&amp;B77,บันทึกสต็อครายวัน!$M$122:$M$9999,0))),"",INDEX(บันทึกสต็อครายวัน!$K$122:$K$9999,MATCH(TEXT($B$2,"YYYYMMDD")&amp;"|"&amp;$E$2&amp;"|"&amp;B77,บันทึกสต็อครายวัน!$M$122:$M$9999,0))),"")</f>
        <v/>
      </c>
      <c r="L77" s="154" t="str">
        <f>IFERROR(IF(ISBLANK(INDEX(บันทึกสต็อครายวัน!$L$122:$L$9999,MATCH(TEXT($B$2,"YYYYMMDD")&amp;"|"&amp;$E$2&amp;"|"&amp;B77,บันทึกสต็อครายวัน!$M$122:$M$9999,0))),"",INDEX(บันทึกสต็อครายวัน!$L$122:$L$9999,MATCH(TEXT($B$2,"YYYYMMDD")&amp;"|"&amp;$E$2&amp;"|"&amp;B77,บันทึกสต็อครายวัน!$M$122:$M$9999,0))),"")</f>
        <v/>
      </c>
    </row>
    <row r="78" spans="1:12" ht="18" customHeight="1">
      <c r="A78" s="162" t="s">
        <v>135</v>
      </c>
      <c r="B78" s="163" t="s">
        <v>141</v>
      </c>
      <c r="C78" s="164" t="s">
        <v>142</v>
      </c>
      <c r="D78" s="149">
        <f>IFERROR(IF(INDEX(บันทึกสต็อครายวัน!$D$122:$D$9999,MATCH(TEXT($B$2,"YYYYMMDD")&amp;"|"&amp;$E$2&amp;"|"&amp;B78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78)*บันทึกสต็อครายวัน!$A$122:$A$9999)),"YYYYMMDD")&amp;"|"&amp;$E$2&amp;"|"&amp;B78,บันทึกสต็อครายวัน!$M$122:$M$9999,0))),""),INDEX(บันทึกสต็อครายวัน!$D$122:$D$9999,MATCH(TEXT($B$2,"YYYYMMDD")&amp;"|"&amp;$E$2&amp;"|"&amp;B78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78)*บันทึกสต็อครายวัน!$A$122:$A$9999)),"YYYYMMDD")&amp;"|"&amp;$E$2&amp;"|"&amp;B78,บันทึกสต็อครายวัน!$M$122:$M$9999,0))),""))</f>
        <v>0</v>
      </c>
      <c r="E78" s="150">
        <f>IFERROR(IF(INDEX(บันทึกสต็อครายวัน!$E$122:$E$9999,MATCH(TEXT($B$2,"YYYYMMDD")&amp;"|"&amp;$E$2&amp;"|"&amp;B78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78)*บันทึกสต็อครายวัน!$A$122:$A$9999)),"YYYYMMDD")&amp;"|"&amp;$E$2&amp;"|"&amp;B78,บันทึกสต็อครายวัน!$M$122:$M$9999,0))),""),INDEX(บันทึกสต็อครายวัน!$E$122:$E$9999,MATCH(TEXT($B$2,"YYYYMMDD")&amp;"|"&amp;$E$2&amp;"|"&amp;B78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78)*บันทึกสต็อครายวัน!$A$122:$A$9999)),"YYYYMMDD")&amp;"|"&amp;$E$2&amp;"|"&amp;B78,บันทึกสต็อครายวัน!$M$122:$M$9999,0))),""))</f>
        <v>1</v>
      </c>
      <c r="F78" s="151" t="str">
        <f>IFERROR(IF(ISBLANK(INDEX(บันทึกสต็อครายวัน!$F$122:$F$9999,MATCH(TEXT($B$2,"YYYYMMDD")&amp;"|"&amp;$E$2&amp;"|"&amp;B78,บันทึกสต็อครายวัน!$M$122:$M$9999,0))),"",INDEX(บันทึกสต็อครายวัน!$F$122:$F$9999,MATCH(TEXT($B$2,"YYYYMMDD")&amp;"|"&amp;$E$2&amp;"|"&amp;B78,บันทึกสต็อครายวัน!$M$122:$M$9999,0))),"")</f>
        <v/>
      </c>
      <c r="G78" s="161" t="str">
        <f>IFERROR(IF(ISBLANK(INDEX(บันทึกสต็อครายวัน!$G$122:$G$9999,MATCH(TEXT($B$2,"YYYYMMDD")&amp;"|"&amp;$E$2&amp;"|"&amp;B78,บันทึกสต็อครายวัน!$M$122:$M$9999,0))),"",INDEX(บันทึกสต็อครายวัน!$G$122:$G$9999,MATCH(TEXT($B$2,"YYYYMMDD")&amp;"|"&amp;$E$2&amp;"|"&amp;B78,บันทึกสต็อครายวัน!$M$122:$M$9999,0))),"")</f>
        <v/>
      </c>
      <c r="H78" s="152" t="str">
        <f>IFERROR(IF(ISBLANK(INDEX(บันทึกสต็อครายวัน!$H$122:$H$9999,MATCH(TEXT($B$2,"YYYYMMDD")&amp;"|"&amp;$E$2&amp;"|"&amp;B78,บันทึกสต็อครายวัน!$M$122:$M$9999,0))),"",INDEX(บันทึกสต็อครายวัน!$H$122:$H$9999,MATCH(TEXT($B$2,"YYYYMMDD")&amp;"|"&amp;$E$2&amp;"|"&amp;B78,บันทึกสต็อครายวัน!$M$122:$M$9999,0))),"")</f>
        <v/>
      </c>
      <c r="I78" s="155" t="str">
        <f>IFERROR(IF(ISBLANK(INDEX(บันทึกสต็อครายวัน!$I$122:$I$9999,MATCH(TEXT($B$2,"YYYYMMDD")&amp;"|"&amp;$E$2&amp;"|"&amp;B78,บันทึกสต็อครายวัน!$M$122:$M$9999,0))),"",INDEX(บันทึกสต็อครายวัน!$I$122:$I$9999,MATCH(TEXT($B$2,"YYYYMMDD")&amp;"|"&amp;$E$2&amp;"|"&amp;B78,บันทึกสต็อครายวัน!$M$122:$M$9999,0))),"")</f>
        <v/>
      </c>
      <c r="J78" s="153" t="str">
        <f>IFERROR(IF(ISBLANK(INDEX(บันทึกสต็อครายวัน!$J$122:$J$9999,MATCH(TEXT($B$2,"YYYYMMDD")&amp;"|"&amp;$E$2&amp;"|"&amp;B78,บันทึกสต็อครายวัน!$M$122:$M$9999,0))),"",INDEX(บันทึกสต็อครายวัน!$J$122:$J$9999,MATCH(TEXT($B$2,"YYYYMMDD")&amp;"|"&amp;$E$2&amp;"|"&amp;B78,บันทึกสต็อครายวัน!$M$122:$M$9999,0))),"")</f>
        <v/>
      </c>
      <c r="K78" s="154" t="str">
        <f>IFERROR(IF(ISBLANK(INDEX(บันทึกสต็อครายวัน!$K$122:$K$9999,MATCH(TEXT($B$2,"YYYYMMDD")&amp;"|"&amp;$E$2&amp;"|"&amp;B78,บันทึกสต็อครายวัน!$M$122:$M$9999,0))),"",INDEX(บันทึกสต็อครายวัน!$K$122:$K$9999,MATCH(TEXT($B$2,"YYYYMMDD")&amp;"|"&amp;$E$2&amp;"|"&amp;B78,บันทึกสต็อครายวัน!$M$122:$M$9999,0))),"")</f>
        <v/>
      </c>
      <c r="L78" s="154" t="str">
        <f>IFERROR(IF(ISBLANK(INDEX(บันทึกสต็อครายวัน!$L$122:$L$9999,MATCH(TEXT($B$2,"YYYYMMDD")&amp;"|"&amp;$E$2&amp;"|"&amp;B78,บันทึกสต็อครายวัน!$M$122:$M$9999,0))),"",INDEX(บันทึกสต็อครายวัน!$L$122:$L$9999,MATCH(TEXT($B$2,"YYYYMMDD")&amp;"|"&amp;$E$2&amp;"|"&amp;B78,บันทึกสต็อครายวัน!$M$122:$M$9999,0))),"")</f>
        <v/>
      </c>
    </row>
    <row r="79" spans="1:12" ht="18" customHeight="1">
      <c r="A79" s="162" t="s">
        <v>135</v>
      </c>
      <c r="B79" s="163" t="s">
        <v>143</v>
      </c>
      <c r="C79" s="164" t="s">
        <v>146</v>
      </c>
      <c r="D79" s="149">
        <f>IFERROR(IF(INDEX(บันทึกสต็อครายวัน!$D$122:$D$9999,MATCH(TEXT($B$2,"YYYYMMDD")&amp;"|"&amp;$E$2&amp;"|"&amp;B79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79)*บันทึกสต็อครายวัน!$A$122:$A$9999)),"YYYYMMDD")&amp;"|"&amp;$E$2&amp;"|"&amp;B79,บันทึกสต็อครายวัน!$M$122:$M$9999,0))),""),INDEX(บันทึกสต็อครายวัน!$D$122:$D$9999,MATCH(TEXT($B$2,"YYYYMMDD")&amp;"|"&amp;$E$2&amp;"|"&amp;B79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79)*บันทึกสต็อครายวัน!$A$122:$A$9999)),"YYYYMMDD")&amp;"|"&amp;$E$2&amp;"|"&amp;B79,บันทึกสต็อครายวัน!$M$122:$M$9999,0))),""))</f>
        <v>0</v>
      </c>
      <c r="E79" s="168">
        <f>IFERROR(IF(INDEX(บันทึกสต็อครายวัน!$E$122:$E$9999,MATCH(TEXT($B$2,"YYYYMMDD")&amp;"|"&amp;$E$2&amp;"|"&amp;B79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79)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79)*บันทึกสต็อครายวัน!$A$122:$A$9999)),"YYYYMMDD")&amp;"|"&amp;$E$2&amp;"|"&amp;B79,บันทึกสต็อครายวัน!$M$122:$M$9999,0))),""),INDEX(บันทึกสต็อครายวัน!$E$122:$E$9999,MATCH(TEXT($B$2,"YYYYMMDD")&amp;"|"&amp;$E$2&amp;"|"&amp;B79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79)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79)*บันทึกสต็อครายวัน!$A$122:$A$9999)),"YYYYMMDD")&amp;"|"&amp;$E$2&amp;"|"&amp;B79,บันทึกสต็อครายวัน!$M$122:$M$9999,0))),""))</f>
        <v>20</v>
      </c>
      <c r="F79" s="155" t="str">
        <f>IFERROR(IF(ISBLANK(INDEX(บันทึกสต็อครายวัน!$F$122:$F$9999,MATCH(TEXT($B$2,"YYYYMMDD")&amp;"|"&amp;$E$2&amp;"|"&amp;B79,บันทึกสต็อครายวัน!$M$122:$M$9999,0))),"",INDEX(บันทึกสต็อครายวัน!$F$122:$F$9999,MATCH(TEXT($B$2,"YYYYMMDD")&amp;"|"&amp;$E$2&amp;"|"&amp;B79,บันทึกสต็อครายวัน!$M$122:$M$9999,0))),"")</f>
        <v/>
      </c>
      <c r="G79" s="149" t="str">
        <f>IFERROR(IF(ISBLANK(INDEX(บันทึกสต็อครายวัน!$G$122:$G$9999,MATCH(TEXT($B$2,"YYYYMMDD")&amp;"|"&amp;$E$2&amp;"|"&amp;B79,บันทึกสต็อครายวัน!$M$122:$M$9999,0))),"",INDEX(บันทึกสต็อครายวัน!$G$122:$G$9999,MATCH(TEXT($B$2,"YYYYMMDD")&amp;"|"&amp;$E$2&amp;"|"&amp;B79,บันทึกสต็อครายวัน!$M$122:$M$9999,0))),"")</f>
        <v/>
      </c>
      <c r="H79" s="152" t="str">
        <f>IFERROR(IF(ISBLANK(INDEX(บันทึกสต็อครายวัน!$H$122:$H$9999,MATCH(TEXT($B$2,"YYYYMMDD")&amp;"|"&amp;$E$2&amp;"|"&amp;B79,บันทึกสต็อครายวัน!$M$122:$M$9999,0))),"",INDEX(บันทึกสต็อครายวัน!$H$122:$H$9999,MATCH(TEXT($B$2,"YYYYMMDD")&amp;"|"&amp;$E$2&amp;"|"&amp;B79,บันทึกสต็อครายวัน!$M$122:$M$9999,0))),"")</f>
        <v/>
      </c>
      <c r="I79" s="155" t="str">
        <f>IFERROR(IF(ISBLANK(INDEX(บันทึกสต็อครายวัน!$I$122:$I$9999,MATCH(TEXT($B$2,"YYYYMMDD")&amp;"|"&amp;$E$2&amp;"|"&amp;B79,บันทึกสต็อครายวัน!$M$122:$M$9999,0))),"",INDEX(บันทึกสต็อครายวัน!$I$122:$I$9999,MATCH(TEXT($B$2,"YYYYMMDD")&amp;"|"&amp;$E$2&amp;"|"&amp;B79,บันทึกสต็อครายวัน!$M$122:$M$9999,0))),"")</f>
        <v/>
      </c>
      <c r="J79" s="153" t="str">
        <f>IFERROR(IF(ISBLANK(INDEX(บันทึกสต็อครายวัน!$J$122:$J$9999,MATCH(TEXT($B$2,"YYYYMMDD")&amp;"|"&amp;$E$2&amp;"|"&amp;B79,บันทึกสต็อครายวัน!$M$122:$M$9999,0))),"",INDEX(บันทึกสต็อครายวัน!$J$122:$J$9999,MATCH(TEXT($B$2,"YYYYMMDD")&amp;"|"&amp;$E$2&amp;"|"&amp;B79,บันทึกสต็อครายวัน!$M$122:$M$9999,0))),"")</f>
        <v/>
      </c>
      <c r="K79" s="154" t="str">
        <f>IFERROR(IF(ISBLANK(INDEX(บันทึกสต็อครายวัน!$K$122:$K$9999,MATCH(TEXT($B$2,"YYYYMMDD")&amp;"|"&amp;$E$2&amp;"|"&amp;B79,บันทึกสต็อครายวัน!$M$122:$M$9999,0))),"",INDEX(บันทึกสต็อครายวัน!$K$122:$K$9999,MATCH(TEXT($B$2,"YYYYMMDD")&amp;"|"&amp;$E$2&amp;"|"&amp;B79,บันทึกสต็อครายวัน!$M$122:$M$9999,0))),"")</f>
        <v/>
      </c>
      <c r="L79" s="154" t="str">
        <f>IFERROR(IF(ISBLANK(INDEX(บันทึกสต็อครายวัน!$L$122:$L$9999,MATCH(TEXT($B$2,"YYYYMMDD")&amp;"|"&amp;$E$2&amp;"|"&amp;B79,บันทึกสต็อครายวัน!$M$122:$M$9999,0))),"",INDEX(บันทึกสต็อครายวัน!$L$122:$L$9999,MATCH(TEXT($B$2,"YYYYMMDD")&amp;"|"&amp;$E$2&amp;"|"&amp;B79,บันทึกสต็อครายวัน!$M$122:$M$9999,0))),"")</f>
        <v/>
      </c>
    </row>
    <row r="80" spans="1:12" ht="18" customHeight="1">
      <c r="A80" s="162" t="s">
        <v>135</v>
      </c>
      <c r="B80" s="163" t="s">
        <v>145</v>
      </c>
      <c r="C80" s="164" t="s">
        <v>146</v>
      </c>
      <c r="D80" s="149">
        <f>IFERROR(IF(INDEX(บันทึกสต็อครายวัน!$D$122:$D$9999,MATCH(TEXT($B$2,"YYYYMMDD")&amp;"|"&amp;$E$2&amp;"|"&amp;B80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80)*บันทึกสต็อครายวัน!$A$122:$A$9999)),"YYYYMMDD")&amp;"|"&amp;$E$2&amp;"|"&amp;B80,บันทึกสต็อครายวัน!$M$122:$M$9999,0))),""),INDEX(บันทึกสต็อครายวัน!$D$122:$D$9999,MATCH(TEXT($B$2,"YYYYMMDD")&amp;"|"&amp;$E$2&amp;"|"&amp;B80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80)*บันทึกสต็อครายวัน!$A$122:$A$9999)),"YYYYMMDD")&amp;"|"&amp;$E$2&amp;"|"&amp;B80,บันทึกสต็อครายวัน!$M$122:$M$9999,0))),""))</f>
        <v>0</v>
      </c>
      <c r="E80" s="168">
        <f>IFERROR(IF(INDEX(บันทึกสต็อครายวัน!$E$122:$E$9999,MATCH(TEXT($B$2,"YYYYMMDD")&amp;"|"&amp;$E$2&amp;"|"&amp;B80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80)*บันทึกสต็อครายวัน!$A$122:$A$9999)),"YYYYMMDD")&amp;"|"&amp;$E$2&amp;"|"&amp;B80,บันทึกสต็อครายวัน!$M$122:$M$9999,0))),""),INDEX(บันทึกสต็อครายวัน!$E$122:$E$9999,MATCH(TEXT($B$2,"YYYYMMDD")&amp;"|"&amp;$E$2&amp;"|"&amp;B80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80)*บันทึกสต็อครายวัน!$A$122:$A$9999)),"YYYYMMDD")&amp;"|"&amp;$E$2&amp;"|"&amp;B80,บันทึกสต็อครายวัน!$M$122:$M$9999,0))),""))</f>
        <v>59</v>
      </c>
      <c r="F80" s="155" t="str">
        <f>IFERROR(IF(ISBLANK(INDEX(บันทึกสต็อครายวัน!$F$122:$F$9999,MATCH(TEXT($B$2,"YYYYMMDD")&amp;"|"&amp;$E$2&amp;"|"&amp;B80,บันทึกสต็อครายวัน!$M$122:$M$9999,0))),"",INDEX(บันทึกสต็อครายวัน!$F$122:$F$9999,MATCH(TEXT($B$2,"YYYYMMDD")&amp;"|"&amp;$E$2&amp;"|"&amp;B80,บันทึกสต็อครายวัน!$M$122:$M$9999,0))),"")</f>
        <v/>
      </c>
      <c r="G80" s="149" t="str">
        <f>IFERROR(IF(ISBLANK(INDEX(บันทึกสต็อครายวัน!$G$122:$G$9999,MATCH(TEXT($B$2,"YYYYMMDD")&amp;"|"&amp;$E$2&amp;"|"&amp;B80,บันทึกสต็อครายวัน!$M$122:$M$9999,0))),"",INDEX(บันทึกสต็อครายวัน!$G$122:$G$9999,MATCH(TEXT($B$2,"YYYYMMDD")&amp;"|"&amp;$E$2&amp;"|"&amp;B80,บันทึกสต็อครายวัน!$M$122:$M$9999,0))),"")</f>
        <v/>
      </c>
      <c r="H80" s="152" t="str">
        <f>IFERROR(IF(ISBLANK(INDEX(บันทึกสต็อครายวัน!$H$122:$H$9999,MATCH(TEXT($B$2,"YYYYMMDD")&amp;"|"&amp;$E$2&amp;"|"&amp;B80,บันทึกสต็อครายวัน!$M$122:$M$9999,0))),"",INDEX(บันทึกสต็อครายวัน!$H$122:$H$9999,MATCH(TEXT($B$2,"YYYYMMDD")&amp;"|"&amp;$E$2&amp;"|"&amp;B80,บันทึกสต็อครายวัน!$M$122:$M$9999,0))),"")</f>
        <v/>
      </c>
      <c r="I80" s="155" t="str">
        <f>IFERROR(IF(ISBLANK(INDEX(บันทึกสต็อครายวัน!$I$122:$I$9999,MATCH(TEXT($B$2,"YYYYMMDD")&amp;"|"&amp;$E$2&amp;"|"&amp;B80,บันทึกสต็อครายวัน!$M$122:$M$9999,0))),"",INDEX(บันทึกสต็อครายวัน!$I$122:$I$9999,MATCH(TEXT($B$2,"YYYYMMDD")&amp;"|"&amp;$E$2&amp;"|"&amp;B80,บันทึกสต็อครายวัน!$M$122:$M$9999,0))),"")</f>
        <v/>
      </c>
      <c r="J80" s="153" t="str">
        <f>IFERROR(IF(ISBLANK(INDEX(บันทึกสต็อครายวัน!$J$122:$J$9999,MATCH(TEXT($B$2,"YYYYMMDD")&amp;"|"&amp;$E$2&amp;"|"&amp;B80,บันทึกสต็อครายวัน!$M$122:$M$9999,0))),"",INDEX(บันทึกสต็อครายวัน!$J$122:$J$9999,MATCH(TEXT($B$2,"YYYYMMDD")&amp;"|"&amp;$E$2&amp;"|"&amp;B80,บันทึกสต็อครายวัน!$M$122:$M$9999,0))),"")</f>
        <v/>
      </c>
      <c r="K80" s="154" t="str">
        <f>IFERROR(IF(ISBLANK(INDEX(บันทึกสต็อครายวัน!$K$122:$K$9999,MATCH(TEXT($B$2,"YYYYMMDD")&amp;"|"&amp;$E$2&amp;"|"&amp;B80,บันทึกสต็อครายวัน!$M$122:$M$9999,0))),"",INDEX(บันทึกสต็อครายวัน!$K$122:$K$9999,MATCH(TEXT($B$2,"YYYYMMDD")&amp;"|"&amp;$E$2&amp;"|"&amp;B80,บันทึกสต็อครายวัน!$M$122:$M$9999,0))),"")</f>
        <v/>
      </c>
      <c r="L80" s="154" t="str">
        <f>IFERROR(IF(ISBLANK(INDEX(บันทึกสต็อครายวัน!$L$122:$L$9999,MATCH(TEXT($B$2,"YYYYMMDD")&amp;"|"&amp;$E$2&amp;"|"&amp;B80,บันทึกสต็อครายวัน!$M$122:$M$9999,0))),"",INDEX(บันทึกสต็อครายวัน!$L$122:$L$9999,MATCH(TEXT($B$2,"YYYYMMDD")&amp;"|"&amp;$E$2&amp;"|"&amp;B80,บันทึกสต็อครายวัน!$M$122:$M$9999,0))),"")</f>
        <v/>
      </c>
    </row>
    <row r="81" spans="1:12" ht="18" customHeight="1">
      <c r="A81" s="162" t="s">
        <v>135</v>
      </c>
      <c r="B81" s="163" t="s">
        <v>147</v>
      </c>
      <c r="C81" s="164" t="s">
        <v>146</v>
      </c>
      <c r="D81" s="149">
        <f>IFERROR(IF(INDEX(บันทึกสต็อครายวัน!$D$122:$D$9999,MATCH(TEXT($B$2,"YYYYMMDD")&amp;"|"&amp;$E$2&amp;"|"&amp;B81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81)*บันทึกสต็อครายวัน!$A$122:$A$9999)),"YYYYMMDD")&amp;"|"&amp;$E$2&amp;"|"&amp;B81,บันทึกสต็อครายวัน!$M$122:$M$9999,0))),""),INDEX(บันทึกสต็อครายวัน!$D$122:$D$9999,MATCH(TEXT($B$2,"YYYYMMDD")&amp;"|"&amp;$E$2&amp;"|"&amp;B81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81)*บันทึกสต็อครายวัน!$A$122:$A$9999)),"YYYYMMDD")&amp;"|"&amp;$E$2&amp;"|"&amp;B81,บันทึกสต็อครายวัน!$M$122:$M$9999,0))),""))</f>
        <v>0</v>
      </c>
      <c r="E81" s="168">
        <f>IFERROR(IF(INDEX(บันทึกสต็อครายวัน!$E$122:$E$9999,MATCH(TEXT($B$2,"YYYYMMDD")&amp;"|"&amp;$E$2&amp;"|"&amp;B81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81)*บันทึกสต็อครายวัน!$A$122:$A$9999)),"YYYYMMDD")&amp;"|"&amp;$E$2&amp;"|"&amp;B81,บันทึกสต็อครายวัน!$M$122:$M$9999,0))),""),INDEX(บันทึกสต็อครายวัน!$E$122:$E$9999,MATCH(TEXT($B$2,"YYYYMMDD")&amp;"|"&amp;$E$2&amp;"|"&amp;B81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81)*บันทึกสต็อครายวัน!$A$122:$A$9999)),"YYYYMMDD")&amp;"|"&amp;$E$2&amp;"|"&amp;B81,บันทึกสต็อครายวัน!$M$122:$M$9999,0))),""))</f>
        <v>23</v>
      </c>
      <c r="F81" s="155" t="str">
        <f>IFERROR(IF(ISBLANK(INDEX(บันทึกสต็อครายวัน!$F$122:$F$9999,MATCH(TEXT($B$2,"YYYYMMDD")&amp;"|"&amp;$E$2&amp;"|"&amp;B81,บันทึกสต็อครายวัน!$M$122:$M$9999,0))),"",INDEX(บันทึกสต็อครายวัน!$F$122:$F$9999,MATCH(TEXT($B$2,"YYYYMMDD")&amp;"|"&amp;$E$2&amp;"|"&amp;B81,บันทึกสต็อครายวัน!$M$122:$M$9999,0))),"")</f>
        <v/>
      </c>
      <c r="G81" s="149" t="str">
        <f>IFERROR(IF(ISBLANK(INDEX(บันทึกสต็อครายวัน!$G$122:$G$9999,MATCH(TEXT($B$2,"YYYYMMDD")&amp;"|"&amp;$E$2&amp;"|"&amp;B81,บันทึกสต็อครายวัน!$M$122:$M$9999,0))),"",INDEX(บันทึกสต็อครายวัน!$G$122:$G$9999,MATCH(TEXT($B$2,"YYYYMMDD")&amp;"|"&amp;$E$2&amp;"|"&amp;B81,บันทึกสต็อครายวัน!$M$122:$M$9999,0))),"")</f>
        <v/>
      </c>
      <c r="H81" s="152" t="str">
        <f>IFERROR(IF(ISBLANK(INDEX(บันทึกสต็อครายวัน!$H$122:$H$9999,MATCH(TEXT($B$2,"YYYYMMDD")&amp;"|"&amp;$E$2&amp;"|"&amp;B81,บันทึกสต็อครายวัน!$M$122:$M$9999,0))),"",INDEX(บันทึกสต็อครายวัน!$H$122:$H$9999,MATCH(TEXT($B$2,"YYYYMMDD")&amp;"|"&amp;$E$2&amp;"|"&amp;B81,บันทึกสต็อครายวัน!$M$122:$M$9999,0))),"")</f>
        <v/>
      </c>
      <c r="I81" s="155" t="str">
        <f>IFERROR(IF(ISBLANK(INDEX(บันทึกสต็อครายวัน!$I$122:$I$9999,MATCH(TEXT($B$2,"YYYYMMDD")&amp;"|"&amp;$E$2&amp;"|"&amp;B81,บันทึกสต็อครายวัน!$M$122:$M$9999,0))),"",INDEX(บันทึกสต็อครายวัน!$I$122:$I$9999,MATCH(TEXT($B$2,"YYYYMMDD")&amp;"|"&amp;$E$2&amp;"|"&amp;B81,บันทึกสต็อครายวัน!$M$122:$M$9999,0))),"")</f>
        <v/>
      </c>
      <c r="J81" s="153" t="str">
        <f>IFERROR(IF(ISBLANK(INDEX(บันทึกสต็อครายวัน!$J$122:$J$9999,MATCH(TEXT($B$2,"YYYYMMDD")&amp;"|"&amp;$E$2&amp;"|"&amp;B81,บันทึกสต็อครายวัน!$M$122:$M$9999,0))),"",INDEX(บันทึกสต็อครายวัน!$J$122:$J$9999,MATCH(TEXT($B$2,"YYYYMMDD")&amp;"|"&amp;$E$2&amp;"|"&amp;B81,บันทึกสต็อครายวัน!$M$122:$M$9999,0))),"")</f>
        <v/>
      </c>
      <c r="K81" s="154" t="str">
        <f>IFERROR(IF(ISBLANK(INDEX(บันทึกสต็อครายวัน!$K$122:$K$9999,MATCH(TEXT($B$2,"YYYYMMDD")&amp;"|"&amp;$E$2&amp;"|"&amp;B81,บันทึกสต็อครายวัน!$M$122:$M$9999,0))),"",INDEX(บันทึกสต็อครายวัน!$K$122:$K$9999,MATCH(TEXT($B$2,"YYYYMMDD")&amp;"|"&amp;$E$2&amp;"|"&amp;B81,บันทึกสต็อครายวัน!$M$122:$M$9999,0))),"")</f>
        <v/>
      </c>
      <c r="L81" s="154" t="str">
        <f>IFERROR(IF(ISBLANK(INDEX(บันทึกสต็อครายวัน!$L$122:$L$9999,MATCH(TEXT($B$2,"YYYYMMDD")&amp;"|"&amp;$E$2&amp;"|"&amp;B81,บันทึกสต็อครายวัน!$M$122:$M$9999,0))),"",INDEX(บันทึกสต็อครายวัน!$L$122:$L$9999,MATCH(TEXT($B$2,"YYYYMMDD")&amp;"|"&amp;$E$2&amp;"|"&amp;B81,บันทึกสต็อครายวัน!$M$122:$M$9999,0))),"")</f>
        <v/>
      </c>
    </row>
    <row r="82" spans="1:12" ht="18" customHeight="1">
      <c r="A82" s="162" t="s">
        <v>135</v>
      </c>
      <c r="B82" s="163" t="s">
        <v>148</v>
      </c>
      <c r="C82" s="164" t="s">
        <v>149</v>
      </c>
      <c r="D82" s="149">
        <f>IFERROR(IF(INDEX(บันทึกสต็อครายวัน!$D$122:$D$9999,MATCH(TEXT($B$2,"YYYYMMDD")&amp;"|"&amp;$E$2&amp;"|"&amp;B82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82)*บันทึกสต็อครายวัน!$A$122:$A$9999)),"YYYYMMDD")&amp;"|"&amp;$E$2&amp;"|"&amp;B82,บันทึกสต็อครายวัน!$M$122:$M$9999,0))),""),INDEX(บันทึกสต็อครายวัน!$D$122:$D$9999,MATCH(TEXT($B$2,"YYYYMMDD")&amp;"|"&amp;$E$2&amp;"|"&amp;B82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82)*บันทึกสต็อครายวัน!$A$122:$A$9999)),"YYYYMMDD")&amp;"|"&amp;$E$2&amp;"|"&amp;B82,บันทึกสต็อครายวัน!$M$122:$M$9999,0))),""))</f>
        <v>2</v>
      </c>
      <c r="E82" s="150">
        <f>IFERROR(IF(INDEX(บันทึกสต็อครายวัน!$E$122:$E$9999,MATCH(TEXT($B$2,"YYYYMMDD")&amp;"|"&amp;$E$2&amp;"|"&amp;B82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82)*บันทึกสต็อครายวัน!$A$122:$A$9999)),"YYYYMMDD")&amp;"|"&amp;$E$2&amp;"|"&amp;B82,บันทึกสต็อครายวัน!$M$122:$M$9999,0))),""),INDEX(บันทึกสต็อครายวัน!$E$122:$E$9999,MATCH(TEXT($B$2,"YYYYMMDD")&amp;"|"&amp;$E$2&amp;"|"&amp;B82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82)*บันทึกสต็อครายวัน!$A$122:$A$9999)),"YYYYMMDD")&amp;"|"&amp;$E$2&amp;"|"&amp;B82,บันทึกสต็อครายวัน!$M$122:$M$9999,0))),""))</f>
        <v>0</v>
      </c>
      <c r="F82" s="149" t="str">
        <f>IFERROR(IF(ISBLANK(INDEX(บันทึกสต็อครายวัน!$F$122:$F$9999,MATCH(TEXT($B$2,"YYYYMMDD")&amp;"|"&amp;$E$2&amp;"|"&amp;B82,บันทึกสต็อครายวัน!$M$122:$M$9999,0))),"",INDEX(บันทึกสต็อครายวัน!$F$122:$F$9999,MATCH(TEXT($B$2,"YYYYMMDD")&amp;"|"&amp;$E$2&amp;"|"&amp;B82,บันทึกสต็อครายวัน!$M$122:$M$9999,0))),"")</f>
        <v/>
      </c>
      <c r="G82" s="155" t="str">
        <f>IFERROR(IF(ISBLANK(INDEX(บันทึกสต็อครายวัน!$G$122:$G$9999,MATCH(TEXT($B$2,"YYYYMMDD")&amp;"|"&amp;$E$2&amp;"|"&amp;B82,บันทึกสต็อครายวัน!$M$122:$M$9999,0))),"",INDEX(บันทึกสต็อครายวัน!$G$122:$G$9999,MATCH(TEXT($B$2,"YYYYMMDD")&amp;"|"&amp;$E$2&amp;"|"&amp;B82,บันทึกสต็อครายวัน!$M$122:$M$9999,0))),"")</f>
        <v/>
      </c>
      <c r="H82" s="152" t="str">
        <f>IFERROR(IF(ISBLANK(INDEX(บันทึกสต็อครายวัน!$H$122:$H$9999,MATCH(TEXT($B$2,"YYYYMMDD")&amp;"|"&amp;$E$2&amp;"|"&amp;B82,บันทึกสต็อครายวัน!$M$122:$M$9999,0))),"",INDEX(บันทึกสต็อครายวัน!$H$122:$H$9999,MATCH(TEXT($B$2,"YYYYMMDD")&amp;"|"&amp;$E$2&amp;"|"&amp;B82,บันทึกสต็อครายวัน!$M$122:$M$9999,0))),"")</f>
        <v/>
      </c>
      <c r="I82" s="153" t="str">
        <f>IFERROR(IF(ISBLANK(INDEX(บันทึกสต็อครายวัน!$I$122:$I$9999,MATCH(TEXT($B$2,"YYYYMMDD")&amp;"|"&amp;$E$2&amp;"|"&amp;B82,บันทึกสต็อครายวัน!$M$122:$M$9999,0))),"",INDEX(บันทึกสต็อครายวัน!$I$122:$I$9999,MATCH(TEXT($B$2,"YYYYMMDD")&amp;"|"&amp;$E$2&amp;"|"&amp;B82,บันทึกสต็อครายวัน!$M$122:$M$9999,0))),"")</f>
        <v/>
      </c>
      <c r="J82" s="155" t="str">
        <f>IFERROR(IF(ISBLANK(INDEX(บันทึกสต็อครายวัน!$J$122:$J$9999,MATCH(TEXT($B$2,"YYYYMMDD")&amp;"|"&amp;$E$2&amp;"|"&amp;B82,บันทึกสต็อครายวัน!$M$122:$M$9999,0))),"",INDEX(บันทึกสต็อครายวัน!$J$122:$J$9999,MATCH(TEXT($B$2,"YYYYMMDD")&amp;"|"&amp;$E$2&amp;"|"&amp;B82,บันทึกสต็อครายวัน!$M$122:$M$9999,0))),"")</f>
        <v/>
      </c>
      <c r="K82" s="154" t="str">
        <f>IFERROR(IF(ISBLANK(INDEX(บันทึกสต็อครายวัน!$K$122:$K$9999,MATCH(TEXT($B$2,"YYYYMMDD")&amp;"|"&amp;$E$2&amp;"|"&amp;B82,บันทึกสต็อครายวัน!$M$122:$M$9999,0))),"",INDEX(บันทึกสต็อครายวัน!$K$122:$K$9999,MATCH(TEXT($B$2,"YYYYMMDD")&amp;"|"&amp;$E$2&amp;"|"&amp;B82,บันทึกสต็อครายวัน!$M$122:$M$9999,0))),"")</f>
        <v/>
      </c>
      <c r="L82" s="154" t="str">
        <f>IFERROR(IF(ISBLANK(INDEX(บันทึกสต็อครายวัน!$L$122:$L$9999,MATCH(TEXT($B$2,"YYYYMMDD")&amp;"|"&amp;$E$2&amp;"|"&amp;B82,บันทึกสต็อครายวัน!$M$122:$M$9999,0))),"",INDEX(บันทึกสต็อครายวัน!$L$122:$L$9999,MATCH(TEXT($B$2,"YYYYMMDD")&amp;"|"&amp;$E$2&amp;"|"&amp;B82,บันทึกสต็อครายวัน!$M$122:$M$9999,0))),"")</f>
        <v/>
      </c>
    </row>
    <row r="83" spans="1:12" ht="18" customHeight="1">
      <c r="A83" s="162" t="s">
        <v>135</v>
      </c>
      <c r="B83" s="163" t="s">
        <v>150</v>
      </c>
      <c r="C83" s="164" t="s">
        <v>149</v>
      </c>
      <c r="D83" s="149">
        <f>IFERROR(IF(INDEX(บันทึกสต็อครายวัน!$D$122:$D$9999,MATCH(TEXT($B$2,"YYYYMMDD")&amp;"|"&amp;$E$2&amp;"|"&amp;B83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83)*บันทึกสต็อครายวัน!$A$122:$A$9999)),"YYYYMMDD")&amp;"|"&amp;$E$2&amp;"|"&amp;B83,บันทึกสต็อครายวัน!$M$122:$M$9999,0))),""),INDEX(บันทึกสต็อครายวัน!$D$122:$D$9999,MATCH(TEXT($B$2,"YYYYMMDD")&amp;"|"&amp;$E$2&amp;"|"&amp;B83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83)*บันทึกสต็อครายวัน!$A$122:$A$9999)),"YYYYMMDD")&amp;"|"&amp;$E$2&amp;"|"&amp;B83,บันทึกสต็อครายวัน!$M$122:$M$9999,0))),""))</f>
        <v>1</v>
      </c>
      <c r="E83" s="150">
        <f>IFERROR(IF(INDEX(บันทึกสต็อครายวัน!$E$122:$E$9999,MATCH(TEXT($B$2,"YYYYMMDD")&amp;"|"&amp;$E$2&amp;"|"&amp;B83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83)*บันทึกสต็อครายวัน!$A$122:$A$9999)),"YYYYMMDD")&amp;"|"&amp;$E$2&amp;"|"&amp;B83,บันทึกสต็อครายวัน!$M$122:$M$9999,0))),""),INDEX(บันทึกสต็อครายวัน!$E$122:$E$9999,MATCH(TEXT($B$2,"YYYYMMDD")&amp;"|"&amp;$E$2&amp;"|"&amp;B83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83)*บันทึกสต็อครายวัน!$A$122:$A$9999)),"YYYYMMDD")&amp;"|"&amp;$E$2&amp;"|"&amp;B83,บันทึกสต็อครายวัน!$M$122:$M$9999,0))),""))</f>
        <v>0</v>
      </c>
      <c r="F83" s="149" t="str">
        <f>IFERROR(IF(ISBLANK(INDEX(บันทึกสต็อครายวัน!$F$122:$F$9999,MATCH(TEXT($B$2,"YYYYMMDD")&amp;"|"&amp;$E$2&amp;"|"&amp;B83,บันทึกสต็อครายวัน!$M$122:$M$9999,0))),"",INDEX(บันทึกสต็อครายวัน!$F$122:$F$9999,MATCH(TEXT($B$2,"YYYYMMDD")&amp;"|"&amp;$E$2&amp;"|"&amp;B83,บันทึกสต็อครายวัน!$M$122:$M$9999,0))),"")</f>
        <v/>
      </c>
      <c r="G83" s="155" t="str">
        <f>IFERROR(IF(ISBLANK(INDEX(บันทึกสต็อครายวัน!$G$122:$G$9999,MATCH(TEXT($B$2,"YYYYMMDD")&amp;"|"&amp;$E$2&amp;"|"&amp;B83,บันทึกสต็อครายวัน!$M$122:$M$9999,0))),"",INDEX(บันทึกสต็อครายวัน!$G$122:$G$9999,MATCH(TEXT($B$2,"YYYYMMDD")&amp;"|"&amp;$E$2&amp;"|"&amp;B83,บันทึกสต็อครายวัน!$M$122:$M$9999,0))),"")</f>
        <v/>
      </c>
      <c r="H83" s="152" t="str">
        <f>IFERROR(IF(ISBLANK(INDEX(บันทึกสต็อครายวัน!$H$122:$H$9999,MATCH(TEXT($B$2,"YYYYMMDD")&amp;"|"&amp;$E$2&amp;"|"&amp;B83,บันทึกสต็อครายวัน!$M$122:$M$9999,0))),"",INDEX(บันทึกสต็อครายวัน!$H$122:$H$9999,MATCH(TEXT($B$2,"YYYYMMDD")&amp;"|"&amp;$E$2&amp;"|"&amp;B83,บันทึกสต็อครายวัน!$M$122:$M$9999,0))),"")</f>
        <v/>
      </c>
      <c r="I83" s="153" t="str">
        <f>IFERROR(IF(ISBLANK(INDEX(บันทึกสต็อครายวัน!$I$122:$I$9999,MATCH(TEXT($B$2,"YYYYMMDD")&amp;"|"&amp;$E$2&amp;"|"&amp;B83,บันทึกสต็อครายวัน!$M$122:$M$9999,0))),"",INDEX(บันทึกสต็อครายวัน!$I$122:$I$9999,MATCH(TEXT($B$2,"YYYYMMDD")&amp;"|"&amp;$E$2&amp;"|"&amp;B83,บันทึกสต็อครายวัน!$M$122:$M$9999,0))),"")</f>
        <v/>
      </c>
      <c r="J83" s="155" t="str">
        <f>IFERROR(IF(ISBLANK(INDEX(บันทึกสต็อครายวัน!$J$122:$J$9999,MATCH(TEXT($B$2,"YYYYMMDD")&amp;"|"&amp;$E$2&amp;"|"&amp;B83,บันทึกสต็อครายวัน!$M$122:$M$9999,0))),"",INDEX(บันทึกสต็อครายวัน!$J$122:$J$9999,MATCH(TEXT($B$2,"YYYYMMDD")&amp;"|"&amp;$E$2&amp;"|"&amp;B83,บันทึกสต็อครายวัน!$M$122:$M$9999,0))),"")</f>
        <v/>
      </c>
      <c r="K83" s="154" t="str">
        <f>IFERROR(IF(ISBLANK(INDEX(บันทึกสต็อครายวัน!$K$122:$K$9999,MATCH(TEXT($B$2,"YYYYMMDD")&amp;"|"&amp;$E$2&amp;"|"&amp;B83,บันทึกสต็อครายวัน!$M$122:$M$9999,0))),"",INDEX(บันทึกสต็อครายวัน!$K$122:$K$9999,MATCH(TEXT($B$2,"YYYYMMDD")&amp;"|"&amp;$E$2&amp;"|"&amp;B83,บันทึกสต็อครายวัน!$M$122:$M$9999,0))),"")</f>
        <v/>
      </c>
      <c r="L83" s="154" t="str">
        <f>IFERROR(IF(ISBLANK(INDEX(บันทึกสต็อครายวัน!$L$122:$L$9999,MATCH(TEXT($B$2,"YYYYMMDD")&amp;"|"&amp;$E$2&amp;"|"&amp;B83,บันทึกสต็อครายวัน!$M$122:$M$9999,0))),"",INDEX(บันทึกสต็อครายวัน!$L$122:$L$9999,MATCH(TEXT($B$2,"YYYYMMDD")&amp;"|"&amp;$E$2&amp;"|"&amp;B83,บันทึกสต็อครายวัน!$M$122:$M$9999,0))),"")</f>
        <v/>
      </c>
    </row>
    <row r="84" spans="1:12" ht="18" customHeight="1">
      <c r="A84" s="162" t="s">
        <v>135</v>
      </c>
      <c r="B84" s="163" t="s">
        <v>151</v>
      </c>
      <c r="C84" s="164" t="s">
        <v>149</v>
      </c>
      <c r="D84" s="149">
        <f>IFERROR(IF(INDEX(บันทึกสต็อครายวัน!$D$122:$D$9999,MATCH(TEXT($B$2,"YYYYMMDD")&amp;"|"&amp;$E$2&amp;"|"&amp;B84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84)*บันทึกสต็อครายวัน!$A$122:$A$9999)),"YYYYMMDD")&amp;"|"&amp;$E$2&amp;"|"&amp;B84,บันทึกสต็อครายวัน!$M$122:$M$9999,0))),""),INDEX(บันทึกสต็อครายวัน!$D$122:$D$9999,MATCH(TEXT($B$2,"YYYYMMDD")&amp;"|"&amp;$E$2&amp;"|"&amp;B84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84)*บันทึกสต็อครายวัน!$A$122:$A$9999)),"YYYYMMDD")&amp;"|"&amp;$E$2&amp;"|"&amp;B84,บันทึกสต็อครายวัน!$M$122:$M$9999,0))),""))</f>
        <v>2</v>
      </c>
      <c r="E84" s="150">
        <f>IFERROR(IF(INDEX(บันทึกสต็อครายวัน!$E$122:$E$9999,MATCH(TEXT($B$2,"YYYYMMDD")&amp;"|"&amp;$E$2&amp;"|"&amp;B84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84)*บันทึกสต็อครายวัน!$A$122:$A$9999)),"YYYYMMDD")&amp;"|"&amp;$E$2&amp;"|"&amp;B84,บันทึกสต็อครายวัน!$M$122:$M$9999,0))),""),INDEX(บันทึกสต็อครายวัน!$E$122:$E$9999,MATCH(TEXT($B$2,"YYYYMMDD")&amp;"|"&amp;$E$2&amp;"|"&amp;B84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84)*บันทึกสต็อครายวัน!$A$122:$A$9999)),"YYYYMMDD")&amp;"|"&amp;$E$2&amp;"|"&amp;B84,บันทึกสต็อครายวัน!$M$122:$M$9999,0))),""))</f>
        <v>0</v>
      </c>
      <c r="F84" s="149" t="str">
        <f>IFERROR(IF(ISBLANK(INDEX(บันทึกสต็อครายวัน!$F$122:$F$9999,MATCH(TEXT($B$2,"YYYYMMDD")&amp;"|"&amp;$E$2&amp;"|"&amp;B84,บันทึกสต็อครายวัน!$M$122:$M$9999,0))),"",INDEX(บันทึกสต็อครายวัน!$F$122:$F$9999,MATCH(TEXT($B$2,"YYYYMMDD")&amp;"|"&amp;$E$2&amp;"|"&amp;B84,บันทึกสต็อครายวัน!$M$122:$M$9999,0))),"")</f>
        <v/>
      </c>
      <c r="G84" s="155" t="str">
        <f>IFERROR(IF(ISBLANK(INDEX(บันทึกสต็อครายวัน!$G$122:$G$9999,MATCH(TEXT($B$2,"YYYYMMDD")&amp;"|"&amp;$E$2&amp;"|"&amp;B84,บันทึกสต็อครายวัน!$M$122:$M$9999,0))),"",INDEX(บันทึกสต็อครายวัน!$G$122:$G$9999,MATCH(TEXT($B$2,"YYYYMMDD")&amp;"|"&amp;$E$2&amp;"|"&amp;B84,บันทึกสต็อครายวัน!$M$122:$M$9999,0))),"")</f>
        <v/>
      </c>
      <c r="H84" s="152" t="str">
        <f>IFERROR(IF(ISBLANK(INDEX(บันทึกสต็อครายวัน!$H$122:$H$9999,MATCH(TEXT($B$2,"YYYYMMDD")&amp;"|"&amp;$E$2&amp;"|"&amp;B84,บันทึกสต็อครายวัน!$M$122:$M$9999,0))),"",INDEX(บันทึกสต็อครายวัน!$H$122:$H$9999,MATCH(TEXT($B$2,"YYYYMMDD")&amp;"|"&amp;$E$2&amp;"|"&amp;B84,บันทึกสต็อครายวัน!$M$122:$M$9999,0))),"")</f>
        <v/>
      </c>
      <c r="I84" s="153" t="str">
        <f>IFERROR(IF(ISBLANK(INDEX(บันทึกสต็อครายวัน!$I$122:$I$9999,MATCH(TEXT($B$2,"YYYYMMDD")&amp;"|"&amp;$E$2&amp;"|"&amp;B84,บันทึกสต็อครายวัน!$M$122:$M$9999,0))),"",INDEX(บันทึกสต็อครายวัน!$I$122:$I$9999,MATCH(TEXT($B$2,"YYYYMMDD")&amp;"|"&amp;$E$2&amp;"|"&amp;B84,บันทึกสต็อครายวัน!$M$122:$M$9999,0))),"")</f>
        <v/>
      </c>
      <c r="J84" s="155" t="str">
        <f>IFERROR(IF(ISBLANK(INDEX(บันทึกสต็อครายวัน!$J$122:$J$9999,MATCH(TEXT($B$2,"YYYYMMDD")&amp;"|"&amp;$E$2&amp;"|"&amp;B84,บันทึกสต็อครายวัน!$M$122:$M$9999,0))),"",INDEX(บันทึกสต็อครายวัน!$J$122:$J$9999,MATCH(TEXT($B$2,"YYYYMMDD")&amp;"|"&amp;$E$2&amp;"|"&amp;B84,บันทึกสต็อครายวัน!$M$122:$M$9999,0))),"")</f>
        <v/>
      </c>
      <c r="K84" s="154" t="str">
        <f>IFERROR(IF(ISBLANK(INDEX(บันทึกสต็อครายวัน!$K$122:$K$9999,MATCH(TEXT($B$2,"YYYYMMDD")&amp;"|"&amp;$E$2&amp;"|"&amp;B84,บันทึกสต็อครายวัน!$M$122:$M$9999,0))),"",INDEX(บันทึกสต็อครายวัน!$K$122:$K$9999,MATCH(TEXT($B$2,"YYYYMMDD")&amp;"|"&amp;$E$2&amp;"|"&amp;B84,บันทึกสต็อครายวัน!$M$122:$M$9999,0))),"")</f>
        <v/>
      </c>
      <c r="L84" s="154" t="str">
        <f>IFERROR(IF(ISBLANK(INDEX(บันทึกสต็อครายวัน!$L$122:$L$9999,MATCH(TEXT($B$2,"YYYYMMDD")&amp;"|"&amp;$E$2&amp;"|"&amp;B84,บันทึกสต็อครายวัน!$M$122:$M$9999,0))),"",INDEX(บันทึกสต็อครายวัน!$L$122:$L$9999,MATCH(TEXT($B$2,"YYYYMMDD")&amp;"|"&amp;$E$2&amp;"|"&amp;B84,บันทึกสต็อครายวัน!$M$122:$M$9999,0))),"")</f>
        <v/>
      </c>
    </row>
    <row r="85" spans="1:12" ht="18" customHeight="1">
      <c r="A85" s="162" t="s">
        <v>135</v>
      </c>
      <c r="B85" s="163" t="s">
        <v>152</v>
      </c>
      <c r="C85" s="164" t="s">
        <v>149</v>
      </c>
      <c r="D85" s="149">
        <f>IFERROR(IF(INDEX(บันทึกสต็อครายวัน!$D$122:$D$9999,MATCH(TEXT($B$2,"YYYYMMDD")&amp;"|"&amp;$E$2&amp;"|"&amp;B85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85)*บันทึกสต็อครายวัน!$A$122:$A$9999)),"YYYYMMDD")&amp;"|"&amp;$E$2&amp;"|"&amp;B85,บันทึกสต็อครายวัน!$M$122:$M$9999,0))),""),INDEX(บันทึกสต็อครายวัน!$D$122:$D$9999,MATCH(TEXT($B$2,"YYYYMMDD")&amp;"|"&amp;$E$2&amp;"|"&amp;B85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85)*บันทึกสต็อครายวัน!$A$122:$A$9999)),"YYYYMMDD")&amp;"|"&amp;$E$2&amp;"|"&amp;B85,บันทึกสต็อครายวัน!$M$122:$M$9999,0))),""))</f>
        <v>2</v>
      </c>
      <c r="E85" s="150">
        <f>IFERROR(IF(INDEX(บันทึกสต็อครายวัน!$E$122:$E$9999,MATCH(TEXT($B$2,"YYYYMMDD")&amp;"|"&amp;$E$2&amp;"|"&amp;B85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85)*บันทึกสต็อครายวัน!$A$122:$A$9999)),"YYYYMMDD")&amp;"|"&amp;$E$2&amp;"|"&amp;B85,บันทึกสต็อครายวัน!$M$122:$M$9999,0))),""),INDEX(บันทึกสต็อครายวัน!$E$122:$E$9999,MATCH(TEXT($B$2,"YYYYMMDD")&amp;"|"&amp;$E$2&amp;"|"&amp;B85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85)*บันทึกสต็อครายวัน!$A$122:$A$9999)),"YYYYMMDD")&amp;"|"&amp;$E$2&amp;"|"&amp;B85,บันทึกสต็อครายวัน!$M$122:$M$9999,0))),""))</f>
        <v>0</v>
      </c>
      <c r="F85" s="149" t="str">
        <f>IFERROR(IF(ISBLANK(INDEX(บันทึกสต็อครายวัน!$F$122:$F$9999,MATCH(TEXT($B$2,"YYYYMMDD")&amp;"|"&amp;$E$2&amp;"|"&amp;B85,บันทึกสต็อครายวัน!$M$122:$M$9999,0))),"",INDEX(บันทึกสต็อครายวัน!$F$122:$F$9999,MATCH(TEXT($B$2,"YYYYMMDD")&amp;"|"&amp;$E$2&amp;"|"&amp;B85,บันทึกสต็อครายวัน!$M$122:$M$9999,0))),"")</f>
        <v/>
      </c>
      <c r="G85" s="155" t="str">
        <f>IFERROR(IF(ISBLANK(INDEX(บันทึกสต็อครายวัน!$G$122:$G$9999,MATCH(TEXT($B$2,"YYYYMMDD")&amp;"|"&amp;$E$2&amp;"|"&amp;B85,บันทึกสต็อครายวัน!$M$122:$M$9999,0))),"",INDEX(บันทึกสต็อครายวัน!$G$122:$G$9999,MATCH(TEXT($B$2,"YYYYMMDD")&amp;"|"&amp;$E$2&amp;"|"&amp;B85,บันทึกสต็อครายวัน!$M$122:$M$9999,0))),"")</f>
        <v/>
      </c>
      <c r="H85" s="152" t="str">
        <f>IFERROR(IF(ISBLANK(INDEX(บันทึกสต็อครายวัน!$H$122:$H$9999,MATCH(TEXT($B$2,"YYYYMMDD")&amp;"|"&amp;$E$2&amp;"|"&amp;B85,บันทึกสต็อครายวัน!$M$122:$M$9999,0))),"",INDEX(บันทึกสต็อครายวัน!$H$122:$H$9999,MATCH(TEXT($B$2,"YYYYMMDD")&amp;"|"&amp;$E$2&amp;"|"&amp;B85,บันทึกสต็อครายวัน!$M$122:$M$9999,0))),"")</f>
        <v/>
      </c>
      <c r="I85" s="153" t="str">
        <f>IFERROR(IF(ISBLANK(INDEX(บันทึกสต็อครายวัน!$I$122:$I$9999,MATCH(TEXT($B$2,"YYYYMMDD")&amp;"|"&amp;$E$2&amp;"|"&amp;B85,บันทึกสต็อครายวัน!$M$122:$M$9999,0))),"",INDEX(บันทึกสต็อครายวัน!$I$122:$I$9999,MATCH(TEXT($B$2,"YYYYMMDD")&amp;"|"&amp;$E$2&amp;"|"&amp;B85,บันทึกสต็อครายวัน!$M$122:$M$9999,0))),"")</f>
        <v/>
      </c>
      <c r="J85" s="155" t="str">
        <f>IFERROR(IF(ISBLANK(INDEX(บันทึกสต็อครายวัน!$J$122:$J$9999,MATCH(TEXT($B$2,"YYYYMMDD")&amp;"|"&amp;$E$2&amp;"|"&amp;B85,บันทึกสต็อครายวัน!$M$122:$M$9999,0))),"",INDEX(บันทึกสต็อครายวัน!$J$122:$J$9999,MATCH(TEXT($B$2,"YYYYMMDD")&amp;"|"&amp;$E$2&amp;"|"&amp;B85,บันทึกสต็อครายวัน!$M$122:$M$9999,0))),"")</f>
        <v/>
      </c>
      <c r="K85" s="154" t="str">
        <f>IFERROR(IF(ISBLANK(INDEX(บันทึกสต็อครายวัน!$K$122:$K$9999,MATCH(TEXT($B$2,"YYYYMMDD")&amp;"|"&amp;$E$2&amp;"|"&amp;B85,บันทึกสต็อครายวัน!$M$122:$M$9999,0))),"",INDEX(บันทึกสต็อครายวัน!$K$122:$K$9999,MATCH(TEXT($B$2,"YYYYMMDD")&amp;"|"&amp;$E$2&amp;"|"&amp;B85,บันทึกสต็อครายวัน!$M$122:$M$9999,0))),"")</f>
        <v/>
      </c>
      <c r="L85" s="154" t="str">
        <f>IFERROR(IF(ISBLANK(INDEX(บันทึกสต็อครายวัน!$L$122:$L$9999,MATCH(TEXT($B$2,"YYYYMMDD")&amp;"|"&amp;$E$2&amp;"|"&amp;B85,บันทึกสต็อครายวัน!$M$122:$M$9999,0))),"",INDEX(บันทึกสต็อครายวัน!$L$122:$L$9999,MATCH(TEXT($B$2,"YYYYMMDD")&amp;"|"&amp;$E$2&amp;"|"&amp;B85,บันทึกสต็อครายวัน!$M$122:$M$9999,0))),"")</f>
        <v/>
      </c>
    </row>
    <row r="86" spans="1:12" ht="18" customHeight="1">
      <c r="A86" s="162" t="s">
        <v>135</v>
      </c>
      <c r="B86" s="163" t="s">
        <v>153</v>
      </c>
      <c r="C86" s="164" t="s">
        <v>149</v>
      </c>
      <c r="D86" s="149">
        <f>IFERROR(IF(INDEX(บันทึกสต็อครายวัน!$D$122:$D$9999,MATCH(TEXT($B$2,"YYYYMMDD")&amp;"|"&amp;$E$2&amp;"|"&amp;B86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86)*บันทึกสต็อครายวัน!$A$122:$A$9999)),"YYYYMMDD")&amp;"|"&amp;$E$2&amp;"|"&amp;B86,บันทึกสต็อครายวัน!$M$122:$M$9999,0))),""),INDEX(บันทึกสต็อครายวัน!$D$122:$D$9999,MATCH(TEXT($B$2,"YYYYMMDD")&amp;"|"&amp;$E$2&amp;"|"&amp;B86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86)*บันทึกสต็อครายวัน!$A$122:$A$9999)),"YYYYMMDD")&amp;"|"&amp;$E$2&amp;"|"&amp;B86,บันทึกสต็อครายวัน!$M$122:$M$9999,0))),""))</f>
        <v>2</v>
      </c>
      <c r="E86" s="150">
        <f>IFERROR(IF(INDEX(บันทึกสต็อครายวัน!$E$122:$E$9999,MATCH(TEXT($B$2,"YYYYMMDD")&amp;"|"&amp;$E$2&amp;"|"&amp;B86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86)*บันทึกสต็อครายวัน!$A$122:$A$9999)),"YYYYMMDD")&amp;"|"&amp;$E$2&amp;"|"&amp;B86,บันทึกสต็อครายวัน!$M$122:$M$9999,0))),""),INDEX(บันทึกสต็อครายวัน!$E$122:$E$9999,MATCH(TEXT($B$2,"YYYYMMDD")&amp;"|"&amp;$E$2&amp;"|"&amp;B86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86)*บันทึกสต็อครายวัน!$A$122:$A$9999)),"YYYYMMDD")&amp;"|"&amp;$E$2&amp;"|"&amp;B86,บันทึกสต็อครายวัน!$M$122:$M$9999,0))),""))</f>
        <v>0</v>
      </c>
      <c r="F86" s="149" t="str">
        <f>IFERROR(IF(ISBLANK(INDEX(บันทึกสต็อครายวัน!$F$122:$F$9999,MATCH(TEXT($B$2,"YYYYMMDD")&amp;"|"&amp;$E$2&amp;"|"&amp;B86,บันทึกสต็อครายวัน!$M$122:$M$9999,0))),"",INDEX(บันทึกสต็อครายวัน!$F$122:$F$9999,MATCH(TEXT($B$2,"YYYYMMDD")&amp;"|"&amp;$E$2&amp;"|"&amp;B86,บันทึกสต็อครายวัน!$M$122:$M$9999,0))),"")</f>
        <v/>
      </c>
      <c r="G86" s="155" t="str">
        <f>IFERROR(IF(ISBLANK(INDEX(บันทึกสต็อครายวัน!$G$122:$G$9999,MATCH(TEXT($B$2,"YYYYMMDD")&amp;"|"&amp;$E$2&amp;"|"&amp;B86,บันทึกสต็อครายวัน!$M$122:$M$9999,0))),"",INDEX(บันทึกสต็อครายวัน!$G$122:$G$9999,MATCH(TEXT($B$2,"YYYYMMDD")&amp;"|"&amp;$E$2&amp;"|"&amp;B86,บันทึกสต็อครายวัน!$M$122:$M$9999,0))),"")</f>
        <v/>
      </c>
      <c r="H86" s="152" t="str">
        <f>IFERROR(IF(ISBLANK(INDEX(บันทึกสต็อครายวัน!$H$122:$H$9999,MATCH(TEXT($B$2,"YYYYMMDD")&amp;"|"&amp;$E$2&amp;"|"&amp;B86,บันทึกสต็อครายวัน!$M$122:$M$9999,0))),"",INDEX(บันทึกสต็อครายวัน!$H$122:$H$9999,MATCH(TEXT($B$2,"YYYYMMDD")&amp;"|"&amp;$E$2&amp;"|"&amp;B86,บันทึกสต็อครายวัน!$M$122:$M$9999,0))),"")</f>
        <v/>
      </c>
      <c r="I86" s="153" t="str">
        <f>IFERROR(IF(ISBLANK(INDEX(บันทึกสต็อครายวัน!$I$122:$I$9999,MATCH(TEXT($B$2,"YYYYMMDD")&amp;"|"&amp;$E$2&amp;"|"&amp;B86,บันทึกสต็อครายวัน!$M$122:$M$9999,0))),"",INDEX(บันทึกสต็อครายวัน!$I$122:$I$9999,MATCH(TEXT($B$2,"YYYYMMDD")&amp;"|"&amp;$E$2&amp;"|"&amp;B86,บันทึกสต็อครายวัน!$M$122:$M$9999,0))),"")</f>
        <v/>
      </c>
      <c r="J86" s="155" t="str">
        <f>IFERROR(IF(ISBLANK(INDEX(บันทึกสต็อครายวัน!$J$122:$J$9999,MATCH(TEXT($B$2,"YYYYMMDD")&amp;"|"&amp;$E$2&amp;"|"&amp;B86,บันทึกสต็อครายวัน!$M$122:$M$9999,0))),"",INDEX(บันทึกสต็อครายวัน!$J$122:$J$9999,MATCH(TEXT($B$2,"YYYYMMDD")&amp;"|"&amp;$E$2&amp;"|"&amp;B86,บันทึกสต็อครายวัน!$M$122:$M$9999,0))),"")</f>
        <v/>
      </c>
      <c r="K86" s="154" t="str">
        <f>IFERROR(IF(ISBLANK(INDEX(บันทึกสต็อครายวัน!$K$122:$K$9999,MATCH(TEXT($B$2,"YYYYMMDD")&amp;"|"&amp;$E$2&amp;"|"&amp;B86,บันทึกสต็อครายวัน!$M$122:$M$9999,0))),"",INDEX(บันทึกสต็อครายวัน!$K$122:$K$9999,MATCH(TEXT($B$2,"YYYYMMDD")&amp;"|"&amp;$E$2&amp;"|"&amp;B86,บันทึกสต็อครายวัน!$M$122:$M$9999,0))),"")</f>
        <v/>
      </c>
      <c r="L86" s="154" t="str">
        <f>IFERROR(IF(ISBLANK(INDEX(บันทึกสต็อครายวัน!$L$122:$L$9999,MATCH(TEXT($B$2,"YYYYMMDD")&amp;"|"&amp;$E$2&amp;"|"&amp;B86,บันทึกสต็อครายวัน!$M$122:$M$9999,0))),"",INDEX(บันทึกสต็อครายวัน!$L$122:$L$9999,MATCH(TEXT($B$2,"YYYYMMDD")&amp;"|"&amp;$E$2&amp;"|"&amp;B86,บันทึกสต็อครายวัน!$M$122:$M$9999,0))),"")</f>
        <v/>
      </c>
    </row>
    <row r="87" spans="1:12" ht="18" customHeight="1">
      <c r="A87" s="162" t="s">
        <v>154</v>
      </c>
      <c r="B87" s="163" t="s">
        <v>155</v>
      </c>
      <c r="C87" s="164" t="s">
        <v>156</v>
      </c>
      <c r="D87" s="149">
        <f>IFERROR(IF(INDEX(บันทึกสต็อครายวัน!$D$122:$D$9999,MATCH(TEXT($B$2,"YYYYMMDD")&amp;"|"&amp;$E$2&amp;"|"&amp;B87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87)*บันทึกสต็อครายวัน!$A$122:$A$9999)),"YYYYMMDD")&amp;"|"&amp;$E$2&amp;"|"&amp;B87,บันทึกสต็อครายวัน!$M$122:$M$9999,0))),""),INDEX(บันทึกสต็อครายวัน!$D$122:$D$9999,MATCH(TEXT($B$2,"YYYYMMDD")&amp;"|"&amp;$E$2&amp;"|"&amp;B87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87)*บันทึกสต็อครายวัน!$A$122:$A$9999)),"YYYYMMDD")&amp;"|"&amp;$E$2&amp;"|"&amp;B87,บันทึกสต็อครายวัน!$M$122:$M$9999,0))),""))</f>
        <v>0</v>
      </c>
      <c r="E87" s="150">
        <f>IFERROR(IF(INDEX(บันทึกสต็อครายวัน!$E$122:$E$9999,MATCH(TEXT($B$2,"YYYYMMDD")&amp;"|"&amp;$E$2&amp;"|"&amp;B87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87)*บันทึกสต็อครายวัน!$A$122:$A$9999)),"YYYYMMDD")&amp;"|"&amp;$E$2&amp;"|"&amp;B87,บันทึกสต็อครายวัน!$M$122:$M$9999,0))),""),INDEX(บันทึกสต็อครายวัน!$E$122:$E$9999,MATCH(TEXT($B$2,"YYYYMMDD")&amp;"|"&amp;$E$2&amp;"|"&amp;B87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87)*บันทึกสต็อครายวัน!$A$122:$A$9999)),"YYYYMMDD")&amp;"|"&amp;$E$2&amp;"|"&amp;B87,บันทึกสต็อครายวัน!$M$122:$M$9999,0))),""))</f>
        <v>3</v>
      </c>
      <c r="F87" s="155" t="str">
        <f>IFERROR(IF(ISBLANK(INDEX(บันทึกสต็อครายวัน!$F$122:$F$9999,MATCH(TEXT($B$2,"YYYYMMDD")&amp;"|"&amp;$E$2&amp;"|"&amp;B87,บันทึกสต็อครายวัน!$M$122:$M$9999,0))),"",INDEX(บันทึกสต็อครายวัน!$F$122:$F$9999,MATCH(TEXT($B$2,"YYYYMMDD")&amp;"|"&amp;$E$2&amp;"|"&amp;B87,บันทึกสต็อครายวัน!$M$122:$M$9999,0))),"")</f>
        <v/>
      </c>
      <c r="G87" s="149" t="str">
        <f>IFERROR(IF(ISBLANK(INDEX(บันทึกสต็อครายวัน!$G$122:$G$9999,MATCH(TEXT($B$2,"YYYYMMDD")&amp;"|"&amp;$E$2&amp;"|"&amp;B87,บันทึกสต็อครายวัน!$M$122:$M$9999,0))),"",INDEX(บันทึกสต็อครายวัน!$G$122:$G$9999,MATCH(TEXT($B$2,"YYYYMMDD")&amp;"|"&amp;$E$2&amp;"|"&amp;B87,บันทึกสต็อครายวัน!$M$122:$M$9999,0))),"")</f>
        <v/>
      </c>
      <c r="H87" s="152" t="str">
        <f>IFERROR(IF(ISBLANK(INDEX(บันทึกสต็อครายวัน!$H$122:$H$9999,MATCH(TEXT($B$2,"YYYYMMDD")&amp;"|"&amp;$E$2&amp;"|"&amp;B87,บันทึกสต็อครายวัน!$M$122:$M$9999,0))),"",INDEX(บันทึกสต็อครายวัน!$H$122:$H$9999,MATCH(TEXT($B$2,"YYYYMMDD")&amp;"|"&amp;$E$2&amp;"|"&amp;B87,บันทึกสต็อครายวัน!$M$122:$M$9999,0))),"")</f>
        <v/>
      </c>
      <c r="I87" s="155" t="str">
        <f>IFERROR(IF(ISBLANK(INDEX(บันทึกสต็อครายวัน!$I$122:$I$9999,MATCH(TEXT($B$2,"YYYYMMDD")&amp;"|"&amp;$E$2&amp;"|"&amp;B87,บันทึกสต็อครายวัน!$M$122:$M$9999,0))),"",INDEX(บันทึกสต็อครายวัน!$I$122:$I$9999,MATCH(TEXT($B$2,"YYYYMMDD")&amp;"|"&amp;$E$2&amp;"|"&amp;B87,บันทึกสต็อครายวัน!$M$122:$M$9999,0))),"")</f>
        <v/>
      </c>
      <c r="J87" s="153" t="str">
        <f>IFERROR(IF(ISBLANK(INDEX(บันทึกสต็อครายวัน!$J$122:$J$9999,MATCH(TEXT($B$2,"YYYYMMDD")&amp;"|"&amp;$E$2&amp;"|"&amp;B87,บันทึกสต็อครายวัน!$M$122:$M$9999,0))),"",INDEX(บันทึกสต็อครายวัน!$J$122:$J$9999,MATCH(TEXT($B$2,"YYYYMMDD")&amp;"|"&amp;$E$2&amp;"|"&amp;B87,บันทึกสต็อครายวัน!$M$122:$M$9999,0))),"")</f>
        <v/>
      </c>
      <c r="K87" s="154" t="str">
        <f>IFERROR(IF(ISBLANK(INDEX(บันทึกสต็อครายวัน!$K$122:$K$9999,MATCH(TEXT($B$2,"YYYYMMDD")&amp;"|"&amp;$E$2&amp;"|"&amp;B87,บันทึกสต็อครายวัน!$M$122:$M$9999,0))),"",INDEX(บันทึกสต็อครายวัน!$K$122:$K$9999,MATCH(TEXT($B$2,"YYYYMMDD")&amp;"|"&amp;$E$2&amp;"|"&amp;B87,บันทึกสต็อครายวัน!$M$122:$M$9999,0))),"")</f>
        <v/>
      </c>
      <c r="L87" s="154" t="str">
        <f>IFERROR(IF(ISBLANK(INDEX(บันทึกสต็อครายวัน!$L$122:$L$9999,MATCH(TEXT($B$2,"YYYYMMDD")&amp;"|"&amp;$E$2&amp;"|"&amp;B87,บันทึกสต็อครายวัน!$M$122:$M$9999,0))),"",INDEX(บันทึกสต็อครายวัน!$L$122:$L$9999,MATCH(TEXT($B$2,"YYYYMMDD")&amp;"|"&amp;$E$2&amp;"|"&amp;B87,บันทึกสต็อครายวัน!$M$122:$M$9999,0))),"")</f>
        <v/>
      </c>
    </row>
    <row r="88" spans="1:12" ht="18" customHeight="1">
      <c r="A88" s="162" t="s">
        <v>154</v>
      </c>
      <c r="B88" s="163" t="s">
        <v>157</v>
      </c>
      <c r="C88" s="164" t="s">
        <v>158</v>
      </c>
      <c r="D88" s="149">
        <f>IFERROR(IF(INDEX(บันทึกสต็อครายวัน!$D$122:$D$9999,MATCH(TEXT($B$2,"YYYYMMDD")&amp;"|"&amp;$E$2&amp;"|"&amp;B88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88)*บันทึกสต็อครายวัน!$A$122:$A$9999)),"YYYYMMDD")&amp;"|"&amp;$E$2&amp;"|"&amp;B88,บันทึกสต็อครายวัน!$M$122:$M$9999,0))),""),INDEX(บันทึกสต็อครายวัน!$D$122:$D$9999,MATCH(TEXT($B$2,"YYYYMMDD")&amp;"|"&amp;$E$2&amp;"|"&amp;B88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88)*บันทึกสต็อครายวัน!$A$122:$A$9999)),"YYYYMMDD")&amp;"|"&amp;$E$2&amp;"|"&amp;B88,บันทึกสต็อครายวัน!$M$122:$M$9999,0))),""))</f>
        <v>0</v>
      </c>
      <c r="E88" s="150">
        <f>IFERROR(IF(INDEX(บันทึกสต็อครายวัน!$E$122:$E$9999,MATCH(TEXT($B$2,"YYYYMMDD")&amp;"|"&amp;$E$2&amp;"|"&amp;B88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88)*บันทึกสต็อครายวัน!$A$122:$A$9999)),"YYYYMMDD")&amp;"|"&amp;$E$2&amp;"|"&amp;B88,บันทึกสต็อครายวัน!$M$122:$M$9999,0))),""),INDEX(บันทึกสต็อครายวัน!$E$122:$E$9999,MATCH(TEXT($B$2,"YYYYMMDD")&amp;"|"&amp;$E$2&amp;"|"&amp;B88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88)*บันทึกสต็อครายวัน!$A$122:$A$9999)),"YYYYMMDD")&amp;"|"&amp;$E$2&amp;"|"&amp;B88,บันทึกสต็อครายวัน!$M$122:$M$9999,0))),""))</f>
        <v>2</v>
      </c>
      <c r="F88" s="155" t="str">
        <f>IFERROR(IF(ISBLANK(INDEX(บันทึกสต็อครายวัน!$F$122:$F$9999,MATCH(TEXT($B$2,"YYYYMMDD")&amp;"|"&amp;$E$2&amp;"|"&amp;B88,บันทึกสต็อครายวัน!$M$122:$M$9999,0))),"",INDEX(บันทึกสต็อครายวัน!$F$122:$F$9999,MATCH(TEXT($B$2,"YYYYMMDD")&amp;"|"&amp;$E$2&amp;"|"&amp;B88,บันทึกสต็อครายวัน!$M$122:$M$9999,0))),"")</f>
        <v/>
      </c>
      <c r="G88" s="149" t="str">
        <f>IFERROR(IF(ISBLANK(INDEX(บันทึกสต็อครายวัน!$G$122:$G$9999,MATCH(TEXT($B$2,"YYYYMMDD")&amp;"|"&amp;$E$2&amp;"|"&amp;B88,บันทึกสต็อครายวัน!$M$122:$M$9999,0))),"",INDEX(บันทึกสต็อครายวัน!$G$122:$G$9999,MATCH(TEXT($B$2,"YYYYMMDD")&amp;"|"&amp;$E$2&amp;"|"&amp;B88,บันทึกสต็อครายวัน!$M$122:$M$9999,0))),"")</f>
        <v/>
      </c>
      <c r="H88" s="152" t="str">
        <f>IFERROR(IF(ISBLANK(INDEX(บันทึกสต็อครายวัน!$H$122:$H$9999,MATCH(TEXT($B$2,"YYYYMMDD")&amp;"|"&amp;$E$2&amp;"|"&amp;B88,บันทึกสต็อครายวัน!$M$122:$M$9999,0))),"",INDEX(บันทึกสต็อครายวัน!$H$122:$H$9999,MATCH(TEXT($B$2,"YYYYMMDD")&amp;"|"&amp;$E$2&amp;"|"&amp;B88,บันทึกสต็อครายวัน!$M$122:$M$9999,0))),"")</f>
        <v/>
      </c>
      <c r="I88" s="155" t="str">
        <f>IFERROR(IF(ISBLANK(INDEX(บันทึกสต็อครายวัน!$I$122:$I$9999,MATCH(TEXT($B$2,"YYYYMMDD")&amp;"|"&amp;$E$2&amp;"|"&amp;B88,บันทึกสต็อครายวัน!$M$122:$M$9999,0))),"",INDEX(บันทึกสต็อครายวัน!$I$122:$I$9999,MATCH(TEXT($B$2,"YYYYMMDD")&amp;"|"&amp;$E$2&amp;"|"&amp;B88,บันทึกสต็อครายวัน!$M$122:$M$9999,0))),"")</f>
        <v/>
      </c>
      <c r="J88" s="153" t="str">
        <f>IFERROR(IF(ISBLANK(INDEX(บันทึกสต็อครายวัน!$J$122:$J$9999,MATCH(TEXT($B$2,"YYYYMMDD")&amp;"|"&amp;$E$2&amp;"|"&amp;B88,บันทึกสต็อครายวัน!$M$122:$M$9999,0))),"",INDEX(บันทึกสต็อครายวัน!$J$122:$J$9999,MATCH(TEXT($B$2,"YYYYMMDD")&amp;"|"&amp;$E$2&amp;"|"&amp;B88,บันทึกสต็อครายวัน!$M$122:$M$9999,0))),"")</f>
        <v/>
      </c>
      <c r="K88" s="154" t="str">
        <f>IFERROR(IF(ISBLANK(INDEX(บันทึกสต็อครายวัน!$K$122:$K$9999,MATCH(TEXT($B$2,"YYYYMMDD")&amp;"|"&amp;$E$2&amp;"|"&amp;B88,บันทึกสต็อครายวัน!$M$122:$M$9999,0))),"",INDEX(บันทึกสต็อครายวัน!$K$122:$K$9999,MATCH(TEXT($B$2,"YYYYMMDD")&amp;"|"&amp;$E$2&amp;"|"&amp;B88,บันทึกสต็อครายวัน!$M$122:$M$9999,0))),"")</f>
        <v/>
      </c>
      <c r="L88" s="154" t="str">
        <f>IFERROR(IF(ISBLANK(INDEX(บันทึกสต็อครายวัน!$L$122:$L$9999,MATCH(TEXT($B$2,"YYYYMMDD")&amp;"|"&amp;$E$2&amp;"|"&amp;B88,บันทึกสต็อครายวัน!$M$122:$M$9999,0))),"",INDEX(บันทึกสต็อครายวัน!$L$122:$L$9999,MATCH(TEXT($B$2,"YYYYMMDD")&amp;"|"&amp;$E$2&amp;"|"&amp;B88,บันทึกสต็อครายวัน!$M$122:$M$9999,0))),"")</f>
        <v/>
      </c>
    </row>
    <row r="89" spans="1:12" ht="18" customHeight="1">
      <c r="A89" s="162" t="s">
        <v>159</v>
      </c>
      <c r="B89" s="163" t="s">
        <v>160</v>
      </c>
      <c r="C89" s="164" t="s">
        <v>158</v>
      </c>
      <c r="D89" s="149">
        <f>IFERROR(IF(INDEX(บันทึกสต็อครายวัน!$D$122:$D$9999,MATCH(TEXT($B$2,"YYYYMMDD")&amp;"|"&amp;$E$2&amp;"|"&amp;B89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89)*บันทึกสต็อครายวัน!$A$122:$A$9999)),"YYYYMMDD")&amp;"|"&amp;$E$2&amp;"|"&amp;B89,บันทึกสต็อครายวัน!$M$122:$M$9999,0))),""),INDEX(บันทึกสต็อครายวัน!$D$122:$D$9999,MATCH(TEXT($B$2,"YYYYMMDD")&amp;"|"&amp;$E$2&amp;"|"&amp;B89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89)*บันทึกสต็อครายวัน!$A$122:$A$9999)),"YYYYMMDD")&amp;"|"&amp;$E$2&amp;"|"&amp;B89,บันทึกสต็อครายวัน!$M$122:$M$9999,0))),""))</f>
        <v>0</v>
      </c>
      <c r="E89" s="150">
        <f>IFERROR(IF(INDEX(บันทึกสต็อครายวัน!$E$122:$E$9999,MATCH(TEXT($B$2,"YYYYMMDD")&amp;"|"&amp;$E$2&amp;"|"&amp;B89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89)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89)*บันทึกสต็อครายวัน!$A$122:$A$9999)),"YYYYMMDD")&amp;"|"&amp;$E$2&amp;"|"&amp;B89,บันทึกสต็อครายวัน!$M$122:$M$9999,0))),""),INDEX(บันทึกสต็อครายวัน!$E$122:$E$9999,MATCH(TEXT($B$2,"YYYYMMDD")&amp;"|"&amp;$E$2&amp;"|"&amp;B89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89)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89)*บันทึกสต็อครายวัน!$A$122:$A$9999)),"YYYYMMDD")&amp;"|"&amp;$E$2&amp;"|"&amp;B89,บันทึกสต็อครายวัน!$M$122:$M$9999,0))),""))</f>
        <v>2</v>
      </c>
      <c r="F89" s="155" t="str">
        <f>IFERROR(IF(ISBLANK(INDEX(บันทึกสต็อครายวัน!$F$122:$F$9999,MATCH(TEXT($B$2,"YYYYMMDD")&amp;"|"&amp;$E$2&amp;"|"&amp;B89,บันทึกสต็อครายวัน!$M$122:$M$9999,0))),"",INDEX(บันทึกสต็อครายวัน!$F$122:$F$9999,MATCH(TEXT($B$2,"YYYYMMDD")&amp;"|"&amp;$E$2&amp;"|"&amp;B89,บันทึกสต็อครายวัน!$M$122:$M$9999,0))),"")</f>
        <v/>
      </c>
      <c r="G89" s="149" t="str">
        <f>IFERROR(IF(ISBLANK(INDEX(บันทึกสต็อครายวัน!$G$122:$G$9999,MATCH(TEXT($B$2,"YYYYMMDD")&amp;"|"&amp;$E$2&amp;"|"&amp;B89,บันทึกสต็อครายวัน!$M$122:$M$9999,0))),"",INDEX(บันทึกสต็อครายวัน!$G$122:$G$9999,MATCH(TEXT($B$2,"YYYYMMDD")&amp;"|"&amp;$E$2&amp;"|"&amp;B89,บันทึกสต็อครายวัน!$M$122:$M$9999,0))),"")</f>
        <v/>
      </c>
      <c r="H89" s="152" t="str">
        <f>IFERROR(IF(ISBLANK(INDEX(บันทึกสต็อครายวัน!$H$122:$H$9999,MATCH(TEXT($B$2,"YYYYMMDD")&amp;"|"&amp;$E$2&amp;"|"&amp;B89,บันทึกสต็อครายวัน!$M$122:$M$9999,0))),"",INDEX(บันทึกสต็อครายวัน!$H$122:$H$9999,MATCH(TEXT($B$2,"YYYYMMDD")&amp;"|"&amp;$E$2&amp;"|"&amp;B89,บันทึกสต็อครายวัน!$M$122:$M$9999,0))),"")</f>
        <v/>
      </c>
      <c r="I89" s="155" t="str">
        <f>IFERROR(IF(ISBLANK(INDEX(บันทึกสต็อครายวัน!$I$122:$I$9999,MATCH(TEXT($B$2,"YYYYMMDD")&amp;"|"&amp;$E$2&amp;"|"&amp;B89,บันทึกสต็อครายวัน!$M$122:$M$9999,0))),"",INDEX(บันทึกสต็อครายวัน!$I$122:$I$9999,MATCH(TEXT($B$2,"YYYYMMDD")&amp;"|"&amp;$E$2&amp;"|"&amp;B89,บันทึกสต็อครายวัน!$M$122:$M$9999,0))),"")</f>
        <v/>
      </c>
      <c r="J89" s="153" t="str">
        <f>IFERROR(IF(ISBLANK(INDEX(บันทึกสต็อครายวัน!$J$122:$J$9999,MATCH(TEXT($B$2,"YYYYMMDD")&amp;"|"&amp;$E$2&amp;"|"&amp;B89,บันทึกสต็อครายวัน!$M$122:$M$9999,0))),"",INDEX(บันทึกสต็อครายวัน!$J$122:$J$9999,MATCH(TEXT($B$2,"YYYYMMDD")&amp;"|"&amp;$E$2&amp;"|"&amp;B89,บันทึกสต็อครายวัน!$M$122:$M$9999,0))),"")</f>
        <v/>
      </c>
      <c r="K89" s="154" t="str">
        <f>IFERROR(IF(ISBLANK(INDEX(บันทึกสต็อครายวัน!$K$122:$K$9999,MATCH(TEXT($B$2,"YYYYMMDD")&amp;"|"&amp;$E$2&amp;"|"&amp;B89,บันทึกสต็อครายวัน!$M$122:$M$9999,0))),"",INDEX(บันทึกสต็อครายวัน!$K$122:$K$9999,MATCH(TEXT($B$2,"YYYYMMDD")&amp;"|"&amp;$E$2&amp;"|"&amp;B89,บันทึกสต็อครายวัน!$M$122:$M$9999,0))),"")</f>
        <v/>
      </c>
      <c r="L89" s="154" t="str">
        <f>IFERROR(IF(ISBLANK(INDEX(บันทึกสต็อครายวัน!$L$122:$L$9999,MATCH(TEXT($B$2,"YYYYMMDD")&amp;"|"&amp;$E$2&amp;"|"&amp;B89,บันทึกสต็อครายวัน!$M$122:$M$9999,0))),"",INDEX(บันทึกสต็อครายวัน!$L$122:$L$9999,MATCH(TEXT($B$2,"YYYYMMDD")&amp;"|"&amp;$E$2&amp;"|"&amp;B89,บันทึกสต็อครายวัน!$M$122:$M$9999,0))),"")</f>
        <v/>
      </c>
    </row>
    <row r="90" spans="1:12" ht="18" customHeight="1">
      <c r="A90" s="162" t="s">
        <v>159</v>
      </c>
      <c r="B90" s="163" t="s">
        <v>161</v>
      </c>
      <c r="C90" s="164" t="s">
        <v>162</v>
      </c>
      <c r="D90" s="149">
        <f>IFERROR(IF(INDEX(บันทึกสต็อครายวัน!$D$122:$D$9999,MATCH(TEXT($B$2,"YYYYMMDD")&amp;"|"&amp;$E$2&amp;"|"&amp;B90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90)*บันทึกสต็อครายวัน!$A$122:$A$9999)),"YYYYMMDD")&amp;"|"&amp;$E$2&amp;"|"&amp;B90,บันทึกสต็อครายวัน!$M$122:$M$9999,0))),""),INDEX(บันทึกสต็อครายวัน!$D$122:$D$9999,MATCH(TEXT($B$2,"YYYYMMDD")&amp;"|"&amp;$E$2&amp;"|"&amp;B90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90)*บันทึกสต็อครายวัน!$A$122:$A$9999)),"YYYYMMDD")&amp;"|"&amp;$E$2&amp;"|"&amp;B90,บันทึกสต็อครายวัน!$M$122:$M$9999,0))),""))</f>
        <v>1</v>
      </c>
      <c r="E90" s="150">
        <f>IFERROR(IF(INDEX(บันทึกสต็อครายวัน!$E$122:$E$9999,MATCH(TEXT($B$2,"YYYYMMDD")&amp;"|"&amp;$E$2&amp;"|"&amp;B90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90)*บันทึกสต็อครายวัน!$A$122:$A$9999)),"YYYYMMDD")&amp;"|"&amp;$E$2&amp;"|"&amp;B90,บันทึกสต็อครายวัน!$M$122:$M$9999,0))),""),INDEX(บันทึกสต็อครายวัน!$E$122:$E$9999,MATCH(TEXT($B$2,"YYYYMMDD")&amp;"|"&amp;$E$2&amp;"|"&amp;B90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90)*บันทึกสต็อครายวัน!$A$122:$A$9999)),"YYYYMMDD")&amp;"|"&amp;$E$2&amp;"|"&amp;B90,บันทึกสต็อครายวัน!$M$122:$M$9999,0))),""))</f>
        <v>0</v>
      </c>
      <c r="F90" s="149" t="str">
        <f>IFERROR(IF(ISBLANK(INDEX(บันทึกสต็อครายวัน!$F$122:$F$9999,MATCH(TEXT($B$2,"YYYYMMDD")&amp;"|"&amp;$E$2&amp;"|"&amp;B90,บันทึกสต็อครายวัน!$M$122:$M$9999,0))),"",INDEX(บันทึกสต็อครายวัน!$F$122:$F$9999,MATCH(TEXT($B$2,"YYYYMMDD")&amp;"|"&amp;$E$2&amp;"|"&amp;B90,บันทึกสต็อครายวัน!$M$122:$M$9999,0))),"")</f>
        <v/>
      </c>
      <c r="G90" s="155" t="str">
        <f>IFERROR(IF(ISBLANK(INDEX(บันทึกสต็อครายวัน!$G$122:$G$9999,MATCH(TEXT($B$2,"YYYYMMDD")&amp;"|"&amp;$E$2&amp;"|"&amp;B90,บันทึกสต็อครายวัน!$M$122:$M$9999,0))),"",INDEX(บันทึกสต็อครายวัน!$G$122:$G$9999,MATCH(TEXT($B$2,"YYYYMMDD")&amp;"|"&amp;$E$2&amp;"|"&amp;B90,บันทึกสต็อครายวัน!$M$122:$M$9999,0))),"")</f>
        <v/>
      </c>
      <c r="H90" s="152" t="str">
        <f>IFERROR(IF(ISBLANK(INDEX(บันทึกสต็อครายวัน!$H$122:$H$9999,MATCH(TEXT($B$2,"YYYYMMDD")&amp;"|"&amp;$E$2&amp;"|"&amp;B90,บันทึกสต็อครายวัน!$M$122:$M$9999,0))),"",INDEX(บันทึกสต็อครายวัน!$H$122:$H$9999,MATCH(TEXT($B$2,"YYYYMMDD")&amp;"|"&amp;$E$2&amp;"|"&amp;B90,บันทึกสต็อครายวัน!$M$122:$M$9999,0))),"")</f>
        <v/>
      </c>
      <c r="I90" s="153" t="str">
        <f>IFERROR(IF(ISBLANK(INDEX(บันทึกสต็อครายวัน!$I$122:$I$9999,MATCH(TEXT($B$2,"YYYYMMDD")&amp;"|"&amp;$E$2&amp;"|"&amp;B90,บันทึกสต็อครายวัน!$M$122:$M$9999,0))),"",INDEX(บันทึกสต็อครายวัน!$I$122:$I$9999,MATCH(TEXT($B$2,"YYYYMMDD")&amp;"|"&amp;$E$2&amp;"|"&amp;B90,บันทึกสต็อครายวัน!$M$122:$M$9999,0))),"")</f>
        <v/>
      </c>
      <c r="J90" s="155" t="str">
        <f>IFERROR(IF(ISBLANK(INDEX(บันทึกสต็อครายวัน!$J$122:$J$9999,MATCH(TEXT($B$2,"YYYYMMDD")&amp;"|"&amp;$E$2&amp;"|"&amp;B90,บันทึกสต็อครายวัน!$M$122:$M$9999,0))),"",INDEX(บันทึกสต็อครายวัน!$J$122:$J$9999,MATCH(TEXT($B$2,"YYYYMMDD")&amp;"|"&amp;$E$2&amp;"|"&amp;B90,บันทึกสต็อครายวัน!$M$122:$M$9999,0))),"")</f>
        <v/>
      </c>
      <c r="K90" s="154" t="str">
        <f>IFERROR(IF(ISBLANK(INDEX(บันทึกสต็อครายวัน!$K$122:$K$9999,MATCH(TEXT($B$2,"YYYYMMDD")&amp;"|"&amp;$E$2&amp;"|"&amp;B90,บันทึกสต็อครายวัน!$M$122:$M$9999,0))),"",INDEX(บันทึกสต็อครายวัน!$K$122:$K$9999,MATCH(TEXT($B$2,"YYYYMMDD")&amp;"|"&amp;$E$2&amp;"|"&amp;B90,บันทึกสต็อครายวัน!$M$122:$M$9999,0))),"")</f>
        <v/>
      </c>
      <c r="L90" s="154" t="str">
        <f>IFERROR(IF(ISBLANK(INDEX(บันทึกสต็อครายวัน!$L$122:$L$9999,MATCH(TEXT($B$2,"YYYYMMDD")&amp;"|"&amp;$E$2&amp;"|"&amp;B90,บันทึกสต็อครายวัน!$M$122:$M$9999,0))),"",INDEX(บันทึกสต็อครายวัน!$L$122:$L$9999,MATCH(TEXT($B$2,"YYYYMMDD")&amp;"|"&amp;$E$2&amp;"|"&amp;B90,บันทึกสต็อครายวัน!$M$122:$M$9999,0))),"")</f>
        <v/>
      </c>
    </row>
    <row r="91" spans="1:12" ht="18" customHeight="1">
      <c r="A91" s="162" t="s">
        <v>159</v>
      </c>
      <c r="B91" s="163" t="s">
        <v>163</v>
      </c>
      <c r="C91" s="164" t="s">
        <v>158</v>
      </c>
      <c r="D91" s="149">
        <f>IFERROR(IF(INDEX(บันทึกสต็อครายวัน!$D$122:$D$9999,MATCH(TEXT($B$2,"YYYYMMDD")&amp;"|"&amp;$E$2&amp;"|"&amp;B91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91)*บันทึกสต็อครายวัน!$A$122:$A$9999)),"YYYYMMDD")&amp;"|"&amp;$E$2&amp;"|"&amp;B91,บันทึกสต็อครายวัน!$M$122:$M$9999,0))),""),INDEX(บันทึกสต็อครายวัน!$D$122:$D$9999,MATCH(TEXT($B$2,"YYYYMMDD")&amp;"|"&amp;$E$2&amp;"|"&amp;B91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91)*บันทึกสต็อครายวัน!$A$122:$A$9999)),"YYYYMMDD")&amp;"|"&amp;$E$2&amp;"|"&amp;B91,บันทึกสต็อครายวัน!$M$122:$M$9999,0))),""))</f>
        <v>1</v>
      </c>
      <c r="E91" s="150">
        <f>IFERROR(IF(INDEX(บันทึกสต็อครายวัน!$E$122:$E$9999,MATCH(TEXT($B$2,"YYYYMMDD")&amp;"|"&amp;$E$2&amp;"|"&amp;B91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91)*บันทึกสต็อครายวัน!$A$122:$A$9999)),"YYYYMMDD")&amp;"|"&amp;$E$2&amp;"|"&amp;B91,บันทึกสต็อครายวัน!$M$122:$M$9999,0))),""),INDEX(บันทึกสต็อครายวัน!$E$122:$E$9999,MATCH(TEXT($B$2,"YYYYMMDD")&amp;"|"&amp;$E$2&amp;"|"&amp;B91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91)*บันทึกสต็อครายวัน!$A$122:$A$9999)),"YYYYMMDD")&amp;"|"&amp;$E$2&amp;"|"&amp;B91,บันทึกสต็อครายวัน!$M$122:$M$9999,0))),""))</f>
        <v>0</v>
      </c>
      <c r="F91" s="149" t="str">
        <f>IFERROR(IF(ISBLANK(INDEX(บันทึกสต็อครายวัน!$F$122:$F$9999,MATCH(TEXT($B$2,"YYYYMMDD")&amp;"|"&amp;$E$2&amp;"|"&amp;B91,บันทึกสต็อครายวัน!$M$122:$M$9999,0))),"",INDEX(บันทึกสต็อครายวัน!$F$122:$F$9999,MATCH(TEXT($B$2,"YYYYMMDD")&amp;"|"&amp;$E$2&amp;"|"&amp;B91,บันทึกสต็อครายวัน!$M$122:$M$9999,0))),"")</f>
        <v/>
      </c>
      <c r="G91" s="155" t="str">
        <f>IFERROR(IF(ISBLANK(INDEX(บันทึกสต็อครายวัน!$G$122:$G$9999,MATCH(TEXT($B$2,"YYYYMMDD")&amp;"|"&amp;$E$2&amp;"|"&amp;B91,บันทึกสต็อครายวัน!$M$122:$M$9999,0))),"",INDEX(บันทึกสต็อครายวัน!$G$122:$G$9999,MATCH(TEXT($B$2,"YYYYMMDD")&amp;"|"&amp;$E$2&amp;"|"&amp;B91,บันทึกสต็อครายวัน!$M$122:$M$9999,0))),"")</f>
        <v/>
      </c>
      <c r="H91" s="152" t="str">
        <f>IFERROR(IF(ISBLANK(INDEX(บันทึกสต็อครายวัน!$H$122:$H$9999,MATCH(TEXT($B$2,"YYYYMMDD")&amp;"|"&amp;$E$2&amp;"|"&amp;B91,บันทึกสต็อครายวัน!$M$122:$M$9999,0))),"",INDEX(บันทึกสต็อครายวัน!$H$122:$H$9999,MATCH(TEXT($B$2,"YYYYMMDD")&amp;"|"&amp;$E$2&amp;"|"&amp;B91,บันทึกสต็อครายวัน!$M$122:$M$9999,0))),"")</f>
        <v/>
      </c>
      <c r="I91" s="153" t="str">
        <f>IFERROR(IF(ISBLANK(INDEX(บันทึกสต็อครายวัน!$I$122:$I$9999,MATCH(TEXT($B$2,"YYYYMMDD")&amp;"|"&amp;$E$2&amp;"|"&amp;B91,บันทึกสต็อครายวัน!$M$122:$M$9999,0))),"",INDEX(บันทึกสต็อครายวัน!$I$122:$I$9999,MATCH(TEXT($B$2,"YYYYMMDD")&amp;"|"&amp;$E$2&amp;"|"&amp;B91,บันทึกสต็อครายวัน!$M$122:$M$9999,0))),"")</f>
        <v/>
      </c>
      <c r="J91" s="155" t="str">
        <f>IFERROR(IF(ISBLANK(INDEX(บันทึกสต็อครายวัน!$J$122:$J$9999,MATCH(TEXT($B$2,"YYYYMMDD")&amp;"|"&amp;$E$2&amp;"|"&amp;B91,บันทึกสต็อครายวัน!$M$122:$M$9999,0))),"",INDEX(บันทึกสต็อครายวัน!$J$122:$J$9999,MATCH(TEXT($B$2,"YYYYMMDD")&amp;"|"&amp;$E$2&amp;"|"&amp;B91,บันทึกสต็อครายวัน!$M$122:$M$9999,0))),"")</f>
        <v/>
      </c>
      <c r="K91" s="154" t="str">
        <f>IFERROR(IF(ISBLANK(INDEX(บันทึกสต็อครายวัน!$K$122:$K$9999,MATCH(TEXT($B$2,"YYYYMMDD")&amp;"|"&amp;$E$2&amp;"|"&amp;B91,บันทึกสต็อครายวัน!$M$122:$M$9999,0))),"",INDEX(บันทึกสต็อครายวัน!$K$122:$K$9999,MATCH(TEXT($B$2,"YYYYMMDD")&amp;"|"&amp;$E$2&amp;"|"&amp;B91,บันทึกสต็อครายวัน!$M$122:$M$9999,0))),"")</f>
        <v/>
      </c>
      <c r="L91" s="154" t="str">
        <f>IFERROR(IF(ISBLANK(INDEX(บันทึกสต็อครายวัน!$L$122:$L$9999,MATCH(TEXT($B$2,"YYYYMMDD")&amp;"|"&amp;$E$2&amp;"|"&amp;B91,บันทึกสต็อครายวัน!$M$122:$M$9999,0))),"",INDEX(บันทึกสต็อครายวัน!$L$122:$L$9999,MATCH(TEXT($B$2,"YYYYMMDD")&amp;"|"&amp;$E$2&amp;"|"&amp;B91,บันทึกสต็อครายวัน!$M$122:$M$9999,0))),"")</f>
        <v/>
      </c>
    </row>
    <row r="92" spans="1:12" ht="18" customHeight="1">
      <c r="A92" s="162" t="s">
        <v>159</v>
      </c>
      <c r="B92" s="163" t="s">
        <v>164</v>
      </c>
      <c r="C92" s="164" t="s">
        <v>149</v>
      </c>
      <c r="D92" s="149">
        <f>IFERROR(IF(INDEX(บันทึกสต็อครายวัน!$D$122:$D$9999,MATCH(TEXT($B$2,"YYYYMMDD")&amp;"|"&amp;$E$2&amp;"|"&amp;B92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92)*บันทึกสต็อครายวัน!$A$122:$A$9999)),"YYYYMMDD")&amp;"|"&amp;$E$2&amp;"|"&amp;B92,บันทึกสต็อครายวัน!$M$122:$M$9999,0))),""),INDEX(บันทึกสต็อครายวัน!$D$122:$D$9999,MATCH(TEXT($B$2,"YYYYMMDD")&amp;"|"&amp;$E$2&amp;"|"&amp;B92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92)*บันทึกสต็อครายวัน!$A$122:$A$9999)),"YYYYMMDD")&amp;"|"&amp;$E$2&amp;"|"&amp;B92,บันทึกสต็อครายวัน!$M$122:$M$9999,0))),""))</f>
        <v>4</v>
      </c>
      <c r="E92" s="150">
        <f>IFERROR(IF(INDEX(บันทึกสต็อครายวัน!$E$122:$E$9999,MATCH(TEXT($B$2,"YYYYMMDD")&amp;"|"&amp;$E$2&amp;"|"&amp;B92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92)*บันทึกสต็อครายวัน!$A$122:$A$9999)),"YYYYMMDD")&amp;"|"&amp;$E$2&amp;"|"&amp;B92,บันทึกสต็อครายวัน!$M$122:$M$9999,0))),""),INDEX(บันทึกสต็อครายวัน!$E$122:$E$9999,MATCH(TEXT($B$2,"YYYYMMDD")&amp;"|"&amp;$E$2&amp;"|"&amp;B92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92)*บันทึกสต็อครายวัน!$A$122:$A$9999)),"YYYYMMDD")&amp;"|"&amp;$E$2&amp;"|"&amp;B92,บันทึกสต็อครายวัน!$M$122:$M$9999,0))),""))</f>
        <v>0</v>
      </c>
      <c r="F92" s="149" t="str">
        <f>IFERROR(IF(ISBLANK(INDEX(บันทึกสต็อครายวัน!$F$122:$F$9999,MATCH(TEXT($B$2,"YYYYMMDD")&amp;"|"&amp;$E$2&amp;"|"&amp;B92,บันทึกสต็อครายวัน!$M$122:$M$9999,0))),"",INDEX(บันทึกสต็อครายวัน!$F$122:$F$9999,MATCH(TEXT($B$2,"YYYYMMDD")&amp;"|"&amp;$E$2&amp;"|"&amp;B92,บันทึกสต็อครายวัน!$M$122:$M$9999,0))),"")</f>
        <v/>
      </c>
      <c r="G92" s="155" t="str">
        <f>IFERROR(IF(ISBLANK(INDEX(บันทึกสต็อครายวัน!$G$122:$G$9999,MATCH(TEXT($B$2,"YYYYMMDD")&amp;"|"&amp;$E$2&amp;"|"&amp;B92,บันทึกสต็อครายวัน!$M$122:$M$9999,0))),"",INDEX(บันทึกสต็อครายวัน!$G$122:$G$9999,MATCH(TEXT($B$2,"YYYYMMDD")&amp;"|"&amp;$E$2&amp;"|"&amp;B92,บันทึกสต็อครายวัน!$M$122:$M$9999,0))),"")</f>
        <v/>
      </c>
      <c r="H92" s="152" t="str">
        <f>IFERROR(IF(ISBLANK(INDEX(บันทึกสต็อครายวัน!$H$122:$H$9999,MATCH(TEXT($B$2,"YYYYMMDD")&amp;"|"&amp;$E$2&amp;"|"&amp;B92,บันทึกสต็อครายวัน!$M$122:$M$9999,0))),"",INDEX(บันทึกสต็อครายวัน!$H$122:$H$9999,MATCH(TEXT($B$2,"YYYYMMDD")&amp;"|"&amp;$E$2&amp;"|"&amp;B92,บันทึกสต็อครายวัน!$M$122:$M$9999,0))),"")</f>
        <v/>
      </c>
      <c r="I92" s="153" t="str">
        <f>IFERROR(IF(ISBLANK(INDEX(บันทึกสต็อครายวัน!$I$122:$I$9999,MATCH(TEXT($B$2,"YYYYMMDD")&amp;"|"&amp;$E$2&amp;"|"&amp;B92,บันทึกสต็อครายวัน!$M$122:$M$9999,0))),"",INDEX(บันทึกสต็อครายวัน!$I$122:$I$9999,MATCH(TEXT($B$2,"YYYYMMDD")&amp;"|"&amp;$E$2&amp;"|"&amp;B92,บันทึกสต็อครายวัน!$M$122:$M$9999,0))),"")</f>
        <v/>
      </c>
      <c r="J92" s="155" t="str">
        <f>IFERROR(IF(ISBLANK(INDEX(บันทึกสต็อครายวัน!$J$122:$J$9999,MATCH(TEXT($B$2,"YYYYMMDD")&amp;"|"&amp;$E$2&amp;"|"&amp;B92,บันทึกสต็อครายวัน!$M$122:$M$9999,0))),"",INDEX(บันทึกสต็อครายวัน!$J$122:$J$9999,MATCH(TEXT($B$2,"YYYYMMDD")&amp;"|"&amp;$E$2&amp;"|"&amp;B92,บันทึกสต็อครายวัน!$M$122:$M$9999,0))),"")</f>
        <v/>
      </c>
      <c r="K92" s="154" t="str">
        <f>IFERROR(IF(ISBLANK(INDEX(บันทึกสต็อครายวัน!$K$122:$K$9999,MATCH(TEXT($B$2,"YYYYMMDD")&amp;"|"&amp;$E$2&amp;"|"&amp;B92,บันทึกสต็อครายวัน!$M$122:$M$9999,0))),"",INDEX(บันทึกสต็อครายวัน!$K$122:$K$9999,MATCH(TEXT($B$2,"YYYYMMDD")&amp;"|"&amp;$E$2&amp;"|"&amp;B92,บันทึกสต็อครายวัน!$M$122:$M$9999,0))),"")</f>
        <v/>
      </c>
      <c r="L92" s="154" t="str">
        <f>IFERROR(IF(ISBLANK(INDEX(บันทึกสต็อครายวัน!$L$122:$L$9999,MATCH(TEXT($B$2,"YYYYMMDD")&amp;"|"&amp;$E$2&amp;"|"&amp;B92,บันทึกสต็อครายวัน!$M$122:$M$9999,0))),"",INDEX(บันทึกสต็อครายวัน!$L$122:$L$9999,MATCH(TEXT($B$2,"YYYYMMDD")&amp;"|"&amp;$E$2&amp;"|"&amp;B92,บันทึกสต็อครายวัน!$M$122:$M$9999,0))),"")</f>
        <v/>
      </c>
    </row>
    <row r="93" spans="1:12" ht="18" customHeight="1">
      <c r="A93" s="162" t="s">
        <v>159</v>
      </c>
      <c r="B93" s="163" t="s">
        <v>165</v>
      </c>
      <c r="C93" s="164" t="s">
        <v>149</v>
      </c>
      <c r="D93" s="149">
        <f>IFERROR(IF(INDEX(บันทึกสต็อครายวัน!$D$122:$D$9999,MATCH(TEXT($B$2,"YYYYMMDD")&amp;"|"&amp;$E$2&amp;"|"&amp;B93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93)*บันทึกสต็อครายวัน!$A$122:$A$9999)),"YYYYMMDD")&amp;"|"&amp;$E$2&amp;"|"&amp;B93,บันทึกสต็อครายวัน!$M$122:$M$9999,0))),""),INDEX(บันทึกสต็อครายวัน!$D$122:$D$9999,MATCH(TEXT($B$2,"YYYYMMDD")&amp;"|"&amp;$E$2&amp;"|"&amp;B93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93)*บันทึกสต็อครายวัน!$A$122:$A$9999)),"YYYYMMDD")&amp;"|"&amp;$E$2&amp;"|"&amp;B93,บันทึกสต็อครายวัน!$M$122:$M$9999,0))),""))</f>
        <v>2</v>
      </c>
      <c r="E93" s="150">
        <f>IFERROR(IF(INDEX(บันทึกสต็อครายวัน!$E$122:$E$9999,MATCH(TEXT($B$2,"YYYYMMDD")&amp;"|"&amp;$E$2&amp;"|"&amp;B93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93)*บันทึกสต็อครายวัน!$A$122:$A$9999)),"YYYYMMDD")&amp;"|"&amp;$E$2&amp;"|"&amp;B93,บันทึกสต็อครายวัน!$M$122:$M$9999,0))),""),INDEX(บันทึกสต็อครายวัน!$E$122:$E$9999,MATCH(TEXT($B$2,"YYYYMMDD")&amp;"|"&amp;$E$2&amp;"|"&amp;B93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93)*บันทึกสต็อครายวัน!$A$122:$A$9999)),"YYYYMMDD")&amp;"|"&amp;$E$2&amp;"|"&amp;B93,บันทึกสต็อครายวัน!$M$122:$M$9999,0))),""))</f>
        <v>0</v>
      </c>
      <c r="F93" s="149" t="str">
        <f>IFERROR(IF(ISBLANK(INDEX(บันทึกสต็อครายวัน!$F$122:$F$9999,MATCH(TEXT($B$2,"YYYYMMDD")&amp;"|"&amp;$E$2&amp;"|"&amp;B93,บันทึกสต็อครายวัน!$M$122:$M$9999,0))),"",INDEX(บันทึกสต็อครายวัน!$F$122:$F$9999,MATCH(TEXT($B$2,"YYYYMMDD")&amp;"|"&amp;$E$2&amp;"|"&amp;B93,บันทึกสต็อครายวัน!$M$122:$M$9999,0))),"")</f>
        <v/>
      </c>
      <c r="G93" s="155" t="str">
        <f>IFERROR(IF(ISBLANK(INDEX(บันทึกสต็อครายวัน!$G$122:$G$9999,MATCH(TEXT($B$2,"YYYYMMDD")&amp;"|"&amp;$E$2&amp;"|"&amp;B93,บันทึกสต็อครายวัน!$M$122:$M$9999,0))),"",INDEX(บันทึกสต็อครายวัน!$G$122:$G$9999,MATCH(TEXT($B$2,"YYYYMMDD")&amp;"|"&amp;$E$2&amp;"|"&amp;B93,บันทึกสต็อครายวัน!$M$122:$M$9999,0))),"")</f>
        <v/>
      </c>
      <c r="H93" s="152" t="str">
        <f>IFERROR(IF(ISBLANK(INDEX(บันทึกสต็อครายวัน!$H$122:$H$9999,MATCH(TEXT($B$2,"YYYYMMDD")&amp;"|"&amp;$E$2&amp;"|"&amp;B93,บันทึกสต็อครายวัน!$M$122:$M$9999,0))),"",INDEX(บันทึกสต็อครายวัน!$H$122:$H$9999,MATCH(TEXT($B$2,"YYYYMMDD")&amp;"|"&amp;$E$2&amp;"|"&amp;B93,บันทึกสต็อครายวัน!$M$122:$M$9999,0))),"")</f>
        <v/>
      </c>
      <c r="I93" s="153" t="str">
        <f>IFERROR(IF(ISBLANK(INDEX(บันทึกสต็อครายวัน!$I$122:$I$9999,MATCH(TEXT($B$2,"YYYYMMDD")&amp;"|"&amp;$E$2&amp;"|"&amp;B93,บันทึกสต็อครายวัน!$M$122:$M$9999,0))),"",INDEX(บันทึกสต็อครายวัน!$I$122:$I$9999,MATCH(TEXT($B$2,"YYYYMMDD")&amp;"|"&amp;$E$2&amp;"|"&amp;B93,บันทึกสต็อครายวัน!$M$122:$M$9999,0))),"")</f>
        <v/>
      </c>
      <c r="J93" s="155" t="str">
        <f>IFERROR(IF(ISBLANK(INDEX(บันทึกสต็อครายวัน!$J$122:$J$9999,MATCH(TEXT($B$2,"YYYYMMDD")&amp;"|"&amp;$E$2&amp;"|"&amp;B93,บันทึกสต็อครายวัน!$M$122:$M$9999,0))),"",INDEX(บันทึกสต็อครายวัน!$J$122:$J$9999,MATCH(TEXT($B$2,"YYYYMMDD")&amp;"|"&amp;$E$2&amp;"|"&amp;B93,บันทึกสต็อครายวัน!$M$122:$M$9999,0))),"")</f>
        <v/>
      </c>
      <c r="K93" s="154" t="str">
        <f>IFERROR(IF(ISBLANK(INDEX(บันทึกสต็อครายวัน!$K$122:$K$9999,MATCH(TEXT($B$2,"YYYYMMDD")&amp;"|"&amp;$E$2&amp;"|"&amp;B93,บันทึกสต็อครายวัน!$M$122:$M$9999,0))),"",INDEX(บันทึกสต็อครายวัน!$K$122:$K$9999,MATCH(TEXT($B$2,"YYYYMMDD")&amp;"|"&amp;$E$2&amp;"|"&amp;B93,บันทึกสต็อครายวัน!$M$122:$M$9999,0))),"")</f>
        <v/>
      </c>
      <c r="L93" s="154" t="str">
        <f>IFERROR(IF(ISBLANK(INDEX(บันทึกสต็อครายวัน!$L$122:$L$9999,MATCH(TEXT($B$2,"YYYYMMDD")&amp;"|"&amp;$E$2&amp;"|"&amp;B93,บันทึกสต็อครายวัน!$M$122:$M$9999,0))),"",INDEX(บันทึกสต็อครายวัน!$L$122:$L$9999,MATCH(TEXT($B$2,"YYYYMMDD")&amp;"|"&amp;$E$2&amp;"|"&amp;B93,บันทึกสต็อครายวัน!$M$122:$M$9999,0))),"")</f>
        <v/>
      </c>
    </row>
    <row r="94" spans="1:12" ht="18" customHeight="1">
      <c r="A94" s="162" t="s">
        <v>159</v>
      </c>
      <c r="B94" s="163" t="s">
        <v>166</v>
      </c>
      <c r="C94" s="164" t="s">
        <v>149</v>
      </c>
      <c r="D94" s="149">
        <f>IFERROR(IF(INDEX(บันทึกสต็อครายวัน!$D$122:$D$9999,MATCH(TEXT($B$2,"YYYYMMDD")&amp;"|"&amp;$E$2&amp;"|"&amp;B94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94)*บันทึกสต็อครายวัน!$A$122:$A$9999)),"YYYYMMDD")&amp;"|"&amp;$E$2&amp;"|"&amp;B94,บันทึกสต็อครายวัน!$M$122:$M$9999,0))),""),INDEX(บันทึกสต็อครายวัน!$D$122:$D$9999,MATCH(TEXT($B$2,"YYYYMMDD")&amp;"|"&amp;$E$2&amp;"|"&amp;B94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94)*บันทึกสต็อครายวัน!$A$122:$A$9999)),"YYYYMMDD")&amp;"|"&amp;$E$2&amp;"|"&amp;B94,บันทึกสต็อครายวัน!$M$122:$M$9999,0))),""))</f>
        <v>0</v>
      </c>
      <c r="E94" s="150">
        <f>IFERROR(IF(INDEX(บันทึกสต็อครายวัน!$E$122:$E$9999,MATCH(TEXT($B$2,"YYYYMMDD")&amp;"|"&amp;$E$2&amp;"|"&amp;B94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94)*บันทึกสต็อครายวัน!$A$122:$A$9999)),"YYYYMMDD")&amp;"|"&amp;$E$2&amp;"|"&amp;B94,บันทึกสต็อครายวัน!$M$122:$M$9999,0))),""),INDEX(บันทึกสต็อครายวัน!$E$122:$E$9999,MATCH(TEXT($B$2,"YYYYMMDD")&amp;"|"&amp;$E$2&amp;"|"&amp;B94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94)*บันทึกสต็อครายวัน!$A$122:$A$9999)),"YYYYMMDD")&amp;"|"&amp;$E$2&amp;"|"&amp;B94,บันทึกสต็อครายวัน!$M$122:$M$9999,0))),""))</f>
        <v>0</v>
      </c>
      <c r="F94" s="149" t="str">
        <f>IFERROR(IF(ISBLANK(INDEX(บันทึกสต็อครายวัน!$F$122:$F$9999,MATCH(TEXT($B$2,"YYYYMMDD")&amp;"|"&amp;$E$2&amp;"|"&amp;B94,บันทึกสต็อครายวัน!$M$122:$M$9999,0))),"",INDEX(บันทึกสต็อครายวัน!$F$122:$F$9999,MATCH(TEXT($B$2,"YYYYMMDD")&amp;"|"&amp;$E$2&amp;"|"&amp;B94,บันทึกสต็อครายวัน!$M$122:$M$9999,0))),"")</f>
        <v/>
      </c>
      <c r="G94" s="155" t="str">
        <f>IFERROR(IF(ISBLANK(INDEX(บันทึกสต็อครายวัน!$G$122:$G$9999,MATCH(TEXT($B$2,"YYYYMMDD")&amp;"|"&amp;$E$2&amp;"|"&amp;B94,บันทึกสต็อครายวัน!$M$122:$M$9999,0))),"",INDEX(บันทึกสต็อครายวัน!$G$122:$G$9999,MATCH(TEXT($B$2,"YYYYMMDD")&amp;"|"&amp;$E$2&amp;"|"&amp;B94,บันทึกสต็อครายวัน!$M$122:$M$9999,0))),"")</f>
        <v/>
      </c>
      <c r="H94" s="152" t="str">
        <f>IFERROR(IF(ISBLANK(INDEX(บันทึกสต็อครายวัน!$H$122:$H$9999,MATCH(TEXT($B$2,"YYYYMMDD")&amp;"|"&amp;$E$2&amp;"|"&amp;B94,บันทึกสต็อครายวัน!$M$122:$M$9999,0))),"",INDEX(บันทึกสต็อครายวัน!$H$122:$H$9999,MATCH(TEXT($B$2,"YYYYMMDD")&amp;"|"&amp;$E$2&amp;"|"&amp;B94,บันทึกสต็อครายวัน!$M$122:$M$9999,0))),"")</f>
        <v/>
      </c>
      <c r="I94" s="153" t="str">
        <f>IFERROR(IF(ISBLANK(INDEX(บันทึกสต็อครายวัน!$I$122:$I$9999,MATCH(TEXT($B$2,"YYYYMMDD")&amp;"|"&amp;$E$2&amp;"|"&amp;B94,บันทึกสต็อครายวัน!$M$122:$M$9999,0))),"",INDEX(บันทึกสต็อครายวัน!$I$122:$I$9999,MATCH(TEXT($B$2,"YYYYMMDD")&amp;"|"&amp;$E$2&amp;"|"&amp;B94,บันทึกสต็อครายวัน!$M$122:$M$9999,0))),"")</f>
        <v/>
      </c>
      <c r="J94" s="155" t="str">
        <f>IFERROR(IF(ISBLANK(INDEX(บันทึกสต็อครายวัน!$J$122:$J$9999,MATCH(TEXT($B$2,"YYYYMMDD")&amp;"|"&amp;$E$2&amp;"|"&amp;B94,บันทึกสต็อครายวัน!$M$122:$M$9999,0))),"",INDEX(บันทึกสต็อครายวัน!$J$122:$J$9999,MATCH(TEXT($B$2,"YYYYMMDD")&amp;"|"&amp;$E$2&amp;"|"&amp;B94,บันทึกสต็อครายวัน!$M$122:$M$9999,0))),"")</f>
        <v/>
      </c>
      <c r="K94" s="154" t="str">
        <f>IFERROR(IF(ISBLANK(INDEX(บันทึกสต็อครายวัน!$K$122:$K$9999,MATCH(TEXT($B$2,"YYYYMMDD")&amp;"|"&amp;$E$2&amp;"|"&amp;B94,บันทึกสต็อครายวัน!$M$122:$M$9999,0))),"",INDEX(บันทึกสต็อครายวัน!$K$122:$K$9999,MATCH(TEXT($B$2,"YYYYMMDD")&amp;"|"&amp;$E$2&amp;"|"&amp;B94,บันทึกสต็อครายวัน!$M$122:$M$9999,0))),"")</f>
        <v/>
      </c>
      <c r="L94" s="154" t="str">
        <f>IFERROR(IF(ISBLANK(INDEX(บันทึกสต็อครายวัน!$L$122:$L$9999,MATCH(TEXT($B$2,"YYYYMMDD")&amp;"|"&amp;$E$2&amp;"|"&amp;B94,บันทึกสต็อครายวัน!$M$122:$M$9999,0))),"",INDEX(บันทึกสต็อครายวัน!$L$122:$L$9999,MATCH(TEXT($B$2,"YYYYMMDD")&amp;"|"&amp;$E$2&amp;"|"&amp;B94,บันทึกสต็อครายวัน!$M$122:$M$9999,0))),"")</f>
        <v/>
      </c>
    </row>
    <row r="95" spans="1:12" ht="18" customHeight="1">
      <c r="A95" s="162" t="s">
        <v>167</v>
      </c>
      <c r="B95" s="163" t="s">
        <v>168</v>
      </c>
      <c r="C95" s="164" t="s">
        <v>169</v>
      </c>
      <c r="D95" s="149">
        <f>IFERROR(IF(INDEX(บันทึกสต็อครายวัน!$D$122:$D$9999,MATCH(TEXT($B$2,"YYYYMMDD")&amp;"|"&amp;$E$2&amp;"|"&amp;B95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95)*บันทึกสต็อครายวัน!$A$122:$A$9999)),"YYYYMMDD")&amp;"|"&amp;$E$2&amp;"|"&amp;B95,บันทึกสต็อครายวัน!$M$122:$M$9999,0))),""),INDEX(บันทึกสต็อครายวัน!$D$122:$D$9999,MATCH(TEXT($B$2,"YYYYMMDD")&amp;"|"&amp;$E$2&amp;"|"&amp;B95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95)*บันทึกสต็อครายวัน!$A$122:$A$9999)),"YYYYMMDD")&amp;"|"&amp;$E$2&amp;"|"&amp;B95,บันทึกสต็อครายวัน!$M$122:$M$9999,0))),""))</f>
        <v>1</v>
      </c>
      <c r="E95" s="150">
        <f>IFERROR(IF(INDEX(บันทึกสต็อครายวัน!$E$122:$E$9999,MATCH(TEXT($B$2,"YYYYMMDD")&amp;"|"&amp;$E$2&amp;"|"&amp;B95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95)*บันทึกสต็อครายวัน!$A$122:$A$9999)),"YYYYMMDD")&amp;"|"&amp;$E$2&amp;"|"&amp;B95,บันทึกสต็อครายวัน!$M$122:$M$9999,0))),""),INDEX(บันทึกสต็อครายวัน!$E$122:$E$9999,MATCH(TEXT($B$2,"YYYYMMDD")&amp;"|"&amp;$E$2&amp;"|"&amp;B95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95)*บันทึกสต็อครายวัน!$A$122:$A$9999)),"YYYYMMDD")&amp;"|"&amp;$E$2&amp;"|"&amp;B95,บันทึกสต็อครายวัน!$M$122:$M$9999,0))),""))</f>
        <v>0</v>
      </c>
      <c r="F95" s="149" t="str">
        <f>IFERROR(IF(ISBLANK(INDEX(บันทึกสต็อครายวัน!$F$122:$F$9999,MATCH(TEXT($B$2,"YYYYMMDD")&amp;"|"&amp;$E$2&amp;"|"&amp;B95,บันทึกสต็อครายวัน!$M$122:$M$9999,0))),"",INDEX(บันทึกสต็อครายวัน!$F$122:$F$9999,MATCH(TEXT($B$2,"YYYYMMDD")&amp;"|"&amp;$E$2&amp;"|"&amp;B95,บันทึกสต็อครายวัน!$M$122:$M$9999,0))),"")</f>
        <v/>
      </c>
      <c r="G95" s="155" t="str">
        <f>IFERROR(IF(ISBLANK(INDEX(บันทึกสต็อครายวัน!$G$122:$G$9999,MATCH(TEXT($B$2,"YYYYMMDD")&amp;"|"&amp;$E$2&amp;"|"&amp;B95,บันทึกสต็อครายวัน!$M$122:$M$9999,0))),"",INDEX(บันทึกสต็อครายวัน!$G$122:$G$9999,MATCH(TEXT($B$2,"YYYYMMDD")&amp;"|"&amp;$E$2&amp;"|"&amp;B95,บันทึกสต็อครายวัน!$M$122:$M$9999,0))),"")</f>
        <v/>
      </c>
      <c r="H95" s="152" t="str">
        <f>IFERROR(IF(ISBLANK(INDEX(บันทึกสต็อครายวัน!$H$122:$H$9999,MATCH(TEXT($B$2,"YYYYMMDD")&amp;"|"&amp;$E$2&amp;"|"&amp;B95,บันทึกสต็อครายวัน!$M$122:$M$9999,0))),"",INDEX(บันทึกสต็อครายวัน!$H$122:$H$9999,MATCH(TEXT($B$2,"YYYYMMDD")&amp;"|"&amp;$E$2&amp;"|"&amp;B95,บันทึกสต็อครายวัน!$M$122:$M$9999,0))),"")</f>
        <v/>
      </c>
      <c r="I95" s="153" t="str">
        <f>IFERROR(IF(ISBLANK(INDEX(บันทึกสต็อครายวัน!$I$122:$I$9999,MATCH(TEXT($B$2,"YYYYMMDD")&amp;"|"&amp;$E$2&amp;"|"&amp;B95,บันทึกสต็อครายวัน!$M$122:$M$9999,0))),"",INDEX(บันทึกสต็อครายวัน!$I$122:$I$9999,MATCH(TEXT($B$2,"YYYYMMDD")&amp;"|"&amp;$E$2&amp;"|"&amp;B95,บันทึกสต็อครายวัน!$M$122:$M$9999,0))),"")</f>
        <v/>
      </c>
      <c r="J95" s="155" t="str">
        <f>IFERROR(IF(ISBLANK(INDEX(บันทึกสต็อครายวัน!$J$122:$J$9999,MATCH(TEXT($B$2,"YYYYMMDD")&amp;"|"&amp;$E$2&amp;"|"&amp;B95,บันทึกสต็อครายวัน!$M$122:$M$9999,0))),"",INDEX(บันทึกสต็อครายวัน!$J$122:$J$9999,MATCH(TEXT($B$2,"YYYYMMDD")&amp;"|"&amp;$E$2&amp;"|"&amp;B95,บันทึกสต็อครายวัน!$M$122:$M$9999,0))),"")</f>
        <v/>
      </c>
      <c r="K95" s="154" t="str">
        <f>IFERROR(IF(ISBLANK(INDEX(บันทึกสต็อครายวัน!$K$122:$K$9999,MATCH(TEXT($B$2,"YYYYMMDD")&amp;"|"&amp;$E$2&amp;"|"&amp;B95,บันทึกสต็อครายวัน!$M$122:$M$9999,0))),"",INDEX(บันทึกสต็อครายวัน!$K$122:$K$9999,MATCH(TEXT($B$2,"YYYYMMDD")&amp;"|"&amp;$E$2&amp;"|"&amp;B95,บันทึกสต็อครายวัน!$M$122:$M$9999,0))),"")</f>
        <v/>
      </c>
      <c r="L95" s="154" t="str">
        <f>IFERROR(IF(ISBLANK(INDEX(บันทึกสต็อครายวัน!$L$122:$L$9999,MATCH(TEXT($B$2,"YYYYMMDD")&amp;"|"&amp;$E$2&amp;"|"&amp;B95,บันทึกสต็อครายวัน!$M$122:$M$9999,0))),"",INDEX(บันทึกสต็อครายวัน!$L$122:$L$9999,MATCH(TEXT($B$2,"YYYYMMDD")&amp;"|"&amp;$E$2&amp;"|"&amp;B95,บันทึกสต็อครายวัน!$M$122:$M$9999,0))),"")</f>
        <v/>
      </c>
    </row>
    <row r="96" spans="1:12" ht="18" customHeight="1">
      <c r="A96" s="162" t="s">
        <v>167</v>
      </c>
      <c r="B96" s="163" t="s">
        <v>170</v>
      </c>
      <c r="C96" s="164" t="s">
        <v>169</v>
      </c>
      <c r="D96" s="149">
        <f>IFERROR(IF(INDEX(บันทึกสต็อครายวัน!$D$122:$D$9999,MATCH(TEXT($B$2,"YYYYMMDD")&amp;"|"&amp;$E$2&amp;"|"&amp;B96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96)*บันทึกสต็อครายวัน!$A$122:$A$9999)),"YYYYMMDD")&amp;"|"&amp;$E$2&amp;"|"&amp;B96,บันทึกสต็อครายวัน!$M$122:$M$9999,0))),""),INDEX(บันทึกสต็อครายวัน!$D$122:$D$9999,MATCH(TEXT($B$2,"YYYYMMDD")&amp;"|"&amp;$E$2&amp;"|"&amp;B96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96)*บันทึกสต็อครายวัน!$A$122:$A$9999)),"YYYYMMDD")&amp;"|"&amp;$E$2&amp;"|"&amp;B96,บันทึกสต็อครายวัน!$M$122:$M$9999,0))),""))</f>
        <v>1</v>
      </c>
      <c r="E96" s="150">
        <f>IFERROR(IF(INDEX(บันทึกสต็อครายวัน!$E$122:$E$9999,MATCH(TEXT($B$2,"YYYYMMDD")&amp;"|"&amp;$E$2&amp;"|"&amp;B96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96)*บันทึกสต็อครายวัน!$A$122:$A$9999)),"YYYYMMDD")&amp;"|"&amp;$E$2&amp;"|"&amp;B96,บันทึกสต็อครายวัน!$M$122:$M$9999,0))),""),INDEX(บันทึกสต็อครายวัน!$E$122:$E$9999,MATCH(TEXT($B$2,"YYYYMMDD")&amp;"|"&amp;$E$2&amp;"|"&amp;B96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96)*บันทึกสต็อครายวัน!$A$122:$A$9999)),"YYYYMMDD")&amp;"|"&amp;$E$2&amp;"|"&amp;B96,บันทึกสต็อครายวัน!$M$122:$M$9999,0))),""))</f>
        <v>0</v>
      </c>
      <c r="F96" s="149" t="str">
        <f>IFERROR(IF(ISBLANK(INDEX(บันทึกสต็อครายวัน!$F$122:$F$9999,MATCH(TEXT($B$2,"YYYYMMDD")&amp;"|"&amp;$E$2&amp;"|"&amp;B96,บันทึกสต็อครายวัน!$M$122:$M$9999,0))),"",INDEX(บันทึกสต็อครายวัน!$F$122:$F$9999,MATCH(TEXT($B$2,"YYYYMMDD")&amp;"|"&amp;$E$2&amp;"|"&amp;B96,บันทึกสต็อครายวัน!$M$122:$M$9999,0))),"")</f>
        <v/>
      </c>
      <c r="G96" s="155" t="str">
        <f>IFERROR(IF(ISBLANK(INDEX(บันทึกสต็อครายวัน!$G$122:$G$9999,MATCH(TEXT($B$2,"YYYYMMDD")&amp;"|"&amp;$E$2&amp;"|"&amp;B96,บันทึกสต็อครายวัน!$M$122:$M$9999,0))),"",INDEX(บันทึกสต็อครายวัน!$G$122:$G$9999,MATCH(TEXT($B$2,"YYYYMMDD")&amp;"|"&amp;$E$2&amp;"|"&amp;B96,บันทึกสต็อครายวัน!$M$122:$M$9999,0))),"")</f>
        <v/>
      </c>
      <c r="H96" s="152" t="str">
        <f>IFERROR(IF(ISBLANK(INDEX(บันทึกสต็อครายวัน!$H$122:$H$9999,MATCH(TEXT($B$2,"YYYYMMDD")&amp;"|"&amp;$E$2&amp;"|"&amp;B96,บันทึกสต็อครายวัน!$M$122:$M$9999,0))),"",INDEX(บันทึกสต็อครายวัน!$H$122:$H$9999,MATCH(TEXT($B$2,"YYYYMMDD")&amp;"|"&amp;$E$2&amp;"|"&amp;B96,บันทึกสต็อครายวัน!$M$122:$M$9999,0))),"")</f>
        <v/>
      </c>
      <c r="I96" s="153" t="str">
        <f>IFERROR(IF(ISBLANK(INDEX(บันทึกสต็อครายวัน!$I$122:$I$9999,MATCH(TEXT($B$2,"YYYYMMDD")&amp;"|"&amp;$E$2&amp;"|"&amp;B96,บันทึกสต็อครายวัน!$M$122:$M$9999,0))),"",INDEX(บันทึกสต็อครายวัน!$I$122:$I$9999,MATCH(TEXT($B$2,"YYYYMMDD")&amp;"|"&amp;$E$2&amp;"|"&amp;B96,บันทึกสต็อครายวัน!$M$122:$M$9999,0))),"")</f>
        <v/>
      </c>
      <c r="J96" s="155" t="str">
        <f>IFERROR(IF(ISBLANK(INDEX(บันทึกสต็อครายวัน!$J$122:$J$9999,MATCH(TEXT($B$2,"YYYYMMDD")&amp;"|"&amp;$E$2&amp;"|"&amp;B96,บันทึกสต็อครายวัน!$M$122:$M$9999,0))),"",INDEX(บันทึกสต็อครายวัน!$J$122:$J$9999,MATCH(TEXT($B$2,"YYYYMMDD")&amp;"|"&amp;$E$2&amp;"|"&amp;B96,บันทึกสต็อครายวัน!$M$122:$M$9999,0))),"")</f>
        <v/>
      </c>
      <c r="K96" s="154" t="str">
        <f>IFERROR(IF(ISBLANK(INDEX(บันทึกสต็อครายวัน!$K$122:$K$9999,MATCH(TEXT($B$2,"YYYYMMDD")&amp;"|"&amp;$E$2&amp;"|"&amp;B96,บันทึกสต็อครายวัน!$M$122:$M$9999,0))),"",INDEX(บันทึกสต็อครายวัน!$K$122:$K$9999,MATCH(TEXT($B$2,"YYYYMMDD")&amp;"|"&amp;$E$2&amp;"|"&amp;B96,บันทึกสต็อครายวัน!$M$122:$M$9999,0))),"")</f>
        <v/>
      </c>
      <c r="L96" s="154" t="str">
        <f>IFERROR(IF(ISBLANK(INDEX(บันทึกสต็อครายวัน!$L$122:$L$9999,MATCH(TEXT($B$2,"YYYYMMDD")&amp;"|"&amp;$E$2&amp;"|"&amp;B96,บันทึกสต็อครายวัน!$M$122:$M$9999,0))),"",INDEX(บันทึกสต็อครายวัน!$L$122:$L$9999,MATCH(TEXT($B$2,"YYYYMMDD")&amp;"|"&amp;$E$2&amp;"|"&amp;B96,บันทึกสต็อครายวัน!$M$122:$M$9999,0))),"")</f>
        <v/>
      </c>
    </row>
    <row r="97" spans="1:12" ht="18" customHeight="1">
      <c r="A97" s="162" t="s">
        <v>167</v>
      </c>
      <c r="B97" s="163" t="s">
        <v>171</v>
      </c>
      <c r="C97" s="164" t="s">
        <v>169</v>
      </c>
      <c r="D97" s="149">
        <f>IFERROR(IF(INDEX(บันทึกสต็อครายวัน!$D$122:$D$9999,MATCH(TEXT($B$2,"YYYYMMDD")&amp;"|"&amp;$E$2&amp;"|"&amp;B97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97)*บันทึกสต็อครายวัน!$A$122:$A$9999)),"YYYYMMDD")&amp;"|"&amp;$E$2&amp;"|"&amp;B97,บันทึกสต็อครายวัน!$M$122:$M$9999,0))),""),INDEX(บันทึกสต็อครายวัน!$D$122:$D$9999,MATCH(TEXT($B$2,"YYYYMMDD")&amp;"|"&amp;$E$2&amp;"|"&amp;B97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97)*บันทึกสต็อครายวัน!$A$122:$A$9999)),"YYYYMMDD")&amp;"|"&amp;$E$2&amp;"|"&amp;B97,บันทึกสต็อครายวัน!$M$122:$M$9999,0))),""))</f>
        <v>2</v>
      </c>
      <c r="E97" s="150">
        <f>IFERROR(IF(INDEX(บันทึกสต็อครายวัน!$E$122:$E$9999,MATCH(TEXT($B$2,"YYYYMMDD")&amp;"|"&amp;$E$2&amp;"|"&amp;B97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97)*บันทึกสต็อครายวัน!$A$122:$A$9999)),"YYYYMMDD")&amp;"|"&amp;$E$2&amp;"|"&amp;B97,บันทึกสต็อครายวัน!$M$122:$M$9999,0))),""),INDEX(บันทึกสต็อครายวัน!$E$122:$E$9999,MATCH(TEXT($B$2,"YYYYMMDD")&amp;"|"&amp;$E$2&amp;"|"&amp;B97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97)*บันทึกสต็อครายวัน!$A$122:$A$9999)),"YYYYMMDD")&amp;"|"&amp;$E$2&amp;"|"&amp;B97,บันทึกสต็อครายวัน!$M$122:$M$9999,0))),""))</f>
        <v>0</v>
      </c>
      <c r="F97" s="149" t="str">
        <f>IFERROR(IF(ISBLANK(INDEX(บันทึกสต็อครายวัน!$F$122:$F$9999,MATCH(TEXT($B$2,"YYYYMMDD")&amp;"|"&amp;$E$2&amp;"|"&amp;B97,บันทึกสต็อครายวัน!$M$122:$M$9999,0))),"",INDEX(บันทึกสต็อครายวัน!$F$122:$F$9999,MATCH(TEXT($B$2,"YYYYMMDD")&amp;"|"&amp;$E$2&amp;"|"&amp;B97,บันทึกสต็อครายวัน!$M$122:$M$9999,0))),"")</f>
        <v/>
      </c>
      <c r="G97" s="155" t="str">
        <f>IFERROR(IF(ISBLANK(INDEX(บันทึกสต็อครายวัน!$G$122:$G$9999,MATCH(TEXT($B$2,"YYYYMMDD")&amp;"|"&amp;$E$2&amp;"|"&amp;B97,บันทึกสต็อครายวัน!$M$122:$M$9999,0))),"",INDEX(บันทึกสต็อครายวัน!$G$122:$G$9999,MATCH(TEXT($B$2,"YYYYMMDD")&amp;"|"&amp;$E$2&amp;"|"&amp;B97,บันทึกสต็อครายวัน!$M$122:$M$9999,0))),"")</f>
        <v/>
      </c>
      <c r="H97" s="152" t="str">
        <f>IFERROR(IF(ISBLANK(INDEX(บันทึกสต็อครายวัน!$H$122:$H$9999,MATCH(TEXT($B$2,"YYYYMMDD")&amp;"|"&amp;$E$2&amp;"|"&amp;B97,บันทึกสต็อครายวัน!$M$122:$M$9999,0))),"",INDEX(บันทึกสต็อครายวัน!$H$122:$H$9999,MATCH(TEXT($B$2,"YYYYMMDD")&amp;"|"&amp;$E$2&amp;"|"&amp;B97,บันทึกสต็อครายวัน!$M$122:$M$9999,0))),"")</f>
        <v/>
      </c>
      <c r="I97" s="153" t="str">
        <f>IFERROR(IF(ISBLANK(INDEX(บันทึกสต็อครายวัน!$I$122:$I$9999,MATCH(TEXT($B$2,"YYYYMMDD")&amp;"|"&amp;$E$2&amp;"|"&amp;B97,บันทึกสต็อครายวัน!$M$122:$M$9999,0))),"",INDEX(บันทึกสต็อครายวัน!$I$122:$I$9999,MATCH(TEXT($B$2,"YYYYMMDD")&amp;"|"&amp;$E$2&amp;"|"&amp;B97,บันทึกสต็อครายวัน!$M$122:$M$9999,0))),"")</f>
        <v/>
      </c>
      <c r="J97" s="155" t="str">
        <f>IFERROR(IF(ISBLANK(INDEX(บันทึกสต็อครายวัน!$J$122:$J$9999,MATCH(TEXT($B$2,"YYYYMMDD")&amp;"|"&amp;$E$2&amp;"|"&amp;B97,บันทึกสต็อครายวัน!$M$122:$M$9999,0))),"",INDEX(บันทึกสต็อครายวัน!$J$122:$J$9999,MATCH(TEXT($B$2,"YYYYMMDD")&amp;"|"&amp;$E$2&amp;"|"&amp;B97,บันทึกสต็อครายวัน!$M$122:$M$9999,0))),"")</f>
        <v/>
      </c>
      <c r="K97" s="154" t="str">
        <f>IFERROR(IF(ISBLANK(INDEX(บันทึกสต็อครายวัน!$K$122:$K$9999,MATCH(TEXT($B$2,"YYYYMMDD")&amp;"|"&amp;$E$2&amp;"|"&amp;B97,บันทึกสต็อครายวัน!$M$122:$M$9999,0))),"",INDEX(บันทึกสต็อครายวัน!$K$122:$K$9999,MATCH(TEXT($B$2,"YYYYMMDD")&amp;"|"&amp;$E$2&amp;"|"&amp;B97,บันทึกสต็อครายวัน!$M$122:$M$9999,0))),"")</f>
        <v/>
      </c>
      <c r="L97" s="154" t="str">
        <f>IFERROR(IF(ISBLANK(INDEX(บันทึกสต็อครายวัน!$L$122:$L$9999,MATCH(TEXT($B$2,"YYYYMMDD")&amp;"|"&amp;$E$2&amp;"|"&amp;B97,บันทึกสต็อครายวัน!$M$122:$M$9999,0))),"",INDEX(บันทึกสต็อครายวัน!$L$122:$L$9999,MATCH(TEXT($B$2,"YYYYMMDD")&amp;"|"&amp;$E$2&amp;"|"&amp;B97,บันทึกสต็อครายวัน!$M$122:$M$9999,0))),"")</f>
        <v/>
      </c>
    </row>
    <row r="98" spans="1:12" ht="18" customHeight="1">
      <c r="A98" s="162" t="s">
        <v>167</v>
      </c>
      <c r="B98" s="163" t="s">
        <v>172</v>
      </c>
      <c r="C98" s="164" t="s">
        <v>169</v>
      </c>
      <c r="D98" s="149">
        <f>IFERROR(IF(INDEX(บันทึกสต็อครายวัน!$D$122:$D$9999,MATCH(TEXT($B$2,"YYYYMMDD")&amp;"|"&amp;$E$2&amp;"|"&amp;B98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98)*บันทึกสต็อครายวัน!$A$122:$A$9999)),"YYYYMMDD")&amp;"|"&amp;$E$2&amp;"|"&amp;B98,บันทึกสต็อครายวัน!$M$122:$M$9999,0))),""),INDEX(บันทึกสต็อครายวัน!$D$122:$D$9999,MATCH(TEXT($B$2,"YYYYMMDD")&amp;"|"&amp;$E$2&amp;"|"&amp;B98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98)*บันทึกสต็อครายวัน!$A$122:$A$9999)),"YYYYMMDD")&amp;"|"&amp;$E$2&amp;"|"&amp;B98,บันทึกสต็อครายวัน!$M$122:$M$9999,0))),""))</f>
        <v>1</v>
      </c>
      <c r="E98" s="150">
        <f>IFERROR(IF(INDEX(บันทึกสต็อครายวัน!$E$122:$E$9999,MATCH(TEXT($B$2,"YYYYMMDD")&amp;"|"&amp;$E$2&amp;"|"&amp;B98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98)*บันทึกสต็อครายวัน!$A$122:$A$9999)),"YYYYMMDD")&amp;"|"&amp;$E$2&amp;"|"&amp;B98,บันทึกสต็อครายวัน!$M$122:$M$9999,0))),""),INDEX(บันทึกสต็อครายวัน!$E$122:$E$9999,MATCH(TEXT($B$2,"YYYYMMDD")&amp;"|"&amp;$E$2&amp;"|"&amp;B98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98)*บันทึกสต็อครายวัน!$A$122:$A$9999)),"YYYYMMDD")&amp;"|"&amp;$E$2&amp;"|"&amp;B98,บันทึกสต็อครายวัน!$M$122:$M$9999,0))),""))</f>
        <v>0</v>
      </c>
      <c r="F98" s="149" t="str">
        <f>IFERROR(IF(ISBLANK(INDEX(บันทึกสต็อครายวัน!$F$122:$F$9999,MATCH(TEXT($B$2,"YYYYMMDD")&amp;"|"&amp;$E$2&amp;"|"&amp;B98,บันทึกสต็อครายวัน!$M$122:$M$9999,0))),"",INDEX(บันทึกสต็อครายวัน!$F$122:$F$9999,MATCH(TEXT($B$2,"YYYYMMDD")&amp;"|"&amp;$E$2&amp;"|"&amp;B98,บันทึกสต็อครายวัน!$M$122:$M$9999,0))),"")</f>
        <v/>
      </c>
      <c r="G98" s="155" t="str">
        <f>IFERROR(IF(ISBLANK(INDEX(บันทึกสต็อครายวัน!$G$122:$G$9999,MATCH(TEXT($B$2,"YYYYMMDD")&amp;"|"&amp;$E$2&amp;"|"&amp;B98,บันทึกสต็อครายวัน!$M$122:$M$9999,0))),"",INDEX(บันทึกสต็อครายวัน!$G$122:$G$9999,MATCH(TEXT($B$2,"YYYYMMDD")&amp;"|"&amp;$E$2&amp;"|"&amp;B98,บันทึกสต็อครายวัน!$M$122:$M$9999,0))),"")</f>
        <v/>
      </c>
      <c r="H98" s="152" t="str">
        <f>IFERROR(IF(ISBLANK(INDEX(บันทึกสต็อครายวัน!$H$122:$H$9999,MATCH(TEXT($B$2,"YYYYMMDD")&amp;"|"&amp;$E$2&amp;"|"&amp;B98,บันทึกสต็อครายวัน!$M$122:$M$9999,0))),"",INDEX(บันทึกสต็อครายวัน!$H$122:$H$9999,MATCH(TEXT($B$2,"YYYYMMDD")&amp;"|"&amp;$E$2&amp;"|"&amp;B98,บันทึกสต็อครายวัน!$M$122:$M$9999,0))),"")</f>
        <v/>
      </c>
      <c r="I98" s="153" t="str">
        <f>IFERROR(IF(ISBLANK(INDEX(บันทึกสต็อครายวัน!$I$122:$I$9999,MATCH(TEXT($B$2,"YYYYMMDD")&amp;"|"&amp;$E$2&amp;"|"&amp;B98,บันทึกสต็อครายวัน!$M$122:$M$9999,0))),"",INDEX(บันทึกสต็อครายวัน!$I$122:$I$9999,MATCH(TEXT($B$2,"YYYYMMDD")&amp;"|"&amp;$E$2&amp;"|"&amp;B98,บันทึกสต็อครายวัน!$M$122:$M$9999,0))),"")</f>
        <v/>
      </c>
      <c r="J98" s="155" t="str">
        <f>IFERROR(IF(ISBLANK(INDEX(บันทึกสต็อครายวัน!$J$122:$J$9999,MATCH(TEXT($B$2,"YYYYMMDD")&amp;"|"&amp;$E$2&amp;"|"&amp;B98,บันทึกสต็อครายวัน!$M$122:$M$9999,0))),"",INDEX(บันทึกสต็อครายวัน!$J$122:$J$9999,MATCH(TEXT($B$2,"YYYYMMDD")&amp;"|"&amp;$E$2&amp;"|"&amp;B98,บันทึกสต็อครายวัน!$M$122:$M$9999,0))),"")</f>
        <v/>
      </c>
      <c r="K98" s="154" t="str">
        <f>IFERROR(IF(ISBLANK(INDEX(บันทึกสต็อครายวัน!$K$122:$K$9999,MATCH(TEXT($B$2,"YYYYMMDD")&amp;"|"&amp;$E$2&amp;"|"&amp;B98,บันทึกสต็อครายวัน!$M$122:$M$9999,0))),"",INDEX(บันทึกสต็อครายวัน!$K$122:$K$9999,MATCH(TEXT($B$2,"YYYYMMDD")&amp;"|"&amp;$E$2&amp;"|"&amp;B98,บันทึกสต็อครายวัน!$M$122:$M$9999,0))),"")</f>
        <v/>
      </c>
      <c r="L98" s="154" t="str">
        <f>IFERROR(IF(ISBLANK(INDEX(บันทึกสต็อครายวัน!$L$122:$L$9999,MATCH(TEXT($B$2,"YYYYMMDD")&amp;"|"&amp;$E$2&amp;"|"&amp;B98,บันทึกสต็อครายวัน!$M$122:$M$9999,0))),"",INDEX(บันทึกสต็อครายวัน!$L$122:$L$9999,MATCH(TEXT($B$2,"YYYYMMDD")&amp;"|"&amp;$E$2&amp;"|"&amp;B98,บันทึกสต็อครายวัน!$M$122:$M$9999,0))),"")</f>
        <v/>
      </c>
    </row>
    <row r="99" spans="1:12" ht="18" customHeight="1">
      <c r="A99" s="162" t="s">
        <v>167</v>
      </c>
      <c r="B99" s="163" t="s">
        <v>173</v>
      </c>
      <c r="C99" s="164" t="s">
        <v>169</v>
      </c>
      <c r="D99" s="149">
        <f>IFERROR(IF(INDEX(บันทึกสต็อครายวัน!$D$122:$D$9999,MATCH(TEXT($B$2,"YYYYMMDD")&amp;"|"&amp;$E$2&amp;"|"&amp;B99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99)*บันทึกสต็อครายวัน!$A$122:$A$9999)),"YYYYMMDD")&amp;"|"&amp;$E$2&amp;"|"&amp;B99,บันทึกสต็อครายวัน!$M$122:$M$9999,0))),""),INDEX(บันทึกสต็อครายวัน!$D$122:$D$9999,MATCH(TEXT($B$2,"YYYYMMDD")&amp;"|"&amp;$E$2&amp;"|"&amp;B99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99)*บันทึกสต็อครายวัน!$A$122:$A$9999)),"YYYYMMDD")&amp;"|"&amp;$E$2&amp;"|"&amp;B99,บันทึกสต็อครายวัน!$M$122:$M$9999,0))),""))</f>
        <v>0</v>
      </c>
      <c r="E99" s="150">
        <f>IFERROR(IF(INDEX(บันทึกสต็อครายวัน!$E$122:$E$9999,MATCH(TEXT($B$2,"YYYYMMDD")&amp;"|"&amp;$E$2&amp;"|"&amp;B99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99)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99)*บันทึกสต็อครายวัน!$A$122:$A$9999)),"YYYYMMDD")&amp;"|"&amp;$E$2&amp;"|"&amp;B99,บันทึกสต็อครายวัน!$M$122:$M$9999,0))),""),INDEX(บันทึกสต็อครายวัน!$E$122:$E$9999,MATCH(TEXT($B$2,"YYYYMMDD")&amp;"|"&amp;$E$2&amp;"|"&amp;B99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99)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99)*บันทึกสต็อครายวัน!$A$122:$A$9999)),"YYYYMMDD")&amp;"|"&amp;$E$2&amp;"|"&amp;B99,บันทึกสต็อครายวัน!$M$122:$M$9999,0))),""))</f>
        <v>0</v>
      </c>
      <c r="F99" s="149" t="str">
        <f>IFERROR(IF(ISBLANK(INDEX(บันทึกสต็อครายวัน!$F$122:$F$9999,MATCH(TEXT($B$2,"YYYYMMDD")&amp;"|"&amp;$E$2&amp;"|"&amp;B99,บันทึกสต็อครายวัน!$M$122:$M$9999,0))),"",INDEX(บันทึกสต็อครายวัน!$F$122:$F$9999,MATCH(TEXT($B$2,"YYYYMMDD")&amp;"|"&amp;$E$2&amp;"|"&amp;B99,บันทึกสต็อครายวัน!$M$122:$M$9999,0))),"")</f>
        <v/>
      </c>
      <c r="G99" s="155" t="str">
        <f>IFERROR(IF(ISBLANK(INDEX(บันทึกสต็อครายวัน!$G$122:$G$9999,MATCH(TEXT($B$2,"YYYYMMDD")&amp;"|"&amp;$E$2&amp;"|"&amp;B99,บันทึกสต็อครายวัน!$M$122:$M$9999,0))),"",INDEX(บันทึกสต็อครายวัน!$G$122:$G$9999,MATCH(TEXT($B$2,"YYYYMMDD")&amp;"|"&amp;$E$2&amp;"|"&amp;B99,บันทึกสต็อครายวัน!$M$122:$M$9999,0))),"")</f>
        <v/>
      </c>
      <c r="H99" s="152" t="str">
        <f>IFERROR(IF(ISBLANK(INDEX(บันทึกสต็อครายวัน!$H$122:$H$9999,MATCH(TEXT($B$2,"YYYYMMDD")&amp;"|"&amp;$E$2&amp;"|"&amp;B99,บันทึกสต็อครายวัน!$M$122:$M$9999,0))),"",INDEX(บันทึกสต็อครายวัน!$H$122:$H$9999,MATCH(TEXT($B$2,"YYYYMMDD")&amp;"|"&amp;$E$2&amp;"|"&amp;B99,บันทึกสต็อครายวัน!$M$122:$M$9999,0))),"")</f>
        <v/>
      </c>
      <c r="I99" s="153" t="str">
        <f>IFERROR(IF(ISBLANK(INDEX(บันทึกสต็อครายวัน!$I$122:$I$9999,MATCH(TEXT($B$2,"YYYYMMDD")&amp;"|"&amp;$E$2&amp;"|"&amp;B99,บันทึกสต็อครายวัน!$M$122:$M$9999,0))),"",INDEX(บันทึกสต็อครายวัน!$I$122:$I$9999,MATCH(TEXT($B$2,"YYYYMMDD")&amp;"|"&amp;$E$2&amp;"|"&amp;B99,บันทึกสต็อครายวัน!$M$122:$M$9999,0))),"")</f>
        <v/>
      </c>
      <c r="J99" s="155" t="str">
        <f>IFERROR(IF(ISBLANK(INDEX(บันทึกสต็อครายวัน!$J$122:$J$9999,MATCH(TEXT($B$2,"YYYYMMDD")&amp;"|"&amp;$E$2&amp;"|"&amp;B99,บันทึกสต็อครายวัน!$M$122:$M$9999,0))),"",INDEX(บันทึกสต็อครายวัน!$J$122:$J$9999,MATCH(TEXT($B$2,"YYYYMMDD")&amp;"|"&amp;$E$2&amp;"|"&amp;B99,บันทึกสต็อครายวัน!$M$122:$M$9999,0))),"")</f>
        <v/>
      </c>
      <c r="K99" s="154" t="str">
        <f>IFERROR(IF(ISBLANK(INDEX(บันทึกสต็อครายวัน!$K$122:$K$9999,MATCH(TEXT($B$2,"YYYYMMDD")&amp;"|"&amp;$E$2&amp;"|"&amp;B99,บันทึกสต็อครายวัน!$M$122:$M$9999,0))),"",INDEX(บันทึกสต็อครายวัน!$K$122:$K$9999,MATCH(TEXT($B$2,"YYYYMMDD")&amp;"|"&amp;$E$2&amp;"|"&amp;B99,บันทึกสต็อครายวัน!$M$122:$M$9999,0))),"")</f>
        <v/>
      </c>
      <c r="L99" s="154" t="str">
        <f>IFERROR(IF(ISBLANK(INDEX(บันทึกสต็อครายวัน!$L$122:$L$9999,MATCH(TEXT($B$2,"YYYYMMDD")&amp;"|"&amp;$E$2&amp;"|"&amp;B99,บันทึกสต็อครายวัน!$M$122:$M$9999,0))),"",INDEX(บันทึกสต็อครายวัน!$L$122:$L$9999,MATCH(TEXT($B$2,"YYYYMMDD")&amp;"|"&amp;$E$2&amp;"|"&amp;B99,บันทึกสต็อครายวัน!$M$122:$M$9999,0))),"")</f>
        <v/>
      </c>
    </row>
    <row r="100" spans="1:12" ht="18" customHeight="1">
      <c r="A100" s="169" t="s">
        <v>175</v>
      </c>
      <c r="B100" s="170" t="s">
        <v>176</v>
      </c>
      <c r="C100" s="171" t="s">
        <v>177</v>
      </c>
      <c r="D100" s="149">
        <f>IFERROR(IF(INDEX(บันทึกสต็อครายวัน!$D$122:$D$9999,MATCH(TEXT($B$2,"YYYYMMDD")&amp;"|"&amp;$E$2&amp;"|"&amp;B100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100)*บันทึกสต็อครายวัน!$A$122:$A$9999)),"YYYYMMDD")&amp;"|"&amp;$E$2&amp;"|"&amp;B100,บันทึกสต็อครายวัน!$M$122:$M$9999,0))),""),INDEX(บันทึกสต็อครายวัน!$D$122:$D$9999,MATCH(TEXT($B$2,"YYYYMMDD")&amp;"|"&amp;$E$2&amp;"|"&amp;B100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100)*บันทึกสต็อครายวัน!$A$122:$A$9999)),"YYYYMMDD")&amp;"|"&amp;$E$2&amp;"|"&amp;B100,บันทึกสต็อครายวัน!$M$122:$M$9999,0))),""))</f>
        <v>0</v>
      </c>
      <c r="E100" s="150">
        <f>IFERROR(IF(INDEX(บันทึกสต็อครายวัน!$E$122:$E$9999,MATCH(TEXT($B$2,"YYYYMMDD")&amp;"|"&amp;$E$2&amp;"|"&amp;B100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100)*บันทึกสต็อครายวัน!$A$122:$A$9999)),"YYYYMMDD")&amp;"|"&amp;$E$2&amp;"|"&amp;B100,บันทึกสต็อครายวัน!$M$122:$M$9999,0))),""),INDEX(บันทึกสต็อครายวัน!$E$122:$E$9999,MATCH(TEXT($B$2,"YYYYMMDD")&amp;"|"&amp;$E$2&amp;"|"&amp;B100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100)*บันทึกสต็อครายวัน!$A$122:$A$9999)),"YYYYMMDD")&amp;"|"&amp;$E$2&amp;"|"&amp;B100,บันทึกสต็อครายวัน!$M$122:$M$9999,0))),""))</f>
        <v>11</v>
      </c>
      <c r="F100" s="155" t="str">
        <f>IFERROR(IF(ISBLANK(INDEX(บันทึกสต็อครายวัน!$F$122:$F$9999,MATCH(TEXT($B$2,"YYYYMMDD")&amp;"|"&amp;$E$2&amp;"|"&amp;B100,บันทึกสต็อครายวัน!$M$122:$M$9999,0))),"",INDEX(บันทึกสต็อครายวัน!$F$122:$F$9999,MATCH(TEXT($B$2,"YYYYMMDD")&amp;"|"&amp;$E$2&amp;"|"&amp;B100,บันทึกสต็อครายวัน!$M$122:$M$9999,0))),"")</f>
        <v/>
      </c>
      <c r="G100" s="149" t="str">
        <f>IFERROR(IF(ISBLANK(INDEX(บันทึกสต็อครายวัน!$G$122:$G$9999,MATCH(TEXT($B$2,"YYYYMMDD")&amp;"|"&amp;$E$2&amp;"|"&amp;B100,บันทึกสต็อครายวัน!$M$122:$M$9999,0))),"",INDEX(บันทึกสต็อครายวัน!$G$122:$G$9999,MATCH(TEXT($B$2,"YYYYMMDD")&amp;"|"&amp;$E$2&amp;"|"&amp;B100,บันทึกสต็อครายวัน!$M$122:$M$9999,0))),"")</f>
        <v/>
      </c>
      <c r="H100" s="156" t="str">
        <f>IFERROR(IF(ISBLANK(INDEX(บันทึกสต็อครายวัน!$H$122:$H$9999,MATCH(TEXT($B$2,"YYYYMMDD")&amp;"|"&amp;$E$2&amp;"|"&amp;B100,บันทึกสต็อครายวัน!$M$122:$M$9999,0))),"",INDEX(บันทึกสต็อครายวัน!$H$122:$H$9999,MATCH(TEXT($B$2,"YYYYMMDD")&amp;"|"&amp;$E$2&amp;"|"&amp;B100,บันทึกสต็อครายวัน!$M$122:$M$9999,0))),"")</f>
        <v/>
      </c>
      <c r="I100" s="155" t="str">
        <f>IFERROR(IF(ISBLANK(INDEX(บันทึกสต็อครายวัน!$I$122:$I$9999,MATCH(TEXT($B$2,"YYYYMMDD")&amp;"|"&amp;$E$2&amp;"|"&amp;B100,บันทึกสต็อครายวัน!$M$122:$M$9999,0))),"",INDEX(บันทึกสต็อครายวัน!$I$122:$I$9999,MATCH(TEXT($B$2,"YYYYMMDD")&amp;"|"&amp;$E$2&amp;"|"&amp;B100,บันทึกสต็อครายวัน!$M$122:$M$9999,0))),"")</f>
        <v/>
      </c>
      <c r="J100" s="153" t="str">
        <f>IFERROR(IF(ISBLANK(INDEX(บันทึกสต็อครายวัน!$J$122:$J$9999,MATCH(TEXT($B$2,"YYYYMMDD")&amp;"|"&amp;$E$2&amp;"|"&amp;B100,บันทึกสต็อครายวัน!$M$122:$M$9999,0))),"",INDEX(บันทึกสต็อครายวัน!$J$122:$J$9999,MATCH(TEXT($B$2,"YYYYMMDD")&amp;"|"&amp;$E$2&amp;"|"&amp;B100,บันทึกสต็อครายวัน!$M$122:$M$9999,0))),"")</f>
        <v/>
      </c>
      <c r="K100" s="154" t="str">
        <f>IFERROR(IF(ISBLANK(INDEX(บันทึกสต็อครายวัน!$K$122:$K$9999,MATCH(TEXT($B$2,"YYYYMMDD")&amp;"|"&amp;$E$2&amp;"|"&amp;B100,บันทึกสต็อครายวัน!$M$122:$M$9999,0))),"",INDEX(บันทึกสต็อครายวัน!$K$122:$K$9999,MATCH(TEXT($B$2,"YYYYMMDD")&amp;"|"&amp;$E$2&amp;"|"&amp;B100,บันทึกสต็อครายวัน!$M$122:$M$9999,0))),"")</f>
        <v/>
      </c>
      <c r="L100" s="154" t="str">
        <f>IFERROR(IF(ISBLANK(INDEX(บันทึกสต็อครายวัน!$L$122:$L$9999,MATCH(TEXT($B$2,"YYYYMMDD")&amp;"|"&amp;$E$2&amp;"|"&amp;B100,บันทึกสต็อครายวัน!$M$122:$M$9999,0))),"",INDEX(บันทึกสต็อครายวัน!$L$122:$L$9999,MATCH(TEXT($B$2,"YYYYMMDD")&amp;"|"&amp;$E$2&amp;"|"&amp;B100,บันทึกสต็อครายวัน!$M$122:$M$9999,0))),"")</f>
        <v/>
      </c>
    </row>
    <row r="101" spans="1:12" ht="18" customHeight="1">
      <c r="A101" s="169" t="s">
        <v>175</v>
      </c>
      <c r="B101" s="170" t="s">
        <v>178</v>
      </c>
      <c r="C101" s="171" t="s">
        <v>177</v>
      </c>
      <c r="D101" s="149">
        <f>IFERROR(IF(INDEX(บันทึกสต็อครายวัน!$D$122:$D$9999,MATCH(TEXT($B$2,"YYYYMMDD")&amp;"|"&amp;$E$2&amp;"|"&amp;B101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101)*บันทึกสต็อครายวัน!$A$122:$A$9999)),"YYYYMMDD")&amp;"|"&amp;$E$2&amp;"|"&amp;B101,บันทึกสต็อครายวัน!$M$122:$M$9999,0))),""),INDEX(บันทึกสต็อครายวัน!$D$122:$D$9999,MATCH(TEXT($B$2,"YYYYMMDD")&amp;"|"&amp;$E$2&amp;"|"&amp;B101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101)*บันทึกสต็อครายวัน!$A$122:$A$9999)),"YYYYMMDD")&amp;"|"&amp;$E$2&amp;"|"&amp;B101,บันทึกสต็อครายวัน!$M$122:$M$9999,0))),""))</f>
        <v>0</v>
      </c>
      <c r="E101" s="150">
        <f>IFERROR(IF(INDEX(บันทึกสต็อครายวัน!$E$122:$E$9999,MATCH(TEXT($B$2,"YYYYMMDD")&amp;"|"&amp;$E$2&amp;"|"&amp;B101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101)*บันทึกสต็อครายวัน!$A$122:$A$9999)),"YYYYMMDD")&amp;"|"&amp;$E$2&amp;"|"&amp;B101,บันทึกสต็อครายวัน!$M$122:$M$9999,0))),""),INDEX(บันทึกสต็อครายวัน!$E$122:$E$9999,MATCH(TEXT($B$2,"YYYYMMDD")&amp;"|"&amp;$E$2&amp;"|"&amp;B101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101)*บันทึกสต็อครายวัน!$A$122:$A$9999)),"YYYYMMDD")&amp;"|"&amp;$E$2&amp;"|"&amp;B101,บันทึกสต็อครายวัน!$M$122:$M$9999,0))),""))</f>
        <v>17</v>
      </c>
      <c r="F101" s="155" t="str">
        <f>IFERROR(IF(ISBLANK(INDEX(บันทึกสต็อครายวัน!$F$122:$F$9999,MATCH(TEXT($B$2,"YYYYMMDD")&amp;"|"&amp;$E$2&amp;"|"&amp;B101,บันทึกสต็อครายวัน!$M$122:$M$9999,0))),"",INDEX(บันทึกสต็อครายวัน!$F$122:$F$9999,MATCH(TEXT($B$2,"YYYYMMDD")&amp;"|"&amp;$E$2&amp;"|"&amp;B101,บันทึกสต็อครายวัน!$M$122:$M$9999,0))),"")</f>
        <v/>
      </c>
      <c r="G101" s="149" t="str">
        <f>IFERROR(IF(ISBLANK(INDEX(บันทึกสต็อครายวัน!$G$122:$G$9999,MATCH(TEXT($B$2,"YYYYMMDD")&amp;"|"&amp;$E$2&amp;"|"&amp;B101,บันทึกสต็อครายวัน!$M$122:$M$9999,0))),"",INDEX(บันทึกสต็อครายวัน!$G$122:$G$9999,MATCH(TEXT($B$2,"YYYYMMDD")&amp;"|"&amp;$E$2&amp;"|"&amp;B101,บันทึกสต็อครายวัน!$M$122:$M$9999,0))),"")</f>
        <v/>
      </c>
      <c r="H101" s="156" t="str">
        <f>IFERROR(IF(ISBLANK(INDEX(บันทึกสต็อครายวัน!$H$122:$H$9999,MATCH(TEXT($B$2,"YYYYMMDD")&amp;"|"&amp;$E$2&amp;"|"&amp;B101,บันทึกสต็อครายวัน!$M$122:$M$9999,0))),"",INDEX(บันทึกสต็อครายวัน!$H$122:$H$9999,MATCH(TEXT($B$2,"YYYYMMDD")&amp;"|"&amp;$E$2&amp;"|"&amp;B101,บันทึกสต็อครายวัน!$M$122:$M$9999,0))),"")</f>
        <v/>
      </c>
      <c r="I101" s="155" t="str">
        <f>IFERROR(IF(ISBLANK(INDEX(บันทึกสต็อครายวัน!$I$122:$I$9999,MATCH(TEXT($B$2,"YYYYMMDD")&amp;"|"&amp;$E$2&amp;"|"&amp;B101,บันทึกสต็อครายวัน!$M$122:$M$9999,0))),"",INDEX(บันทึกสต็อครายวัน!$I$122:$I$9999,MATCH(TEXT($B$2,"YYYYMMDD")&amp;"|"&amp;$E$2&amp;"|"&amp;B101,บันทึกสต็อครายวัน!$M$122:$M$9999,0))),"")</f>
        <v/>
      </c>
      <c r="J101" s="153" t="str">
        <f>IFERROR(IF(ISBLANK(INDEX(บันทึกสต็อครายวัน!$J$122:$J$9999,MATCH(TEXT($B$2,"YYYYMMDD")&amp;"|"&amp;$E$2&amp;"|"&amp;B101,บันทึกสต็อครายวัน!$M$122:$M$9999,0))),"",INDEX(บันทึกสต็อครายวัน!$J$122:$J$9999,MATCH(TEXT($B$2,"YYYYMMDD")&amp;"|"&amp;$E$2&amp;"|"&amp;B101,บันทึกสต็อครายวัน!$M$122:$M$9999,0))),"")</f>
        <v/>
      </c>
      <c r="K101" s="154" t="str">
        <f>IFERROR(IF(ISBLANK(INDEX(บันทึกสต็อครายวัน!$K$122:$K$9999,MATCH(TEXT($B$2,"YYYYMMDD")&amp;"|"&amp;$E$2&amp;"|"&amp;B101,บันทึกสต็อครายวัน!$M$122:$M$9999,0))),"",INDEX(บันทึกสต็อครายวัน!$K$122:$K$9999,MATCH(TEXT($B$2,"YYYYMMDD")&amp;"|"&amp;$E$2&amp;"|"&amp;B101,บันทึกสต็อครายวัน!$M$122:$M$9999,0))),"")</f>
        <v/>
      </c>
      <c r="L101" s="154" t="str">
        <f>IFERROR(IF(ISBLANK(INDEX(บันทึกสต็อครายวัน!$L$122:$L$9999,MATCH(TEXT($B$2,"YYYYMMDD")&amp;"|"&amp;$E$2&amp;"|"&amp;B101,บันทึกสต็อครายวัน!$M$122:$M$9999,0))),"",INDEX(บันทึกสต็อครายวัน!$L$122:$L$9999,MATCH(TEXT($B$2,"YYYYMMDD")&amp;"|"&amp;$E$2&amp;"|"&amp;B101,บันทึกสต็อครายวัน!$M$122:$M$9999,0))),"")</f>
        <v/>
      </c>
    </row>
    <row r="102" spans="1:12" ht="18" customHeight="1">
      <c r="A102" s="169" t="s">
        <v>175</v>
      </c>
      <c r="B102" s="170" t="s">
        <v>179</v>
      </c>
      <c r="C102" s="171" t="s">
        <v>177</v>
      </c>
      <c r="D102" s="149">
        <f>IFERROR(IF(INDEX(บันทึกสต็อครายวัน!$D$122:$D$9999,MATCH(TEXT($B$2,"YYYYMMDD")&amp;"|"&amp;$E$2&amp;"|"&amp;B102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102)*บันทึกสต็อครายวัน!$A$122:$A$9999)),"YYYYMMDD")&amp;"|"&amp;$E$2&amp;"|"&amp;B102,บันทึกสต็อครายวัน!$M$122:$M$9999,0))),""),INDEX(บันทึกสต็อครายวัน!$D$122:$D$9999,MATCH(TEXT($B$2,"YYYYMMDD")&amp;"|"&amp;$E$2&amp;"|"&amp;B102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102)*บันทึกสต็อครายวัน!$A$122:$A$9999)),"YYYYMMDD")&amp;"|"&amp;$E$2&amp;"|"&amp;B102,บันทึกสต็อครายวัน!$M$122:$M$9999,0))),""))</f>
        <v>0</v>
      </c>
      <c r="E102" s="150">
        <f>IFERROR(IF(INDEX(บันทึกสต็อครายวัน!$E$122:$E$9999,MATCH(TEXT($B$2,"YYYYMMDD")&amp;"|"&amp;$E$2&amp;"|"&amp;B102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102)*บันทึกสต็อครายวัน!$A$122:$A$9999)),"YYYYMMDD")&amp;"|"&amp;$E$2&amp;"|"&amp;B102,บันทึกสต็อครายวัน!$M$122:$M$9999,0))),""),INDEX(บันทึกสต็อครายวัน!$E$122:$E$9999,MATCH(TEXT($B$2,"YYYYMMDD")&amp;"|"&amp;$E$2&amp;"|"&amp;B102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102)*บันทึกสต็อครายวัน!$A$122:$A$9999)),"YYYYMMDD")&amp;"|"&amp;$E$2&amp;"|"&amp;B102,บันทึกสต็อครายวัน!$M$122:$M$9999,0))),""))</f>
        <v>17</v>
      </c>
      <c r="F102" s="155" t="str">
        <f>IFERROR(IF(ISBLANK(INDEX(บันทึกสต็อครายวัน!$F$122:$F$9999,MATCH(TEXT($B$2,"YYYYMMDD")&amp;"|"&amp;$E$2&amp;"|"&amp;B102,บันทึกสต็อครายวัน!$M$122:$M$9999,0))),"",INDEX(บันทึกสต็อครายวัน!$F$122:$F$9999,MATCH(TEXT($B$2,"YYYYMMDD")&amp;"|"&amp;$E$2&amp;"|"&amp;B102,บันทึกสต็อครายวัน!$M$122:$M$9999,0))),"")</f>
        <v/>
      </c>
      <c r="G102" s="149" t="str">
        <f>IFERROR(IF(ISBLANK(INDEX(บันทึกสต็อครายวัน!$G$122:$G$9999,MATCH(TEXT($B$2,"YYYYMMDD")&amp;"|"&amp;$E$2&amp;"|"&amp;B102,บันทึกสต็อครายวัน!$M$122:$M$9999,0))),"",INDEX(บันทึกสต็อครายวัน!$G$122:$G$9999,MATCH(TEXT($B$2,"YYYYMMDD")&amp;"|"&amp;$E$2&amp;"|"&amp;B102,บันทึกสต็อครายวัน!$M$122:$M$9999,0))),"")</f>
        <v/>
      </c>
      <c r="H102" s="156" t="str">
        <f>IFERROR(IF(ISBLANK(INDEX(บันทึกสต็อครายวัน!$H$122:$H$9999,MATCH(TEXT($B$2,"YYYYMMDD")&amp;"|"&amp;$E$2&amp;"|"&amp;B102,บันทึกสต็อครายวัน!$M$122:$M$9999,0))),"",INDEX(บันทึกสต็อครายวัน!$H$122:$H$9999,MATCH(TEXT($B$2,"YYYYMMDD")&amp;"|"&amp;$E$2&amp;"|"&amp;B102,บันทึกสต็อครายวัน!$M$122:$M$9999,0))),"")</f>
        <v/>
      </c>
      <c r="I102" s="155" t="str">
        <f>IFERROR(IF(ISBLANK(INDEX(บันทึกสต็อครายวัน!$I$122:$I$9999,MATCH(TEXT($B$2,"YYYYMMDD")&amp;"|"&amp;$E$2&amp;"|"&amp;B102,บันทึกสต็อครายวัน!$M$122:$M$9999,0))),"",INDEX(บันทึกสต็อครายวัน!$I$122:$I$9999,MATCH(TEXT($B$2,"YYYYMMDD")&amp;"|"&amp;$E$2&amp;"|"&amp;B102,บันทึกสต็อครายวัน!$M$122:$M$9999,0))),"")</f>
        <v/>
      </c>
      <c r="J102" s="153" t="str">
        <f>IFERROR(IF(ISBLANK(INDEX(บันทึกสต็อครายวัน!$J$122:$J$9999,MATCH(TEXT($B$2,"YYYYMMDD")&amp;"|"&amp;$E$2&amp;"|"&amp;B102,บันทึกสต็อครายวัน!$M$122:$M$9999,0))),"",INDEX(บันทึกสต็อครายวัน!$J$122:$J$9999,MATCH(TEXT($B$2,"YYYYMMDD")&amp;"|"&amp;$E$2&amp;"|"&amp;B102,บันทึกสต็อครายวัน!$M$122:$M$9999,0))),"")</f>
        <v/>
      </c>
      <c r="K102" s="154" t="str">
        <f>IFERROR(IF(ISBLANK(INDEX(บันทึกสต็อครายวัน!$K$122:$K$9999,MATCH(TEXT($B$2,"YYYYMMDD")&amp;"|"&amp;$E$2&amp;"|"&amp;B102,บันทึกสต็อครายวัน!$M$122:$M$9999,0))),"",INDEX(บันทึกสต็อครายวัน!$K$122:$K$9999,MATCH(TEXT($B$2,"YYYYMMDD")&amp;"|"&amp;$E$2&amp;"|"&amp;B102,บันทึกสต็อครายวัน!$M$122:$M$9999,0))),"")</f>
        <v/>
      </c>
      <c r="L102" s="154" t="str">
        <f>IFERROR(IF(ISBLANK(INDEX(บันทึกสต็อครายวัน!$L$122:$L$9999,MATCH(TEXT($B$2,"YYYYMMDD")&amp;"|"&amp;$E$2&amp;"|"&amp;B102,บันทึกสต็อครายวัน!$M$122:$M$9999,0))),"",INDEX(บันทึกสต็อครายวัน!$L$122:$L$9999,MATCH(TEXT($B$2,"YYYYMMDD")&amp;"|"&amp;$E$2&amp;"|"&amp;B102,บันทึกสต็อครายวัน!$M$122:$M$9999,0))),"")</f>
        <v/>
      </c>
    </row>
    <row r="103" spans="1:12" ht="18" customHeight="1">
      <c r="A103" s="169" t="s">
        <v>175</v>
      </c>
      <c r="B103" s="170" t="s">
        <v>180</v>
      </c>
      <c r="C103" s="171" t="s">
        <v>177</v>
      </c>
      <c r="D103" s="149">
        <f>IFERROR(IF(INDEX(บันทึกสต็อครายวัน!$D$122:$D$9999,MATCH(TEXT($B$2,"YYYYMMDD")&amp;"|"&amp;$E$2&amp;"|"&amp;B103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103)*บันทึกสต็อครายวัน!$A$122:$A$9999)),"YYYYMMDD")&amp;"|"&amp;$E$2&amp;"|"&amp;B103,บันทึกสต็อครายวัน!$M$122:$M$9999,0))),""),INDEX(บันทึกสต็อครายวัน!$D$122:$D$9999,MATCH(TEXT($B$2,"YYYYMMDD")&amp;"|"&amp;$E$2&amp;"|"&amp;B103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103)*บันทึกสต็อครายวัน!$A$122:$A$9999)),"YYYYMMDD")&amp;"|"&amp;$E$2&amp;"|"&amp;B103,บันทึกสต็อครายวัน!$M$122:$M$9999,0))),""))</f>
        <v>0</v>
      </c>
      <c r="E103" s="150">
        <f>IFERROR(IF(INDEX(บันทึกสต็อครายวัน!$E$122:$E$9999,MATCH(TEXT($B$2,"YYYYMMDD")&amp;"|"&amp;$E$2&amp;"|"&amp;B103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103)*บันทึกสต็อครายวัน!$A$122:$A$9999)),"YYYYMMDD")&amp;"|"&amp;$E$2&amp;"|"&amp;B103,บันทึกสต็อครายวัน!$M$122:$M$9999,0))),""),INDEX(บันทึกสต็อครายวัน!$E$122:$E$9999,MATCH(TEXT($B$2,"YYYYMMDD")&amp;"|"&amp;$E$2&amp;"|"&amp;B103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103)*บันทึกสต็อครายวัน!$A$122:$A$9999)),"YYYYMMDD")&amp;"|"&amp;$E$2&amp;"|"&amp;B103,บันทึกสต็อครายวัน!$M$122:$M$9999,0))),""))</f>
        <v>18</v>
      </c>
      <c r="F103" s="155" t="str">
        <f>IFERROR(IF(ISBLANK(INDEX(บันทึกสต็อครายวัน!$F$122:$F$9999,MATCH(TEXT($B$2,"YYYYMMDD")&amp;"|"&amp;$E$2&amp;"|"&amp;B103,บันทึกสต็อครายวัน!$M$122:$M$9999,0))),"",INDEX(บันทึกสต็อครายวัน!$F$122:$F$9999,MATCH(TEXT($B$2,"YYYYMMDD")&amp;"|"&amp;$E$2&amp;"|"&amp;B103,บันทึกสต็อครายวัน!$M$122:$M$9999,0))),"")</f>
        <v/>
      </c>
      <c r="G103" s="149" t="str">
        <f>IFERROR(IF(ISBLANK(INDEX(บันทึกสต็อครายวัน!$G$122:$G$9999,MATCH(TEXT($B$2,"YYYYMMDD")&amp;"|"&amp;$E$2&amp;"|"&amp;B103,บันทึกสต็อครายวัน!$M$122:$M$9999,0))),"",INDEX(บันทึกสต็อครายวัน!$G$122:$G$9999,MATCH(TEXT($B$2,"YYYYMMDD")&amp;"|"&amp;$E$2&amp;"|"&amp;B103,บันทึกสต็อครายวัน!$M$122:$M$9999,0))),"")</f>
        <v/>
      </c>
      <c r="H103" s="156" t="str">
        <f>IFERROR(IF(ISBLANK(INDEX(บันทึกสต็อครายวัน!$H$122:$H$9999,MATCH(TEXT($B$2,"YYYYMMDD")&amp;"|"&amp;$E$2&amp;"|"&amp;B103,บันทึกสต็อครายวัน!$M$122:$M$9999,0))),"",INDEX(บันทึกสต็อครายวัน!$H$122:$H$9999,MATCH(TEXT($B$2,"YYYYMMDD")&amp;"|"&amp;$E$2&amp;"|"&amp;B103,บันทึกสต็อครายวัน!$M$122:$M$9999,0))),"")</f>
        <v/>
      </c>
      <c r="I103" s="155" t="str">
        <f>IFERROR(IF(ISBLANK(INDEX(บันทึกสต็อครายวัน!$I$122:$I$9999,MATCH(TEXT($B$2,"YYYYMMDD")&amp;"|"&amp;$E$2&amp;"|"&amp;B103,บันทึกสต็อครายวัน!$M$122:$M$9999,0))),"",INDEX(บันทึกสต็อครายวัน!$I$122:$I$9999,MATCH(TEXT($B$2,"YYYYMMDD")&amp;"|"&amp;$E$2&amp;"|"&amp;B103,บันทึกสต็อครายวัน!$M$122:$M$9999,0))),"")</f>
        <v/>
      </c>
      <c r="J103" s="153" t="str">
        <f>IFERROR(IF(ISBLANK(INDEX(บันทึกสต็อครายวัน!$J$122:$J$9999,MATCH(TEXT($B$2,"YYYYMMDD")&amp;"|"&amp;$E$2&amp;"|"&amp;B103,บันทึกสต็อครายวัน!$M$122:$M$9999,0))),"",INDEX(บันทึกสต็อครายวัน!$J$122:$J$9999,MATCH(TEXT($B$2,"YYYYMMDD")&amp;"|"&amp;$E$2&amp;"|"&amp;B103,บันทึกสต็อครายวัน!$M$122:$M$9999,0))),"")</f>
        <v/>
      </c>
      <c r="K103" s="154" t="str">
        <f>IFERROR(IF(ISBLANK(INDEX(บันทึกสต็อครายวัน!$K$122:$K$9999,MATCH(TEXT($B$2,"YYYYMMDD")&amp;"|"&amp;$E$2&amp;"|"&amp;B103,บันทึกสต็อครายวัน!$M$122:$M$9999,0))),"",INDEX(บันทึกสต็อครายวัน!$K$122:$K$9999,MATCH(TEXT($B$2,"YYYYMMDD")&amp;"|"&amp;$E$2&amp;"|"&amp;B103,บันทึกสต็อครายวัน!$M$122:$M$9999,0))),"")</f>
        <v/>
      </c>
      <c r="L103" s="154" t="str">
        <f>IFERROR(IF(ISBLANK(INDEX(บันทึกสต็อครายวัน!$L$122:$L$9999,MATCH(TEXT($B$2,"YYYYMMDD")&amp;"|"&amp;$E$2&amp;"|"&amp;B103,บันทึกสต็อครายวัน!$M$122:$M$9999,0))),"",INDEX(บันทึกสต็อครายวัน!$L$122:$L$9999,MATCH(TEXT($B$2,"YYYYMMDD")&amp;"|"&amp;$E$2&amp;"|"&amp;B103,บันทึกสต็อครายวัน!$M$122:$M$9999,0))),"")</f>
        <v/>
      </c>
    </row>
    <row r="104" spans="1:12" ht="18" customHeight="1">
      <c r="A104" s="169" t="s">
        <v>181</v>
      </c>
      <c r="B104" s="170" t="s">
        <v>182</v>
      </c>
      <c r="C104" s="171" t="s">
        <v>183</v>
      </c>
      <c r="D104" s="149">
        <f>IFERROR(IF(INDEX(บันทึกสต็อครายวัน!$D$122:$D$9999,MATCH(TEXT($B$2,"YYYYMMDD")&amp;"|"&amp;$E$2&amp;"|"&amp;B104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104)*บันทึกสต็อครายวัน!$A$122:$A$9999)),"YYYYMMDD")&amp;"|"&amp;$E$2&amp;"|"&amp;B104,บันทึกสต็อครายวัน!$M$122:$M$9999,0))),""),INDEX(บันทึกสต็อครายวัน!$D$122:$D$9999,MATCH(TEXT($B$2,"YYYYMMDD")&amp;"|"&amp;$E$2&amp;"|"&amp;B104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104)*บันทึกสต็อครายวัน!$A$122:$A$9999)),"YYYYMMDD")&amp;"|"&amp;$E$2&amp;"|"&amp;B104,บันทึกสต็อครายวัน!$M$122:$M$9999,0))),""))</f>
        <v>1</v>
      </c>
      <c r="E104" s="150">
        <f>IFERROR(IF(INDEX(บันทึกสต็อครายวัน!$E$122:$E$9999,MATCH(TEXT($B$2,"YYYYMMDD")&amp;"|"&amp;$E$2&amp;"|"&amp;B104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104)*บันทึกสต็อครายวัน!$A$122:$A$9999)),"YYYYMMDD")&amp;"|"&amp;$E$2&amp;"|"&amp;B104,บันทึกสต็อครายวัน!$M$122:$M$9999,0))),""),INDEX(บันทึกสต็อครายวัน!$E$122:$E$9999,MATCH(TEXT($B$2,"YYYYMMDD")&amp;"|"&amp;$E$2&amp;"|"&amp;B104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104)*บันทึกสต็อครายวัน!$A$122:$A$9999)),"YYYYMMDD")&amp;"|"&amp;$E$2&amp;"|"&amp;B104,บันทึกสต็อครายวัน!$M$122:$M$9999,0))),""))</f>
        <v>190</v>
      </c>
      <c r="F104" s="149" t="str">
        <f>IFERROR(IF(ISBLANK(INDEX(บันทึกสต็อครายวัน!$F$122:$F$9999,MATCH(TEXT($B$2,"YYYYMMDD")&amp;"|"&amp;$E$2&amp;"|"&amp;B104,บันทึกสต็อครายวัน!$M$122:$M$9999,0))),"",INDEX(บันทึกสต็อครายวัน!$F$122:$F$9999,MATCH(TEXT($B$2,"YYYYMMDD")&amp;"|"&amp;$E$2&amp;"|"&amp;B104,บันทึกสต็อครายวัน!$M$122:$M$9999,0))),"")</f>
        <v/>
      </c>
      <c r="G104" s="155" t="str">
        <f>IFERROR(IF(ISBLANK(INDEX(บันทึกสต็อครายวัน!$G$122:$G$9999,MATCH(TEXT($B$2,"YYYYMMDD")&amp;"|"&amp;$E$2&amp;"|"&amp;B104,บันทึกสต็อครายวัน!$M$122:$M$9999,0))),"",INDEX(บันทึกสต็อครายวัน!$G$122:$G$9999,MATCH(TEXT($B$2,"YYYYMMDD")&amp;"|"&amp;$E$2&amp;"|"&amp;B104,บันทึกสต็อครายวัน!$M$122:$M$9999,0))),"")</f>
        <v/>
      </c>
      <c r="H104" s="152" t="str">
        <f>IFERROR(IF(ISBLANK(INDEX(บันทึกสต็อครายวัน!$H$122:$H$9999,MATCH(TEXT($B$2,"YYYYMMDD")&amp;"|"&amp;$E$2&amp;"|"&amp;B104,บันทึกสต็อครายวัน!$M$122:$M$9999,0))),"",INDEX(บันทึกสต็อครายวัน!$H$122:$H$9999,MATCH(TEXT($B$2,"YYYYMMDD")&amp;"|"&amp;$E$2&amp;"|"&amp;B104,บันทึกสต็อครายวัน!$M$122:$M$9999,0))),"")</f>
        <v/>
      </c>
      <c r="I104" s="153" t="str">
        <f>IFERROR(IF(ISBLANK(INDEX(บันทึกสต็อครายวัน!$I$122:$I$9999,MATCH(TEXT($B$2,"YYYYMMDD")&amp;"|"&amp;$E$2&amp;"|"&amp;B104,บันทึกสต็อครายวัน!$M$122:$M$9999,0))),"",INDEX(บันทึกสต็อครายวัน!$I$122:$I$9999,MATCH(TEXT($B$2,"YYYYMMDD")&amp;"|"&amp;$E$2&amp;"|"&amp;B104,บันทึกสต็อครายวัน!$M$122:$M$9999,0))),"")</f>
        <v/>
      </c>
      <c r="J104" s="153" t="str">
        <f>IFERROR(IF(ISBLANK(INDEX(บันทึกสต็อครายวัน!$J$122:$J$9999,MATCH(TEXT($B$2,"YYYYMMDD")&amp;"|"&amp;$E$2&amp;"|"&amp;B104,บันทึกสต็อครายวัน!$M$122:$M$9999,0))),"",INDEX(บันทึกสต็อครายวัน!$J$122:$J$9999,MATCH(TEXT($B$2,"YYYYMMDD")&amp;"|"&amp;$E$2&amp;"|"&amp;B104,บันทึกสต็อครายวัน!$M$122:$M$9999,0))),"")</f>
        <v/>
      </c>
      <c r="K104" s="154" t="str">
        <f>IFERROR(IF(ISBLANK(INDEX(บันทึกสต็อครายวัน!$K$122:$K$9999,MATCH(TEXT($B$2,"YYYYMMDD")&amp;"|"&amp;$E$2&amp;"|"&amp;B104,บันทึกสต็อครายวัน!$M$122:$M$9999,0))),"",INDEX(บันทึกสต็อครายวัน!$K$122:$K$9999,MATCH(TEXT($B$2,"YYYYMMDD")&amp;"|"&amp;$E$2&amp;"|"&amp;B104,บันทึกสต็อครายวัน!$M$122:$M$9999,0))),"")</f>
        <v/>
      </c>
      <c r="L104" s="154" t="str">
        <f>IFERROR(IF(ISBLANK(INDEX(บันทึกสต็อครายวัน!$L$122:$L$9999,MATCH(TEXT($B$2,"YYYYMMDD")&amp;"|"&amp;$E$2&amp;"|"&amp;B104,บันทึกสต็อครายวัน!$M$122:$M$9999,0))),"",INDEX(บันทึกสต็อครายวัน!$L$122:$L$9999,MATCH(TEXT($B$2,"YYYYMMDD")&amp;"|"&amp;$E$2&amp;"|"&amp;B104,บันทึกสต็อครายวัน!$M$122:$M$9999,0))),"")</f>
        <v/>
      </c>
    </row>
    <row r="105" spans="1:12" ht="18" customHeight="1">
      <c r="A105" s="169" t="s">
        <v>181</v>
      </c>
      <c r="B105" s="170" t="s">
        <v>184</v>
      </c>
      <c r="C105" s="171" t="s">
        <v>183</v>
      </c>
      <c r="D105" s="149">
        <f>IFERROR(IF(INDEX(บันทึกสต็อครายวัน!$D$122:$D$9999,MATCH(TEXT($B$2,"YYYYMMDD")&amp;"|"&amp;$E$2&amp;"|"&amp;B105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105)*บันทึกสต็อครายวัน!$A$122:$A$9999)),"YYYYMMDD")&amp;"|"&amp;$E$2&amp;"|"&amp;B105,บันทึกสต็อครายวัน!$M$122:$M$9999,0))),""),INDEX(บันทึกสต็อครายวัน!$D$122:$D$9999,MATCH(TEXT($B$2,"YYYYMMDD")&amp;"|"&amp;$E$2&amp;"|"&amp;B105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105)*บันทึกสต็อครายวัน!$A$122:$A$9999)),"YYYYMMDD")&amp;"|"&amp;$E$2&amp;"|"&amp;B105,บันทึกสต็อครายวัน!$M$122:$M$9999,0))),""))</f>
        <v>1</v>
      </c>
      <c r="E105" s="150">
        <f>IFERROR(IF(INDEX(บันทึกสต็อครายวัน!$E$122:$E$9999,MATCH(TEXT($B$2,"YYYYMMDD")&amp;"|"&amp;$E$2&amp;"|"&amp;B105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105)*บันทึกสต็อครายวัน!$A$122:$A$9999)),"YYYYMMDD")&amp;"|"&amp;$E$2&amp;"|"&amp;B105,บันทึกสต็อครายวัน!$M$122:$M$9999,0))),""),INDEX(บันทึกสต็อครายวัน!$E$122:$E$9999,MATCH(TEXT($B$2,"YYYYMMDD")&amp;"|"&amp;$E$2&amp;"|"&amp;B105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105)*บันทึกสต็อครายวัน!$A$122:$A$9999)),"YYYYMMDD")&amp;"|"&amp;$E$2&amp;"|"&amp;B105,บันทึกสต็อครายวัน!$M$122:$M$9999,0))),""))</f>
        <v>55</v>
      </c>
      <c r="F105" s="149" t="str">
        <f>IFERROR(IF(ISBLANK(INDEX(บันทึกสต็อครายวัน!$F$122:$F$9999,MATCH(TEXT($B$2,"YYYYMMDD")&amp;"|"&amp;$E$2&amp;"|"&amp;B105,บันทึกสต็อครายวัน!$M$122:$M$9999,0))),"",INDEX(บันทึกสต็อครายวัน!$F$122:$F$9999,MATCH(TEXT($B$2,"YYYYMMDD")&amp;"|"&amp;$E$2&amp;"|"&amp;B105,บันทึกสต็อครายวัน!$M$122:$M$9999,0))),"")</f>
        <v/>
      </c>
      <c r="G105" s="155" t="str">
        <f>IFERROR(IF(ISBLANK(INDEX(บันทึกสต็อครายวัน!$G$122:$G$9999,MATCH(TEXT($B$2,"YYYYMMDD")&amp;"|"&amp;$E$2&amp;"|"&amp;B105,บันทึกสต็อครายวัน!$M$122:$M$9999,0))),"",INDEX(บันทึกสต็อครายวัน!$G$122:$G$9999,MATCH(TEXT($B$2,"YYYYMMDD")&amp;"|"&amp;$E$2&amp;"|"&amp;B105,บันทึกสต็อครายวัน!$M$122:$M$9999,0))),"")</f>
        <v/>
      </c>
      <c r="H105" s="152" t="str">
        <f>IFERROR(IF(ISBLANK(INDEX(บันทึกสต็อครายวัน!$H$122:$H$9999,MATCH(TEXT($B$2,"YYYYMMDD")&amp;"|"&amp;$E$2&amp;"|"&amp;B105,บันทึกสต็อครายวัน!$M$122:$M$9999,0))),"",INDEX(บันทึกสต็อครายวัน!$H$122:$H$9999,MATCH(TEXT($B$2,"YYYYMMDD")&amp;"|"&amp;$E$2&amp;"|"&amp;B105,บันทึกสต็อครายวัน!$M$122:$M$9999,0))),"")</f>
        <v/>
      </c>
      <c r="I105" s="153" t="str">
        <f>IFERROR(IF(ISBLANK(INDEX(บันทึกสต็อครายวัน!$I$122:$I$9999,MATCH(TEXT($B$2,"YYYYMMDD")&amp;"|"&amp;$E$2&amp;"|"&amp;B105,บันทึกสต็อครายวัน!$M$122:$M$9999,0))),"",INDEX(บันทึกสต็อครายวัน!$I$122:$I$9999,MATCH(TEXT($B$2,"YYYYMMDD")&amp;"|"&amp;$E$2&amp;"|"&amp;B105,บันทึกสต็อครายวัน!$M$122:$M$9999,0))),"")</f>
        <v/>
      </c>
      <c r="J105" s="153" t="str">
        <f>IFERROR(IF(ISBLANK(INDEX(บันทึกสต็อครายวัน!$J$122:$J$9999,MATCH(TEXT($B$2,"YYYYMMDD")&amp;"|"&amp;$E$2&amp;"|"&amp;B105,บันทึกสต็อครายวัน!$M$122:$M$9999,0))),"",INDEX(บันทึกสต็อครายวัน!$J$122:$J$9999,MATCH(TEXT($B$2,"YYYYMMDD")&amp;"|"&amp;$E$2&amp;"|"&amp;B105,บันทึกสต็อครายวัน!$M$122:$M$9999,0))),"")</f>
        <v/>
      </c>
      <c r="K105" s="154" t="str">
        <f>IFERROR(IF(ISBLANK(INDEX(บันทึกสต็อครายวัน!$K$122:$K$9999,MATCH(TEXT($B$2,"YYYYMMDD")&amp;"|"&amp;$E$2&amp;"|"&amp;B105,บันทึกสต็อครายวัน!$M$122:$M$9999,0))),"",INDEX(บันทึกสต็อครายวัน!$K$122:$K$9999,MATCH(TEXT($B$2,"YYYYMMDD")&amp;"|"&amp;$E$2&amp;"|"&amp;B105,บันทึกสต็อครายวัน!$M$122:$M$9999,0))),"")</f>
        <v/>
      </c>
      <c r="L105" s="154" t="str">
        <f>IFERROR(IF(ISBLANK(INDEX(บันทึกสต็อครายวัน!$L$122:$L$9999,MATCH(TEXT($B$2,"YYYYMMDD")&amp;"|"&amp;$E$2&amp;"|"&amp;B105,บันทึกสต็อครายวัน!$M$122:$M$9999,0))),"",INDEX(บันทึกสต็อครายวัน!$L$122:$L$9999,MATCH(TEXT($B$2,"YYYYMMDD")&amp;"|"&amp;$E$2&amp;"|"&amp;B105,บันทึกสต็อครายวัน!$M$122:$M$9999,0))),"")</f>
        <v/>
      </c>
    </row>
    <row r="106" spans="1:12" ht="18" customHeight="1">
      <c r="A106" s="169" t="s">
        <v>181</v>
      </c>
      <c r="B106" s="170" t="s">
        <v>185</v>
      </c>
      <c r="C106" s="171" t="s">
        <v>183</v>
      </c>
      <c r="D106" s="149">
        <f>IFERROR(IF(INDEX(บันทึกสต็อครายวัน!$D$122:$D$9999,MATCH(TEXT($B$2,"YYYYMMDD")&amp;"|"&amp;$E$2&amp;"|"&amp;B106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106)*บันทึกสต็อครายวัน!$A$122:$A$9999)),"YYYYMMDD")&amp;"|"&amp;$E$2&amp;"|"&amp;B106,บันทึกสต็อครายวัน!$M$122:$M$9999,0))),""),INDEX(บันทึกสต็อครายวัน!$D$122:$D$9999,MATCH(TEXT($B$2,"YYYYMMDD")&amp;"|"&amp;$E$2&amp;"|"&amp;B106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106)*บันทึกสต็อครายวัน!$A$122:$A$9999)),"YYYYMMDD")&amp;"|"&amp;$E$2&amp;"|"&amp;B106,บันทึกสต็อครายวัน!$M$122:$M$9999,0))),""))</f>
        <v>1</v>
      </c>
      <c r="E106" s="150">
        <f>IFERROR(IF(INDEX(บันทึกสต็อครายวัน!$E$122:$E$9999,MATCH(TEXT($B$2,"YYYYMMDD")&amp;"|"&amp;$E$2&amp;"|"&amp;B106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106)*บันทึกสต็อครายวัน!$A$122:$A$9999)),"YYYYMMDD")&amp;"|"&amp;$E$2&amp;"|"&amp;B106,บันทึกสต็อครายวัน!$M$122:$M$9999,0))),""),INDEX(บันทึกสต็อครายวัน!$E$122:$E$9999,MATCH(TEXT($B$2,"YYYYMMDD")&amp;"|"&amp;$E$2&amp;"|"&amp;B106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106)*บันทึกสต็อครายวัน!$A$122:$A$9999)),"YYYYMMDD")&amp;"|"&amp;$E$2&amp;"|"&amp;B106,บันทึกสต็อครายวัน!$M$122:$M$9999,0))),""))</f>
        <v>14</v>
      </c>
      <c r="F106" s="149" t="str">
        <f>IFERROR(IF(ISBLANK(INDEX(บันทึกสต็อครายวัน!$F$122:$F$9999,MATCH(TEXT($B$2,"YYYYMMDD")&amp;"|"&amp;$E$2&amp;"|"&amp;B106,บันทึกสต็อครายวัน!$M$122:$M$9999,0))),"",INDEX(บันทึกสต็อครายวัน!$F$122:$F$9999,MATCH(TEXT($B$2,"YYYYMMDD")&amp;"|"&amp;$E$2&amp;"|"&amp;B106,บันทึกสต็อครายวัน!$M$122:$M$9999,0))),"")</f>
        <v/>
      </c>
      <c r="G106" s="155" t="str">
        <f>IFERROR(IF(ISBLANK(INDEX(บันทึกสต็อครายวัน!$G$122:$G$9999,MATCH(TEXT($B$2,"YYYYMMDD")&amp;"|"&amp;$E$2&amp;"|"&amp;B106,บันทึกสต็อครายวัน!$M$122:$M$9999,0))),"",INDEX(บันทึกสต็อครายวัน!$G$122:$G$9999,MATCH(TEXT($B$2,"YYYYMMDD")&amp;"|"&amp;$E$2&amp;"|"&amp;B106,บันทึกสต็อครายวัน!$M$122:$M$9999,0))),"")</f>
        <v/>
      </c>
      <c r="H106" s="152" t="str">
        <f>IFERROR(IF(ISBLANK(INDEX(บันทึกสต็อครายวัน!$H$122:$H$9999,MATCH(TEXT($B$2,"YYYYMMDD")&amp;"|"&amp;$E$2&amp;"|"&amp;B106,บันทึกสต็อครายวัน!$M$122:$M$9999,0))),"",INDEX(บันทึกสต็อครายวัน!$H$122:$H$9999,MATCH(TEXT($B$2,"YYYYMMDD")&amp;"|"&amp;$E$2&amp;"|"&amp;B106,บันทึกสต็อครายวัน!$M$122:$M$9999,0))),"")</f>
        <v/>
      </c>
      <c r="I106" s="153" t="str">
        <f>IFERROR(IF(ISBLANK(INDEX(บันทึกสต็อครายวัน!$I$122:$I$9999,MATCH(TEXT($B$2,"YYYYMMDD")&amp;"|"&amp;$E$2&amp;"|"&amp;B106,บันทึกสต็อครายวัน!$M$122:$M$9999,0))),"",INDEX(บันทึกสต็อครายวัน!$I$122:$I$9999,MATCH(TEXT($B$2,"YYYYMMDD")&amp;"|"&amp;$E$2&amp;"|"&amp;B106,บันทึกสต็อครายวัน!$M$122:$M$9999,0))),"")</f>
        <v/>
      </c>
      <c r="J106" s="153" t="str">
        <f>IFERROR(IF(ISBLANK(INDEX(บันทึกสต็อครายวัน!$J$122:$J$9999,MATCH(TEXT($B$2,"YYYYMMDD")&amp;"|"&amp;$E$2&amp;"|"&amp;B106,บันทึกสต็อครายวัน!$M$122:$M$9999,0))),"",INDEX(บันทึกสต็อครายวัน!$J$122:$J$9999,MATCH(TEXT($B$2,"YYYYMMDD")&amp;"|"&amp;$E$2&amp;"|"&amp;B106,บันทึกสต็อครายวัน!$M$122:$M$9999,0))),"")</f>
        <v/>
      </c>
      <c r="K106" s="154" t="str">
        <f>IFERROR(IF(ISBLANK(INDEX(บันทึกสต็อครายวัน!$K$122:$K$9999,MATCH(TEXT($B$2,"YYYYMMDD")&amp;"|"&amp;$E$2&amp;"|"&amp;B106,บันทึกสต็อครายวัน!$M$122:$M$9999,0))),"",INDEX(บันทึกสต็อครายวัน!$K$122:$K$9999,MATCH(TEXT($B$2,"YYYYMMDD")&amp;"|"&amp;$E$2&amp;"|"&amp;B106,บันทึกสต็อครายวัน!$M$122:$M$9999,0))),"")</f>
        <v/>
      </c>
      <c r="L106" s="154" t="str">
        <f>IFERROR(IF(ISBLANK(INDEX(บันทึกสต็อครายวัน!$L$122:$L$9999,MATCH(TEXT($B$2,"YYYYMMDD")&amp;"|"&amp;$E$2&amp;"|"&amp;B106,บันทึกสต็อครายวัน!$M$122:$M$9999,0))),"",INDEX(บันทึกสต็อครายวัน!$L$122:$L$9999,MATCH(TEXT($B$2,"YYYYMMDD")&amp;"|"&amp;$E$2&amp;"|"&amp;B106,บันทึกสต็อครายวัน!$M$122:$M$9999,0))),"")</f>
        <v/>
      </c>
    </row>
    <row r="107" spans="1:12" ht="18" customHeight="1">
      <c r="A107" s="169" t="s">
        <v>181</v>
      </c>
      <c r="B107" s="170" t="s">
        <v>186</v>
      </c>
      <c r="C107" s="171" t="s">
        <v>187</v>
      </c>
      <c r="D107" s="149">
        <f>IFERROR(IF(INDEX(บันทึกสต็อครายวัน!$D$122:$D$9999,MATCH(TEXT($B$2,"YYYYMMDD")&amp;"|"&amp;$E$2&amp;"|"&amp;B107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107)*บันทึกสต็อครายวัน!$A$122:$A$9999)),"YYYYMMDD")&amp;"|"&amp;$E$2&amp;"|"&amp;B107,บันทึกสต็อครายวัน!$M$122:$M$9999,0))),""),INDEX(บันทึกสต็อครายวัน!$D$122:$D$9999,MATCH(TEXT($B$2,"YYYYMMDD")&amp;"|"&amp;$E$2&amp;"|"&amp;B107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107)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107)*บันทึกสต็อครายวัน!$A$122:$A$9999)),"YYYYMMDD")&amp;"|"&amp;$E$2&amp;"|"&amp;B107,บันทึกสต็อครายวัน!$M$122:$M$9999,0))),""))</f>
        <v>0</v>
      </c>
      <c r="E107" s="150">
        <f>IFERROR(IF(INDEX(บันทึกสต็อครายวัน!$E$122:$E$9999,MATCH(TEXT($B$2,"YYYYMMDD")&amp;"|"&amp;$E$2&amp;"|"&amp;B107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107)*บันทึกสต็อครายวัน!$A$122:$A$9999)),"YYYYMMDD")&amp;"|"&amp;$E$2&amp;"|"&amp;B107,บันทึกสต็อครายวัน!$M$122:$M$9999,0))),""),INDEX(บันทึกสต็อครายวัน!$E$122:$E$9999,MATCH(TEXT($B$2,"YYYYMMDD")&amp;"|"&amp;$E$2&amp;"|"&amp;B107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107)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107)*บันทึกสต็อครายวัน!$A$122:$A$9999)),"YYYYMMDD")&amp;"|"&amp;$E$2&amp;"|"&amp;B107,บันทึกสต็อครายวัน!$M$122:$M$9999,0))),""))</f>
        <v>749</v>
      </c>
      <c r="F107" s="149" t="str">
        <f>IFERROR(IF(ISBLANK(INDEX(บันทึกสต็อครายวัน!$F$122:$F$9999,MATCH(TEXT($B$2,"YYYYMMDD")&amp;"|"&amp;$E$2&amp;"|"&amp;B107,บันทึกสต็อครายวัน!$M$122:$M$9999,0))),"",INDEX(บันทึกสต็อครายวัน!$F$122:$F$9999,MATCH(TEXT($B$2,"YYYYMMDD")&amp;"|"&amp;$E$2&amp;"|"&amp;B107,บันทึกสต็อครายวัน!$M$122:$M$9999,0))),"")</f>
        <v/>
      </c>
      <c r="G107" s="155" t="str">
        <f>IFERROR(IF(ISBLANK(INDEX(บันทึกสต็อครายวัน!$G$122:$G$9999,MATCH(TEXT($B$2,"YYYYMMDD")&amp;"|"&amp;$E$2&amp;"|"&amp;B107,บันทึกสต็อครายวัน!$M$122:$M$9999,0))),"",INDEX(บันทึกสต็อครายวัน!$G$122:$G$9999,MATCH(TEXT($B$2,"YYYYMMDD")&amp;"|"&amp;$E$2&amp;"|"&amp;B107,บันทึกสต็อครายวัน!$M$122:$M$9999,0))),"")</f>
        <v/>
      </c>
      <c r="H107" s="152" t="str">
        <f>IFERROR(IF(ISBLANK(INDEX(บันทึกสต็อครายวัน!$H$122:$H$9999,MATCH(TEXT($B$2,"YYYYMMDD")&amp;"|"&amp;$E$2&amp;"|"&amp;B107,บันทึกสต็อครายวัน!$M$122:$M$9999,0))),"",INDEX(บันทึกสต็อครายวัน!$H$122:$H$9999,MATCH(TEXT($B$2,"YYYYMMDD")&amp;"|"&amp;$E$2&amp;"|"&amp;B107,บันทึกสต็อครายวัน!$M$122:$M$9999,0))),"")</f>
        <v/>
      </c>
      <c r="I107" s="153" t="str">
        <f>IFERROR(IF(ISBLANK(INDEX(บันทึกสต็อครายวัน!$I$122:$I$9999,MATCH(TEXT($B$2,"YYYYMMDD")&amp;"|"&amp;$E$2&amp;"|"&amp;B107,บันทึกสต็อครายวัน!$M$122:$M$9999,0))),"",INDEX(บันทึกสต็อครายวัน!$I$122:$I$9999,MATCH(TEXT($B$2,"YYYYMMDD")&amp;"|"&amp;$E$2&amp;"|"&amp;B107,บันทึกสต็อครายวัน!$M$122:$M$9999,0))),"")</f>
        <v/>
      </c>
      <c r="J107" s="153" t="str">
        <f>IFERROR(IF(ISBLANK(INDEX(บันทึกสต็อครายวัน!$J$122:$J$9999,MATCH(TEXT($B$2,"YYYYMMDD")&amp;"|"&amp;$E$2&amp;"|"&amp;B107,บันทึกสต็อครายวัน!$M$122:$M$9999,0))),"",INDEX(บันทึกสต็อครายวัน!$J$122:$J$9999,MATCH(TEXT($B$2,"YYYYMMDD")&amp;"|"&amp;$E$2&amp;"|"&amp;B107,บันทึกสต็อครายวัน!$M$122:$M$9999,0))),"")</f>
        <v/>
      </c>
      <c r="K107" s="154" t="str">
        <f>IFERROR(IF(ISBLANK(INDEX(บันทึกสต็อครายวัน!$K$122:$K$9999,MATCH(TEXT($B$2,"YYYYMMDD")&amp;"|"&amp;$E$2&amp;"|"&amp;B107,บันทึกสต็อครายวัน!$M$122:$M$9999,0))),"",INDEX(บันทึกสต็อครายวัน!$K$122:$K$9999,MATCH(TEXT($B$2,"YYYYMMDD")&amp;"|"&amp;$E$2&amp;"|"&amp;B107,บันทึกสต็อครายวัน!$M$122:$M$9999,0))),"")</f>
        <v/>
      </c>
      <c r="L107" s="154" t="str">
        <f>IFERROR(IF(ISBLANK(INDEX(บันทึกสต็อครายวัน!$L$122:$L$9999,MATCH(TEXT($B$2,"YYYYMMDD")&amp;"|"&amp;$E$2&amp;"|"&amp;B107,บันทึกสต็อครายวัน!$M$122:$M$9999,0))),"",INDEX(บันทึกสต็อครายวัน!$L$122:$L$9999,MATCH(TEXT($B$2,"YYYYMMDD")&amp;"|"&amp;$E$2&amp;"|"&amp;B107,บันทึกสต็อครายวัน!$M$122:$M$9999,0))),"")</f>
        <v/>
      </c>
    </row>
    <row r="108" spans="1:12" ht="18" customHeight="1">
      <c r="A108" s="169" t="s">
        <v>188</v>
      </c>
      <c r="B108" s="170" t="s">
        <v>189</v>
      </c>
      <c r="C108" s="171" t="s">
        <v>187</v>
      </c>
      <c r="D108" s="149">
        <f>IFERROR(IF(INDEX(บันทึกสต็อครายวัน!$D$122:$D$9999,MATCH(TEXT($B$2,"YYYYMMDD")&amp;"|"&amp;$E$2&amp;"|"&amp;B108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108)*บันทึกสต็อครายวัน!$A$122:$A$9999)),"YYYYMMDD")&amp;"|"&amp;$E$2&amp;"|"&amp;B108,บันทึกสต็อครายวัน!$M$122:$M$9999,0))),""),INDEX(บันทึกสต็อครายวัน!$D$122:$D$9999,MATCH(TEXT($B$2,"YYYYMMDD")&amp;"|"&amp;$E$2&amp;"|"&amp;B108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108)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108)*บันทึกสต็อครายวัน!$A$122:$A$9999)),"YYYYMMDD")&amp;"|"&amp;$E$2&amp;"|"&amp;B108,บันทึกสต็อครายวัน!$M$122:$M$9999,0))),""))</f>
        <v>2</v>
      </c>
      <c r="E108" s="150">
        <f>IFERROR(IF(INDEX(บันทึกสต็อครายวัน!$E$122:$E$9999,MATCH(TEXT($B$2,"YYYYMMDD")&amp;"|"&amp;$E$2&amp;"|"&amp;B108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108)*บันทึกสต็อครายวัน!$A$122:$A$9999)),"YYYYMMDD")&amp;"|"&amp;$E$2&amp;"|"&amp;B108,บันทึกสต็อครายวัน!$M$122:$M$9999,0))),""),INDEX(บันทึกสต็อครายวัน!$E$122:$E$9999,MATCH(TEXT($B$2,"YYYYMMDD")&amp;"|"&amp;$E$2&amp;"|"&amp;B108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108)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108)*บันทึกสต็อครายวัน!$A$122:$A$9999)),"YYYYMMDD")&amp;"|"&amp;$E$2&amp;"|"&amp;B108,บันทึกสต็อครายวัน!$M$122:$M$9999,0))),""))</f>
        <v>154</v>
      </c>
      <c r="F108" s="149" t="str">
        <f>IFERROR(IF(ISBLANK(INDEX(บันทึกสต็อครายวัน!$F$122:$F$9999,MATCH(TEXT($B$2,"YYYYMMDD")&amp;"|"&amp;$E$2&amp;"|"&amp;B108,บันทึกสต็อครายวัน!$M$122:$M$9999,0))),"",INDEX(บันทึกสต็อครายวัน!$F$122:$F$9999,MATCH(TEXT($B$2,"YYYYMMDD")&amp;"|"&amp;$E$2&amp;"|"&amp;B108,บันทึกสต็อครายวัน!$M$122:$M$9999,0))),"")</f>
        <v/>
      </c>
      <c r="G108" s="155" t="str">
        <f>IFERROR(IF(ISBLANK(INDEX(บันทึกสต็อครายวัน!$G$122:$G$9999,MATCH(TEXT($B$2,"YYYYMMDD")&amp;"|"&amp;$E$2&amp;"|"&amp;B108,บันทึกสต็อครายวัน!$M$122:$M$9999,0))),"",INDEX(บันทึกสต็อครายวัน!$G$122:$G$9999,MATCH(TEXT($B$2,"YYYYMMDD")&amp;"|"&amp;$E$2&amp;"|"&amp;B108,บันทึกสต็อครายวัน!$M$122:$M$9999,0))),"")</f>
        <v/>
      </c>
      <c r="H108" s="152" t="str">
        <f>IFERROR(IF(ISBLANK(INDEX(บันทึกสต็อครายวัน!$H$122:$H$9999,MATCH(TEXT($B$2,"YYYYMMDD")&amp;"|"&amp;$E$2&amp;"|"&amp;B108,บันทึกสต็อครายวัน!$M$122:$M$9999,0))),"",INDEX(บันทึกสต็อครายวัน!$H$122:$H$9999,MATCH(TEXT($B$2,"YYYYMMDD")&amp;"|"&amp;$E$2&amp;"|"&amp;B108,บันทึกสต็อครายวัน!$M$122:$M$9999,0))),"")</f>
        <v/>
      </c>
      <c r="I108" s="153" t="str">
        <f>IFERROR(IF(ISBLANK(INDEX(บันทึกสต็อครายวัน!$I$122:$I$9999,MATCH(TEXT($B$2,"YYYYMMDD")&amp;"|"&amp;$E$2&amp;"|"&amp;B108,บันทึกสต็อครายวัน!$M$122:$M$9999,0))),"",INDEX(บันทึกสต็อครายวัน!$I$122:$I$9999,MATCH(TEXT($B$2,"YYYYMMDD")&amp;"|"&amp;$E$2&amp;"|"&amp;B108,บันทึกสต็อครายวัน!$M$122:$M$9999,0))),"")</f>
        <v/>
      </c>
      <c r="J108" s="153" t="str">
        <f>IFERROR(IF(ISBLANK(INDEX(บันทึกสต็อครายวัน!$J$122:$J$9999,MATCH(TEXT($B$2,"YYYYMMDD")&amp;"|"&amp;$E$2&amp;"|"&amp;B108,บันทึกสต็อครายวัน!$M$122:$M$9999,0))),"",INDEX(บันทึกสต็อครายวัน!$J$122:$J$9999,MATCH(TEXT($B$2,"YYYYMMDD")&amp;"|"&amp;$E$2&amp;"|"&amp;B108,บันทึกสต็อครายวัน!$M$122:$M$9999,0))),"")</f>
        <v/>
      </c>
      <c r="K108" s="154" t="str">
        <f>IFERROR(IF(ISBLANK(INDEX(บันทึกสต็อครายวัน!$K$122:$K$9999,MATCH(TEXT($B$2,"YYYYMMDD")&amp;"|"&amp;$E$2&amp;"|"&amp;B108,บันทึกสต็อครายวัน!$M$122:$M$9999,0))),"",INDEX(บันทึกสต็อครายวัน!$K$122:$K$9999,MATCH(TEXT($B$2,"YYYYMMDD")&amp;"|"&amp;$E$2&amp;"|"&amp;B108,บันทึกสต็อครายวัน!$M$122:$M$9999,0))),"")</f>
        <v/>
      </c>
      <c r="L108" s="154" t="str">
        <f>IFERROR(IF(ISBLANK(INDEX(บันทึกสต็อครายวัน!$L$122:$L$9999,MATCH(TEXT($B$2,"YYYYMMDD")&amp;"|"&amp;$E$2&amp;"|"&amp;B108,บันทึกสต็อครายวัน!$M$122:$M$9999,0))),"",INDEX(บันทึกสต็อครายวัน!$L$122:$L$9999,MATCH(TEXT($B$2,"YYYYMMDD")&amp;"|"&amp;$E$2&amp;"|"&amp;B108,บันทึกสต็อครายวัน!$M$122:$M$9999,0))),"")</f>
        <v/>
      </c>
    </row>
    <row r="109" spans="1:12" ht="18" customHeight="1">
      <c r="A109" s="169" t="s">
        <v>188</v>
      </c>
      <c r="B109" s="170" t="s">
        <v>190</v>
      </c>
      <c r="C109" s="171" t="s">
        <v>187</v>
      </c>
      <c r="D109" s="149">
        <f>IFERROR(IF(INDEX(บันทึกสต็อครายวัน!$D$122:$D$9999,MATCH(TEXT($B$2,"YYYYMMDD")&amp;"|"&amp;$E$2&amp;"|"&amp;B109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109)*บันทึกสต็อครายวัน!$A$122:$A$9999)),"YYYYMMDD")&amp;"|"&amp;$E$2&amp;"|"&amp;B109,บันทึกสต็อครายวัน!$M$122:$M$9999,0))),""),INDEX(บันทึกสต็อครายวัน!$D$122:$D$9999,MATCH(TEXT($B$2,"YYYYMMDD")&amp;"|"&amp;$E$2&amp;"|"&amp;B109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109)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109)*บันทึกสต็อครายวัน!$A$122:$A$9999)),"YYYYMMDD")&amp;"|"&amp;$E$2&amp;"|"&amp;B109,บันทึกสต็อครายวัน!$M$122:$M$9999,0))),""))</f>
        <v>0</v>
      </c>
      <c r="E109" s="150">
        <f>IFERROR(IF(INDEX(บันทึกสต็อครายวัน!$E$122:$E$9999,MATCH(TEXT($B$2,"YYYYMMDD")&amp;"|"&amp;$E$2&amp;"|"&amp;B109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109)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109)*บันทึกสต็อครายวัน!$A$122:$A$9999)),"YYYYMMDD")&amp;"|"&amp;$E$2&amp;"|"&amp;B109,บันทึกสต็อครายวัน!$M$122:$M$9999,0))),""),INDEX(บันทึกสต็อครายวัน!$E$122:$E$9999,MATCH(TEXT($B$2,"YYYYMMDD")&amp;"|"&amp;$E$2&amp;"|"&amp;B109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109)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109)*บันทึกสต็อครายวัน!$A$122:$A$9999)),"YYYYMMDD")&amp;"|"&amp;$E$2&amp;"|"&amp;B109,บันทึกสต็อครายวัน!$M$122:$M$9999,0))),""))</f>
        <v>0</v>
      </c>
      <c r="F109" s="149" t="str">
        <f>IFERROR(IF(ISBLANK(INDEX(บันทึกสต็อครายวัน!$F$122:$F$9999,MATCH(TEXT($B$2,"YYYYMMDD")&amp;"|"&amp;$E$2&amp;"|"&amp;B109,บันทึกสต็อครายวัน!$M$122:$M$9999,0))),"",INDEX(บันทึกสต็อครายวัน!$F$122:$F$9999,MATCH(TEXT($B$2,"YYYYMMDD")&amp;"|"&amp;$E$2&amp;"|"&amp;B109,บันทึกสต็อครายวัน!$M$122:$M$9999,0))),"")</f>
        <v/>
      </c>
      <c r="G109" s="155" t="str">
        <f>IFERROR(IF(ISBLANK(INDEX(บันทึกสต็อครายวัน!$G$122:$G$9999,MATCH(TEXT($B$2,"YYYYMMDD")&amp;"|"&amp;$E$2&amp;"|"&amp;B109,บันทึกสต็อครายวัน!$M$122:$M$9999,0))),"",INDEX(บันทึกสต็อครายวัน!$G$122:$G$9999,MATCH(TEXT($B$2,"YYYYMMDD")&amp;"|"&amp;$E$2&amp;"|"&amp;B109,บันทึกสต็อครายวัน!$M$122:$M$9999,0))),"")</f>
        <v/>
      </c>
      <c r="H109" s="152" t="str">
        <f>IFERROR(IF(ISBLANK(INDEX(บันทึกสต็อครายวัน!$H$122:$H$9999,MATCH(TEXT($B$2,"YYYYMMDD")&amp;"|"&amp;$E$2&amp;"|"&amp;B109,บันทึกสต็อครายวัน!$M$122:$M$9999,0))),"",INDEX(บันทึกสต็อครายวัน!$H$122:$H$9999,MATCH(TEXT($B$2,"YYYYMMDD")&amp;"|"&amp;$E$2&amp;"|"&amp;B109,บันทึกสต็อครายวัน!$M$122:$M$9999,0))),"")</f>
        <v/>
      </c>
      <c r="I109" s="153" t="str">
        <f>IFERROR(IF(ISBLANK(INDEX(บันทึกสต็อครายวัน!$I$122:$I$9999,MATCH(TEXT($B$2,"YYYYMMDD")&amp;"|"&amp;$E$2&amp;"|"&amp;B109,บันทึกสต็อครายวัน!$M$122:$M$9999,0))),"",INDEX(บันทึกสต็อครายวัน!$I$122:$I$9999,MATCH(TEXT($B$2,"YYYYMMDD")&amp;"|"&amp;$E$2&amp;"|"&amp;B109,บันทึกสต็อครายวัน!$M$122:$M$9999,0))),"")</f>
        <v/>
      </c>
      <c r="J109" s="153" t="str">
        <f>IFERROR(IF(ISBLANK(INDEX(บันทึกสต็อครายวัน!$J$122:$J$9999,MATCH(TEXT($B$2,"YYYYMMDD")&amp;"|"&amp;$E$2&amp;"|"&amp;B109,บันทึกสต็อครายวัน!$M$122:$M$9999,0))),"",INDEX(บันทึกสต็อครายวัน!$J$122:$J$9999,MATCH(TEXT($B$2,"YYYYMMDD")&amp;"|"&amp;$E$2&amp;"|"&amp;B109,บันทึกสต็อครายวัน!$M$122:$M$9999,0))),"")</f>
        <v/>
      </c>
      <c r="K109" s="154" t="str">
        <f>IFERROR(IF(ISBLANK(INDEX(บันทึกสต็อครายวัน!$K$122:$K$9999,MATCH(TEXT($B$2,"YYYYMMDD")&amp;"|"&amp;$E$2&amp;"|"&amp;B109,บันทึกสต็อครายวัน!$M$122:$M$9999,0))),"",INDEX(บันทึกสต็อครายวัน!$K$122:$K$9999,MATCH(TEXT($B$2,"YYYYMMDD")&amp;"|"&amp;$E$2&amp;"|"&amp;B109,บันทึกสต็อครายวัน!$M$122:$M$9999,0))),"")</f>
        <v/>
      </c>
      <c r="L109" s="154" t="str">
        <f>IFERROR(IF(ISBLANK(INDEX(บันทึกสต็อครายวัน!$L$122:$L$9999,MATCH(TEXT($B$2,"YYYYMMDD")&amp;"|"&amp;$E$2&amp;"|"&amp;B109,บันทึกสต็อครายวัน!$M$122:$M$9999,0))),"",INDEX(บันทึกสต็อครายวัน!$L$122:$L$9999,MATCH(TEXT($B$2,"YYYYMMDD")&amp;"|"&amp;$E$2&amp;"|"&amp;B109,บันทึกสต็อครายวัน!$M$122:$M$9999,0))),"")</f>
        <v/>
      </c>
    </row>
    <row r="110" spans="1:12" ht="18" customHeight="1">
      <c r="A110" s="169" t="s">
        <v>188</v>
      </c>
      <c r="B110" s="170" t="s">
        <v>191</v>
      </c>
      <c r="C110" s="171" t="s">
        <v>192</v>
      </c>
      <c r="D110" s="149">
        <f>IFERROR(IF(INDEX(บันทึกสต็อครายวัน!$D$122:$D$9999,MATCH(TEXT($B$2,"YYYYMMDD")&amp;"|"&amp;$E$2&amp;"|"&amp;B110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110)*บันทึกสต็อครายวัน!$A$122:$A$9999)),"YYYYMMDD")&amp;"|"&amp;$E$2&amp;"|"&amp;B110,บันทึกสต็อครายวัน!$M$122:$M$9999,0))),""),INDEX(บันทึกสต็อครายวัน!$D$122:$D$9999,MATCH(TEXT($B$2,"YYYYMMDD")&amp;"|"&amp;$E$2&amp;"|"&amp;B110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110)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110)*บันทึกสต็อครายวัน!$A$122:$A$9999)),"YYYYMMDD")&amp;"|"&amp;$E$2&amp;"|"&amp;B110,บันทึกสต็อครายวัน!$M$122:$M$9999,0))),""))</f>
        <v>1</v>
      </c>
      <c r="E110" s="150">
        <f>IFERROR(IF(INDEX(บันทึกสต็อครายวัน!$E$122:$E$9999,MATCH(TEXT($B$2,"YYYYMMDD")&amp;"|"&amp;$E$2&amp;"|"&amp;B110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110)*บันทึกสต็อครายวัน!$A$122:$A$9999)),"YYYYMMDD")&amp;"|"&amp;$E$2&amp;"|"&amp;B110,บันทึกสต็อครายวัน!$M$122:$M$9999,0))),""),INDEX(บันทึกสต็อครายวัน!$E$122:$E$9999,MATCH(TEXT($B$2,"YYYYMMDD")&amp;"|"&amp;$E$2&amp;"|"&amp;B110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110)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110)*บันทึกสต็อครายวัน!$A$122:$A$9999)),"YYYYMMDD")&amp;"|"&amp;$E$2&amp;"|"&amp;B110,บันทึกสต็อครายวัน!$M$122:$M$9999,0))),""))</f>
        <v>98</v>
      </c>
      <c r="F110" s="149" t="str">
        <f>IFERROR(IF(ISBLANK(INDEX(บันทึกสต็อครายวัน!$F$122:$F$9999,MATCH(TEXT($B$2,"YYYYMMDD")&amp;"|"&amp;$E$2&amp;"|"&amp;B110,บันทึกสต็อครายวัน!$M$122:$M$9999,0))),"",INDEX(บันทึกสต็อครายวัน!$F$122:$F$9999,MATCH(TEXT($B$2,"YYYYMMDD")&amp;"|"&amp;$E$2&amp;"|"&amp;B110,บันทึกสต็อครายวัน!$M$122:$M$9999,0))),"")</f>
        <v/>
      </c>
      <c r="G110" s="155" t="str">
        <f>IFERROR(IF(ISBLANK(INDEX(บันทึกสต็อครายวัน!$G$122:$G$9999,MATCH(TEXT($B$2,"YYYYMMDD")&amp;"|"&amp;$E$2&amp;"|"&amp;B110,บันทึกสต็อครายวัน!$M$122:$M$9999,0))),"",INDEX(บันทึกสต็อครายวัน!$G$122:$G$9999,MATCH(TEXT($B$2,"YYYYMMDD")&amp;"|"&amp;$E$2&amp;"|"&amp;B110,บันทึกสต็อครายวัน!$M$122:$M$9999,0))),"")</f>
        <v/>
      </c>
      <c r="H110" s="152" t="str">
        <f>IFERROR(IF(ISBLANK(INDEX(บันทึกสต็อครายวัน!$H$122:$H$9999,MATCH(TEXT($B$2,"YYYYMMDD")&amp;"|"&amp;$E$2&amp;"|"&amp;B110,บันทึกสต็อครายวัน!$M$122:$M$9999,0))),"",INDEX(บันทึกสต็อครายวัน!$H$122:$H$9999,MATCH(TEXT($B$2,"YYYYMMDD")&amp;"|"&amp;$E$2&amp;"|"&amp;B110,บันทึกสต็อครายวัน!$M$122:$M$9999,0))),"")</f>
        <v/>
      </c>
      <c r="I110" s="153" t="str">
        <f>IFERROR(IF(ISBLANK(INDEX(บันทึกสต็อครายวัน!$I$122:$I$9999,MATCH(TEXT($B$2,"YYYYMMDD")&amp;"|"&amp;$E$2&amp;"|"&amp;B110,บันทึกสต็อครายวัน!$M$122:$M$9999,0))),"",INDEX(บันทึกสต็อครายวัน!$I$122:$I$9999,MATCH(TEXT($B$2,"YYYYMMDD")&amp;"|"&amp;$E$2&amp;"|"&amp;B110,บันทึกสต็อครายวัน!$M$122:$M$9999,0))),"")</f>
        <v/>
      </c>
      <c r="J110" s="153" t="str">
        <f>IFERROR(IF(ISBLANK(INDEX(บันทึกสต็อครายวัน!$J$122:$J$9999,MATCH(TEXT($B$2,"YYYYMMDD")&amp;"|"&amp;$E$2&amp;"|"&amp;B110,บันทึกสต็อครายวัน!$M$122:$M$9999,0))),"",INDEX(บันทึกสต็อครายวัน!$J$122:$J$9999,MATCH(TEXT($B$2,"YYYYMMDD")&amp;"|"&amp;$E$2&amp;"|"&amp;B110,บันทึกสต็อครายวัน!$M$122:$M$9999,0))),"")</f>
        <v/>
      </c>
      <c r="K110" s="154" t="str">
        <f>IFERROR(IF(ISBLANK(INDEX(บันทึกสต็อครายวัน!$K$122:$K$9999,MATCH(TEXT($B$2,"YYYYMMDD")&amp;"|"&amp;$E$2&amp;"|"&amp;B110,บันทึกสต็อครายวัน!$M$122:$M$9999,0))),"",INDEX(บันทึกสต็อครายวัน!$K$122:$K$9999,MATCH(TEXT($B$2,"YYYYMMDD")&amp;"|"&amp;$E$2&amp;"|"&amp;B110,บันทึกสต็อครายวัน!$M$122:$M$9999,0))),"")</f>
        <v/>
      </c>
      <c r="L110" s="154" t="str">
        <f>IFERROR(IF(ISBLANK(INDEX(บันทึกสต็อครายวัน!$L$122:$L$9999,MATCH(TEXT($B$2,"YYYYMMDD")&amp;"|"&amp;$E$2&amp;"|"&amp;B110,บันทึกสต็อครายวัน!$M$122:$M$9999,0))),"",INDEX(บันทึกสต็อครายวัน!$L$122:$L$9999,MATCH(TEXT($B$2,"YYYYMMDD")&amp;"|"&amp;$E$2&amp;"|"&amp;B110,บันทึกสต็อครายวัน!$M$122:$M$9999,0))),"")</f>
        <v/>
      </c>
    </row>
    <row r="111" spans="1:12" ht="18" customHeight="1">
      <c r="A111" s="169" t="s">
        <v>188</v>
      </c>
      <c r="B111" s="170" t="s">
        <v>193</v>
      </c>
      <c r="C111" s="171" t="s">
        <v>192</v>
      </c>
      <c r="D111" s="149">
        <f>IFERROR(IF(INDEX(บันทึกสต็อครายวัน!$D$122:$D$9999,MATCH(TEXT($B$2,"YYYYMMDD")&amp;"|"&amp;$E$2&amp;"|"&amp;B111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111)*บันทึกสต็อครายวัน!$A$122:$A$9999)),"YYYYMMDD")&amp;"|"&amp;$E$2&amp;"|"&amp;B111,บันทึกสต็อครายวัน!$M$122:$M$9999,0))),""),INDEX(บันทึกสต็อครายวัน!$D$122:$D$9999,MATCH(TEXT($B$2,"YYYYMMDD")&amp;"|"&amp;$E$2&amp;"|"&amp;B111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111)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111)*บันทึกสต็อครายวัน!$A$122:$A$9999)),"YYYYMMDD")&amp;"|"&amp;$E$2&amp;"|"&amp;B111,บันทึกสต็อครายวัน!$M$122:$M$9999,0))),""))</f>
        <v>0</v>
      </c>
      <c r="E111" s="150">
        <f>IFERROR(IF(INDEX(บันทึกสต็อครายวัน!$E$122:$E$9999,MATCH(TEXT($B$2,"YYYYMMDD")&amp;"|"&amp;$E$2&amp;"|"&amp;B111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111)*บันทึกสต็อครายวัน!$A$122:$A$9999)),"YYYYMMDD")&amp;"|"&amp;$E$2&amp;"|"&amp;B111,บันทึกสต็อครายวัน!$M$122:$M$9999,0))),""),INDEX(บันทึกสต็อครายวัน!$E$122:$E$9999,MATCH(TEXT($B$2,"YYYYMMDD")&amp;"|"&amp;$E$2&amp;"|"&amp;B111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111)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111)*บันทึกสต็อครายวัน!$A$122:$A$9999)),"YYYYMMDD")&amp;"|"&amp;$E$2&amp;"|"&amp;B111,บันทึกสต็อครายวัน!$M$122:$M$9999,0))),""))</f>
        <v>421</v>
      </c>
      <c r="F111" s="149" t="str">
        <f>IFERROR(IF(ISBLANK(INDEX(บันทึกสต็อครายวัน!$F$122:$F$9999,MATCH(TEXT($B$2,"YYYYMMDD")&amp;"|"&amp;$E$2&amp;"|"&amp;B111,บันทึกสต็อครายวัน!$M$122:$M$9999,0))),"",INDEX(บันทึกสต็อครายวัน!$F$122:$F$9999,MATCH(TEXT($B$2,"YYYYMMDD")&amp;"|"&amp;$E$2&amp;"|"&amp;B111,บันทึกสต็อครายวัน!$M$122:$M$9999,0))),"")</f>
        <v/>
      </c>
      <c r="G111" s="155" t="str">
        <f>IFERROR(IF(ISBLANK(INDEX(บันทึกสต็อครายวัน!$G$122:$G$9999,MATCH(TEXT($B$2,"YYYYMMDD")&amp;"|"&amp;$E$2&amp;"|"&amp;B111,บันทึกสต็อครายวัน!$M$122:$M$9999,0))),"",INDEX(บันทึกสต็อครายวัน!$G$122:$G$9999,MATCH(TEXT($B$2,"YYYYMMDD")&amp;"|"&amp;$E$2&amp;"|"&amp;B111,บันทึกสต็อครายวัน!$M$122:$M$9999,0))),"")</f>
        <v/>
      </c>
      <c r="H111" s="152" t="str">
        <f>IFERROR(IF(ISBLANK(INDEX(บันทึกสต็อครายวัน!$H$122:$H$9999,MATCH(TEXT($B$2,"YYYYMMDD")&amp;"|"&amp;$E$2&amp;"|"&amp;B111,บันทึกสต็อครายวัน!$M$122:$M$9999,0))),"",INDEX(บันทึกสต็อครายวัน!$H$122:$H$9999,MATCH(TEXT($B$2,"YYYYMMDD")&amp;"|"&amp;$E$2&amp;"|"&amp;B111,บันทึกสต็อครายวัน!$M$122:$M$9999,0))),"")</f>
        <v/>
      </c>
      <c r="I111" s="153" t="str">
        <f>IFERROR(IF(ISBLANK(INDEX(บันทึกสต็อครายวัน!$I$122:$I$9999,MATCH(TEXT($B$2,"YYYYMMDD")&amp;"|"&amp;$E$2&amp;"|"&amp;B111,บันทึกสต็อครายวัน!$M$122:$M$9999,0))),"",INDEX(บันทึกสต็อครายวัน!$I$122:$I$9999,MATCH(TEXT($B$2,"YYYYMMDD")&amp;"|"&amp;$E$2&amp;"|"&amp;B111,บันทึกสต็อครายวัน!$M$122:$M$9999,0))),"")</f>
        <v/>
      </c>
      <c r="J111" s="153" t="str">
        <f>IFERROR(IF(ISBLANK(INDEX(บันทึกสต็อครายวัน!$J$122:$J$9999,MATCH(TEXT($B$2,"YYYYMMDD")&amp;"|"&amp;$E$2&amp;"|"&amp;B111,บันทึกสต็อครายวัน!$M$122:$M$9999,0))),"",INDEX(บันทึกสต็อครายวัน!$J$122:$J$9999,MATCH(TEXT($B$2,"YYYYMMDD")&amp;"|"&amp;$E$2&amp;"|"&amp;B111,บันทึกสต็อครายวัน!$M$122:$M$9999,0))),"")</f>
        <v/>
      </c>
      <c r="K111" s="154" t="str">
        <f>IFERROR(IF(ISBLANK(INDEX(บันทึกสต็อครายวัน!$K$122:$K$9999,MATCH(TEXT($B$2,"YYYYMMDD")&amp;"|"&amp;$E$2&amp;"|"&amp;B111,บันทึกสต็อครายวัน!$M$122:$M$9999,0))),"",INDEX(บันทึกสต็อครายวัน!$K$122:$K$9999,MATCH(TEXT($B$2,"YYYYMMDD")&amp;"|"&amp;$E$2&amp;"|"&amp;B111,บันทึกสต็อครายวัน!$M$122:$M$9999,0))),"")</f>
        <v/>
      </c>
      <c r="L111" s="154" t="str">
        <f>IFERROR(IF(ISBLANK(INDEX(บันทึกสต็อครายวัน!$L$122:$L$9999,MATCH(TEXT($B$2,"YYYYMMDD")&amp;"|"&amp;$E$2&amp;"|"&amp;B111,บันทึกสต็อครายวัน!$M$122:$M$9999,0))),"",INDEX(บันทึกสต็อครายวัน!$L$122:$L$9999,MATCH(TEXT($B$2,"YYYYMMDD")&amp;"|"&amp;$E$2&amp;"|"&amp;B111,บันทึกสต็อครายวัน!$M$122:$M$9999,0))),"")</f>
        <v/>
      </c>
    </row>
    <row r="112" spans="1:12" ht="18" customHeight="1">
      <c r="A112" s="169" t="s">
        <v>188</v>
      </c>
      <c r="B112" s="170" t="s">
        <v>194</v>
      </c>
      <c r="C112" s="171" t="s">
        <v>195</v>
      </c>
      <c r="D112" s="149">
        <f>IFERROR(IF(INDEX(บันทึกสต็อครายวัน!$D$122:$D$9999,MATCH(TEXT($B$2,"YYYYMMDD")&amp;"|"&amp;$E$2&amp;"|"&amp;B112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112)*บันทึกสต็อครายวัน!$A$122:$A$9999)),"YYYYMMDD")&amp;"|"&amp;$E$2&amp;"|"&amp;B112,บันทึกสต็อครายวัน!$M$122:$M$9999,0))),""),INDEX(บันทึกสต็อครายวัน!$D$122:$D$9999,MATCH(TEXT($B$2,"YYYYMMDD")&amp;"|"&amp;$E$2&amp;"|"&amp;B112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112)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112)*บันทึกสต็อครายวัน!$A$122:$A$9999)),"YYYYMMDD")&amp;"|"&amp;$E$2&amp;"|"&amp;B112,บันทึกสต็อครายวัน!$M$122:$M$9999,0))),""))</f>
        <v>1</v>
      </c>
      <c r="E112" s="150">
        <f>IFERROR(IF(INDEX(บันทึกสต็อครายวัน!$E$122:$E$9999,MATCH(TEXT($B$2,"YYYYMMDD")&amp;"|"&amp;$E$2&amp;"|"&amp;B112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112)*บันทึกสต็อครายวัน!$A$122:$A$9999)),"YYYYMMDD")&amp;"|"&amp;$E$2&amp;"|"&amp;B112,บันทึกสต็อครายวัน!$M$122:$M$9999,0))),""),INDEX(บันทึกสต็อครายวัน!$E$122:$E$9999,MATCH(TEXT($B$2,"YYYYMMDD")&amp;"|"&amp;$E$2&amp;"|"&amp;B112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112)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112)*บันทึกสต็อครายวัน!$A$122:$A$9999)),"YYYYMMDD")&amp;"|"&amp;$E$2&amp;"|"&amp;B112,บันทึกสต็อครายวัน!$M$122:$M$9999,0))),""))</f>
        <v>19</v>
      </c>
      <c r="F112" s="149" t="str">
        <f>IFERROR(IF(ISBLANK(INDEX(บันทึกสต็อครายวัน!$F$122:$F$9999,MATCH(TEXT($B$2,"YYYYMMDD")&amp;"|"&amp;$E$2&amp;"|"&amp;B112,บันทึกสต็อครายวัน!$M$122:$M$9999,0))),"",INDEX(บันทึกสต็อครายวัน!$F$122:$F$9999,MATCH(TEXT($B$2,"YYYYMMDD")&amp;"|"&amp;$E$2&amp;"|"&amp;B112,บันทึกสต็อครายวัน!$M$122:$M$9999,0))),"")</f>
        <v/>
      </c>
      <c r="G112" s="155" t="str">
        <f>IFERROR(IF(ISBLANK(INDEX(บันทึกสต็อครายวัน!$G$122:$G$9999,MATCH(TEXT($B$2,"YYYYMMDD")&amp;"|"&amp;$E$2&amp;"|"&amp;B112,บันทึกสต็อครายวัน!$M$122:$M$9999,0))),"",INDEX(บันทึกสต็อครายวัน!$G$122:$G$9999,MATCH(TEXT($B$2,"YYYYMMDD")&amp;"|"&amp;$E$2&amp;"|"&amp;B112,บันทึกสต็อครายวัน!$M$122:$M$9999,0))),"")</f>
        <v/>
      </c>
      <c r="H112" s="152" t="str">
        <f>IFERROR(IF(ISBLANK(INDEX(บันทึกสต็อครายวัน!$H$122:$H$9999,MATCH(TEXT($B$2,"YYYYMMDD")&amp;"|"&amp;$E$2&amp;"|"&amp;B112,บันทึกสต็อครายวัน!$M$122:$M$9999,0))),"",INDEX(บันทึกสต็อครายวัน!$H$122:$H$9999,MATCH(TEXT($B$2,"YYYYMMDD")&amp;"|"&amp;$E$2&amp;"|"&amp;B112,บันทึกสต็อครายวัน!$M$122:$M$9999,0))),"")</f>
        <v/>
      </c>
      <c r="I112" s="153" t="str">
        <f>IFERROR(IF(ISBLANK(INDEX(บันทึกสต็อครายวัน!$I$122:$I$9999,MATCH(TEXT($B$2,"YYYYMMDD")&amp;"|"&amp;$E$2&amp;"|"&amp;B112,บันทึกสต็อครายวัน!$M$122:$M$9999,0))),"",INDEX(บันทึกสต็อครายวัน!$I$122:$I$9999,MATCH(TEXT($B$2,"YYYYMMDD")&amp;"|"&amp;$E$2&amp;"|"&amp;B112,บันทึกสต็อครายวัน!$M$122:$M$9999,0))),"")</f>
        <v/>
      </c>
      <c r="J112" s="153" t="str">
        <f>IFERROR(IF(ISBLANK(INDEX(บันทึกสต็อครายวัน!$J$122:$J$9999,MATCH(TEXT($B$2,"YYYYMMDD")&amp;"|"&amp;$E$2&amp;"|"&amp;B112,บันทึกสต็อครายวัน!$M$122:$M$9999,0))),"",INDEX(บันทึกสต็อครายวัน!$J$122:$J$9999,MATCH(TEXT($B$2,"YYYYMMDD")&amp;"|"&amp;$E$2&amp;"|"&amp;B112,บันทึกสต็อครายวัน!$M$122:$M$9999,0))),"")</f>
        <v/>
      </c>
      <c r="K112" s="154" t="str">
        <f>IFERROR(IF(ISBLANK(INDEX(บันทึกสต็อครายวัน!$K$122:$K$9999,MATCH(TEXT($B$2,"YYYYMMDD")&amp;"|"&amp;$E$2&amp;"|"&amp;B112,บันทึกสต็อครายวัน!$M$122:$M$9999,0))),"",INDEX(บันทึกสต็อครายวัน!$K$122:$K$9999,MATCH(TEXT($B$2,"YYYYMMDD")&amp;"|"&amp;$E$2&amp;"|"&amp;B112,บันทึกสต็อครายวัน!$M$122:$M$9999,0))),"")</f>
        <v/>
      </c>
      <c r="L112" s="154" t="str">
        <f>IFERROR(IF(ISBLANK(INDEX(บันทึกสต็อครายวัน!$L$122:$L$9999,MATCH(TEXT($B$2,"YYYYMMDD")&amp;"|"&amp;$E$2&amp;"|"&amp;B112,บันทึกสต็อครายวัน!$M$122:$M$9999,0))),"",INDEX(บันทึกสต็อครายวัน!$L$122:$L$9999,MATCH(TEXT($B$2,"YYYYMMDD")&amp;"|"&amp;$E$2&amp;"|"&amp;B112,บันทึกสต็อครายวัน!$M$122:$M$9999,0))),"")</f>
        <v/>
      </c>
    </row>
    <row r="113" spans="1:12" ht="18" customHeight="1">
      <c r="A113" s="169" t="s">
        <v>188</v>
      </c>
      <c r="B113" s="170" t="s">
        <v>196</v>
      </c>
      <c r="C113" s="171" t="s">
        <v>197</v>
      </c>
      <c r="D113" s="149">
        <f>IFERROR(IF(INDEX(บันทึกสต็อครายวัน!$D$122:$D$9999,MATCH(TEXT($B$2,"YYYYMMDD")&amp;"|"&amp;$E$2&amp;"|"&amp;B113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113)*บันทึกสต็อครายวัน!$A$122:$A$9999)),"YYYYMMDD")&amp;"|"&amp;$E$2&amp;"|"&amp;B113,บันทึกสต็อครายวัน!$M$122:$M$9999,0))),""),INDEX(บันทึกสต็อครายวัน!$D$122:$D$9999,MATCH(TEXT($B$2,"YYYYMMDD")&amp;"|"&amp;$E$2&amp;"|"&amp;B113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113)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113)*บันทึกสต็อครายวัน!$A$122:$A$9999)),"YYYYMMDD")&amp;"|"&amp;$E$2&amp;"|"&amp;B113,บันทึกสต็อครายวัน!$M$122:$M$9999,0))),""))</f>
        <v>1</v>
      </c>
      <c r="E113" s="150">
        <f>IFERROR(IF(INDEX(บันทึกสต็อครายวัน!$E$122:$E$9999,MATCH(TEXT($B$2,"YYYYMMDD")&amp;"|"&amp;$E$2&amp;"|"&amp;B113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113)*บันทึกสต็อครายวัน!$A$122:$A$9999)),"YYYYMMDD")&amp;"|"&amp;$E$2&amp;"|"&amp;B113,บันทึกสต็อครายวัน!$M$122:$M$9999,0))),""),INDEX(บันทึกสต็อครายวัน!$E$122:$E$9999,MATCH(TEXT($B$2,"YYYYMMDD")&amp;"|"&amp;$E$2&amp;"|"&amp;B113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113)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113)*บันทึกสต็อครายวัน!$A$122:$A$9999)),"YYYYMMDD")&amp;"|"&amp;$E$2&amp;"|"&amp;B113,บันทึกสต็อครายวัน!$M$122:$M$9999,0))),""))</f>
        <v>0</v>
      </c>
      <c r="F113" s="149" t="str">
        <f>IFERROR(IF(ISBLANK(INDEX(บันทึกสต็อครายวัน!$F$122:$F$9999,MATCH(TEXT($B$2,"YYYYMMDD")&amp;"|"&amp;$E$2&amp;"|"&amp;B113,บันทึกสต็อครายวัน!$M$122:$M$9999,0))),"",INDEX(บันทึกสต็อครายวัน!$F$122:$F$9999,MATCH(TEXT($B$2,"YYYYMMDD")&amp;"|"&amp;$E$2&amp;"|"&amp;B113,บันทึกสต็อครายวัน!$M$122:$M$9999,0))),"")</f>
        <v/>
      </c>
      <c r="G113" s="155" t="str">
        <f>IFERROR(IF(ISBLANK(INDEX(บันทึกสต็อครายวัน!$G$122:$G$9999,MATCH(TEXT($B$2,"YYYYMMDD")&amp;"|"&amp;$E$2&amp;"|"&amp;B113,บันทึกสต็อครายวัน!$M$122:$M$9999,0))),"",INDEX(บันทึกสต็อครายวัน!$G$122:$G$9999,MATCH(TEXT($B$2,"YYYYMMDD")&amp;"|"&amp;$E$2&amp;"|"&amp;B113,บันทึกสต็อครายวัน!$M$122:$M$9999,0))),"")</f>
        <v/>
      </c>
      <c r="H113" s="152" t="str">
        <f>IFERROR(IF(ISBLANK(INDEX(บันทึกสต็อครายวัน!$H$122:$H$9999,MATCH(TEXT($B$2,"YYYYMMDD")&amp;"|"&amp;$E$2&amp;"|"&amp;B113,บันทึกสต็อครายวัน!$M$122:$M$9999,0))),"",INDEX(บันทึกสต็อครายวัน!$H$122:$H$9999,MATCH(TEXT($B$2,"YYYYMMDD")&amp;"|"&amp;$E$2&amp;"|"&amp;B113,บันทึกสต็อครายวัน!$M$122:$M$9999,0))),"")</f>
        <v/>
      </c>
      <c r="I113" s="153" t="str">
        <f>IFERROR(IF(ISBLANK(INDEX(บันทึกสต็อครายวัน!$I$122:$I$9999,MATCH(TEXT($B$2,"YYYYMMDD")&amp;"|"&amp;$E$2&amp;"|"&amp;B113,บันทึกสต็อครายวัน!$M$122:$M$9999,0))),"",INDEX(บันทึกสต็อครายวัน!$I$122:$I$9999,MATCH(TEXT($B$2,"YYYYMMDD")&amp;"|"&amp;$E$2&amp;"|"&amp;B113,บันทึกสต็อครายวัน!$M$122:$M$9999,0))),"")</f>
        <v/>
      </c>
      <c r="J113" s="153" t="str">
        <f>IFERROR(IF(ISBLANK(INDEX(บันทึกสต็อครายวัน!$J$122:$J$9999,MATCH(TEXT($B$2,"YYYYMMDD")&amp;"|"&amp;$E$2&amp;"|"&amp;B113,บันทึกสต็อครายวัน!$M$122:$M$9999,0))),"",INDEX(บันทึกสต็อครายวัน!$J$122:$J$9999,MATCH(TEXT($B$2,"YYYYMMDD")&amp;"|"&amp;$E$2&amp;"|"&amp;B113,บันทึกสต็อครายวัน!$M$122:$M$9999,0))),"")</f>
        <v/>
      </c>
      <c r="K113" s="154" t="str">
        <f>IFERROR(IF(ISBLANK(INDEX(บันทึกสต็อครายวัน!$K$122:$K$9999,MATCH(TEXT($B$2,"YYYYMMDD")&amp;"|"&amp;$E$2&amp;"|"&amp;B113,บันทึกสต็อครายวัน!$M$122:$M$9999,0))),"",INDEX(บันทึกสต็อครายวัน!$K$122:$K$9999,MATCH(TEXT($B$2,"YYYYMMDD")&amp;"|"&amp;$E$2&amp;"|"&amp;B113,บันทึกสต็อครายวัน!$M$122:$M$9999,0))),"")</f>
        <v/>
      </c>
      <c r="L113" s="154" t="str">
        <f>IFERROR(IF(ISBLANK(INDEX(บันทึกสต็อครายวัน!$L$122:$L$9999,MATCH(TEXT($B$2,"YYYYMMDD")&amp;"|"&amp;$E$2&amp;"|"&amp;B113,บันทึกสต็อครายวัน!$M$122:$M$9999,0))),"",INDEX(บันทึกสต็อครายวัน!$L$122:$L$9999,MATCH(TEXT($B$2,"YYYYMMDD")&amp;"|"&amp;$E$2&amp;"|"&amp;B113,บันทึกสต็อครายวัน!$M$122:$M$9999,0))),"")</f>
        <v/>
      </c>
    </row>
    <row r="114" spans="1:12" ht="18" customHeight="1">
      <c r="A114" s="169" t="s">
        <v>198</v>
      </c>
      <c r="B114" s="170" t="s">
        <v>199</v>
      </c>
      <c r="C114" s="171" t="s">
        <v>8915</v>
      </c>
      <c r="D114" s="149" t="str">
        <f>IFERROR(IF(INDEX(บันทึกสต็อครายวัน!$D$122:$D$9999,MATCH(TEXT($B$2,"YYYYMMDD")&amp;"|"&amp;$E$2&amp;"|"&amp;B114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114)*บันทึกสต็อครายวัน!$A$122:$A$9999)),"YYYYMMDD")&amp;"|"&amp;$E$2&amp;"|"&amp;B114,บันทึกสต็อครายวัน!$M$122:$M$9999,0))),""),INDEX(บันทึกสต็อครายวัน!$D$122:$D$9999,MATCH(TEXT($B$2,"YYYYMMDD")&amp;"|"&amp;$E$2&amp;"|"&amp;B114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114)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114)*บันทึกสต็อครายวัน!$A$122:$A$9999)),"YYYYMMDD")&amp;"|"&amp;$E$2&amp;"|"&amp;B114,บันทึกสต็อครายวัน!$M$122:$M$9999,0))),""))</f>
        <v/>
      </c>
      <c r="E114" s="150" t="str">
        <f>IFERROR(IF(INDEX(บันทึกสต็อครายวัน!$E$122:$E$9999,MATCH(TEXT($B$2,"YYYYMMDD")&amp;"|"&amp;$E$2&amp;"|"&amp;B114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114)*บันทึกสต็อครายวัน!$A$122:$A$9999)),"YYYYMMDD")&amp;"|"&amp;$E$2&amp;"|"&amp;B114,บันทึกสต็อครายวัน!$M$122:$M$9999,0))),""),INDEX(บันทึกสต็อครายวัน!$E$122:$E$9999,MATCH(TEXT($B$2,"YYYYMMDD")&amp;"|"&amp;$E$2&amp;"|"&amp;B114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114)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114)*บันทึกสต็อครายวัน!$A$122:$A$9999)),"YYYYMMDD")&amp;"|"&amp;$E$2&amp;"|"&amp;B114,บันทึกสต็อครายวัน!$M$122:$M$9999,0))),""))</f>
        <v/>
      </c>
      <c r="F114" s="149" t="str">
        <f>IFERROR(IF(ISBLANK(INDEX(บันทึกสต็อครายวัน!$F$122:$F$9999,MATCH(TEXT($B$2,"YYYYMMDD")&amp;"|"&amp;$E$2&amp;"|"&amp;B114,บันทึกสต็อครายวัน!$M$122:$M$9999,0))),"",INDEX(บันทึกสต็อครายวัน!$F$122:$F$9999,MATCH(TEXT($B$2,"YYYYMMDD")&amp;"|"&amp;$E$2&amp;"|"&amp;B114,บันทึกสต็อครายวัน!$M$122:$M$9999,0))),"")</f>
        <v/>
      </c>
      <c r="G114" s="149" t="str">
        <f>IFERROR(IF(ISBLANK(INDEX(บันทึกสต็อครายวัน!$G$122:$G$9999,MATCH(TEXT($B$2,"YYYYMMDD")&amp;"|"&amp;$E$2&amp;"|"&amp;B114,บันทึกสต็อครายวัน!$M$122:$M$9999,0))),"",INDEX(บันทึกสต็อครายวัน!$G$122:$G$9999,MATCH(TEXT($B$2,"YYYYMMDD")&amp;"|"&amp;$E$2&amp;"|"&amp;B114,บันทึกสต็อครายวัน!$M$122:$M$9999,0))),"")</f>
        <v/>
      </c>
      <c r="H114" s="152" t="str">
        <f>IFERROR(IF(ISBLANK(INDEX(บันทึกสต็อครายวัน!$H$122:$H$9999,MATCH(TEXT($B$2,"YYYYMMDD")&amp;"|"&amp;$E$2&amp;"|"&amp;B114,บันทึกสต็อครายวัน!$M$122:$M$9999,0))),"",INDEX(บันทึกสต็อครายวัน!$H$122:$H$9999,MATCH(TEXT($B$2,"YYYYMMDD")&amp;"|"&amp;$E$2&amp;"|"&amp;B114,บันทึกสต็อครายวัน!$M$122:$M$9999,0))),"")</f>
        <v/>
      </c>
      <c r="I114" s="153" t="str">
        <f>IFERROR(IF(ISBLANK(INDEX(บันทึกสต็อครายวัน!$I$122:$I$9999,MATCH(TEXT($B$2,"YYYYMMDD")&amp;"|"&amp;$E$2&amp;"|"&amp;B114,บันทึกสต็อครายวัน!$M$122:$M$9999,0))),"",INDEX(บันทึกสต็อครายวัน!$I$122:$I$9999,MATCH(TEXT($B$2,"YYYYMMDD")&amp;"|"&amp;$E$2&amp;"|"&amp;B114,บันทึกสต็อครายวัน!$M$122:$M$9999,0))),"")</f>
        <v/>
      </c>
      <c r="J114" s="153" t="str">
        <f>IFERROR(IF(ISBLANK(INDEX(บันทึกสต็อครายวัน!$J$122:$J$9999,MATCH(TEXT($B$2,"YYYYMMDD")&amp;"|"&amp;$E$2&amp;"|"&amp;B114,บันทึกสต็อครายวัน!$M$122:$M$9999,0))),"",INDEX(บันทึกสต็อครายวัน!$J$122:$J$9999,MATCH(TEXT($B$2,"YYYYMMDD")&amp;"|"&amp;$E$2&amp;"|"&amp;B114,บันทึกสต็อครายวัน!$M$122:$M$9999,0))),"")</f>
        <v/>
      </c>
      <c r="K114" s="154" t="str">
        <f>IFERROR(IF(ISBLANK(INDEX(บันทึกสต็อครายวัน!$K$122:$K$9999,MATCH(TEXT($B$2,"YYYYMMDD")&amp;"|"&amp;$E$2&amp;"|"&amp;B114,บันทึกสต็อครายวัน!$M$122:$M$9999,0))),"",INDEX(บันทึกสต็อครายวัน!$K$122:$K$9999,MATCH(TEXT($B$2,"YYYYMMDD")&amp;"|"&amp;$E$2&amp;"|"&amp;B114,บันทึกสต็อครายวัน!$M$122:$M$9999,0))),"")</f>
        <v/>
      </c>
      <c r="L114" s="154" t="str">
        <f>IFERROR(IF(ISBLANK(INDEX(บันทึกสต็อครายวัน!$L$122:$L$9999,MATCH(TEXT($B$2,"YYYYMMDD")&amp;"|"&amp;$E$2&amp;"|"&amp;B114,บันทึกสต็อครายวัน!$M$122:$M$9999,0))),"",INDEX(บันทึกสต็อครายวัน!$L$122:$L$9999,MATCH(TEXT($B$2,"YYYYMMDD")&amp;"|"&amp;$E$2&amp;"|"&amp;B114,บันทึกสต็อครายวัน!$M$122:$M$9999,0))),"")</f>
        <v/>
      </c>
    </row>
    <row r="115" spans="1:12" ht="15" customHeight="1">
      <c r="A115" s="169" t="s">
        <v>198</v>
      </c>
      <c r="B115" s="170" t="s">
        <v>200</v>
      </c>
      <c r="C115" s="171" t="s">
        <v>8915</v>
      </c>
      <c r="D115" s="149" t="str">
        <f>IFERROR(IF(INDEX(บันทึกสต็อครายวัน!$D$122:$D$9999,MATCH(TEXT($B$2,"YYYYMMDD")&amp;"|"&amp;$E$2&amp;"|"&amp;B115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115)*บันทึกสต็อครายวัน!$A$122:$A$9999)),"YYYYMMDD")&amp;"|"&amp;$E$2&amp;"|"&amp;B115,บันทึกสต็อครายวัน!$M$122:$M$9999,0))),""),INDEX(บันทึกสต็อครายวัน!$D$122:$D$9999,MATCH(TEXT($B$2,"YYYYMMDD")&amp;"|"&amp;$E$2&amp;"|"&amp;B115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115)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115)*บันทึกสต็อครายวัน!$A$122:$A$9999)),"YYYYMMDD")&amp;"|"&amp;$E$2&amp;"|"&amp;B115,บันทึกสต็อครายวัน!$M$122:$M$9999,0))),""))</f>
        <v/>
      </c>
      <c r="E115" s="150" t="str">
        <f>IFERROR(IF(INDEX(บันทึกสต็อครายวัน!$E$122:$E$9999,MATCH(TEXT($B$2,"YYYYMMDD")&amp;"|"&amp;$E$2&amp;"|"&amp;B115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115)*บันทึกสต็อครายวัน!$A$122:$A$9999)),"YYYYMMDD")&amp;"|"&amp;$E$2&amp;"|"&amp;B115,บันทึกสต็อครายวัน!$M$122:$M$9999,0))),""),INDEX(บันทึกสต็อครายวัน!$E$122:$E$9999,MATCH(TEXT($B$2,"YYYYMMDD")&amp;"|"&amp;$E$2&amp;"|"&amp;B115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115)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115)*บันทึกสต็อครายวัน!$A$122:$A$9999)),"YYYYMMDD")&amp;"|"&amp;$E$2&amp;"|"&amp;B115,บันทึกสต็อครายวัน!$M$122:$M$9999,0))),""))</f>
        <v/>
      </c>
      <c r="F115" s="149" t="str">
        <f>IFERROR(IF(ISBLANK(INDEX(บันทึกสต็อครายวัน!$F$122:$F$9999,MATCH(TEXT($B$2,"YYYYMMDD")&amp;"|"&amp;$E$2&amp;"|"&amp;B115,บันทึกสต็อครายวัน!$M$122:$M$9999,0))),"",INDEX(บันทึกสต็อครายวัน!$F$122:$F$9999,MATCH(TEXT($B$2,"YYYYMMDD")&amp;"|"&amp;$E$2&amp;"|"&amp;B115,บันทึกสต็อครายวัน!$M$122:$M$9999,0))),"")</f>
        <v/>
      </c>
      <c r="G115" s="149" t="str">
        <f>IFERROR(IF(ISBLANK(INDEX(บันทึกสต็อครายวัน!$G$122:$G$9999,MATCH(TEXT($B$2,"YYYYMMDD")&amp;"|"&amp;$E$2&amp;"|"&amp;B115,บันทึกสต็อครายวัน!$M$122:$M$9999,0))),"",INDEX(บันทึกสต็อครายวัน!$G$122:$G$9999,MATCH(TEXT($B$2,"YYYYMMDD")&amp;"|"&amp;$E$2&amp;"|"&amp;B115,บันทึกสต็อครายวัน!$M$122:$M$9999,0))),"")</f>
        <v/>
      </c>
      <c r="H115" s="152" t="str">
        <f>IFERROR(IF(ISBLANK(INDEX(บันทึกสต็อครายวัน!$H$122:$H$9999,MATCH(TEXT($B$2,"YYYYMMDD")&amp;"|"&amp;$E$2&amp;"|"&amp;B115,บันทึกสต็อครายวัน!$M$122:$M$9999,0))),"",INDEX(บันทึกสต็อครายวัน!$H$122:$H$9999,MATCH(TEXT($B$2,"YYYYMMDD")&amp;"|"&amp;$E$2&amp;"|"&amp;B115,บันทึกสต็อครายวัน!$M$122:$M$9999,0))),"")</f>
        <v/>
      </c>
      <c r="I115" s="153" t="str">
        <f>IFERROR(IF(ISBLANK(INDEX(บันทึกสต็อครายวัน!$I$122:$I$9999,MATCH(TEXT($B$2,"YYYYMMDD")&amp;"|"&amp;$E$2&amp;"|"&amp;B115,บันทึกสต็อครายวัน!$M$122:$M$9999,0))),"",INDEX(บันทึกสต็อครายวัน!$I$122:$I$9999,MATCH(TEXT($B$2,"YYYYMMDD")&amp;"|"&amp;$E$2&amp;"|"&amp;B115,บันทึกสต็อครายวัน!$M$122:$M$9999,0))),"")</f>
        <v/>
      </c>
      <c r="J115" s="153" t="str">
        <f>IFERROR(IF(ISBLANK(INDEX(บันทึกสต็อครายวัน!$J$122:$J$9999,MATCH(TEXT($B$2,"YYYYMMDD")&amp;"|"&amp;$E$2&amp;"|"&amp;B115,บันทึกสต็อครายวัน!$M$122:$M$9999,0))),"",INDEX(บันทึกสต็อครายวัน!$J$122:$J$9999,MATCH(TEXT($B$2,"YYYYMMDD")&amp;"|"&amp;$E$2&amp;"|"&amp;B115,บันทึกสต็อครายวัน!$M$122:$M$9999,0))),"")</f>
        <v/>
      </c>
      <c r="K115" s="154" t="str">
        <f>IFERROR(IF(ISBLANK(INDEX(บันทึกสต็อครายวัน!$K$122:$K$9999,MATCH(TEXT($B$2,"YYYYMMDD")&amp;"|"&amp;$E$2&amp;"|"&amp;B115,บันทึกสต็อครายวัน!$M$122:$M$9999,0))),"",INDEX(บันทึกสต็อครายวัน!$K$122:$K$9999,MATCH(TEXT($B$2,"YYYYMMDD")&amp;"|"&amp;$E$2&amp;"|"&amp;B115,บันทึกสต็อครายวัน!$M$122:$M$9999,0))),"")</f>
        <v/>
      </c>
      <c r="L115" s="154" t="str">
        <f>IFERROR(IF(ISBLANK(INDEX(บันทึกสต็อครายวัน!$L$122:$L$9999,MATCH(TEXT($B$2,"YYYYMMDD")&amp;"|"&amp;$E$2&amp;"|"&amp;B115,บันทึกสต็อครายวัน!$M$122:$M$9999,0))),"",INDEX(บันทึกสต็อครายวัน!$L$122:$L$9999,MATCH(TEXT($B$2,"YYYYMMDD")&amp;"|"&amp;$E$2&amp;"|"&amp;B115,บันทึกสต็อครายวัน!$M$122:$M$9999,0))),"")</f>
        <v/>
      </c>
    </row>
    <row r="116" spans="1:12" ht="15" customHeight="1">
      <c r="A116" s="169" t="s">
        <v>198</v>
      </c>
      <c r="B116" s="170" t="s">
        <v>202</v>
      </c>
      <c r="C116" s="171" t="s">
        <v>8915</v>
      </c>
      <c r="D116" s="149" t="str">
        <f>IFERROR(IF(INDEX(บันทึกสต็อครายวัน!$D$122:$D$9999,MATCH(TEXT($B$2,"YYYYMMDD")&amp;"|"&amp;$E$2&amp;"|"&amp;B116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116)*บันทึกสต็อครายวัน!$A$122:$A$9999)),"YYYYMMDD")&amp;"|"&amp;$E$2&amp;"|"&amp;B116,บันทึกสต็อครายวัน!$M$122:$M$9999,0))),""),INDEX(บันทึกสต็อครายวัน!$D$122:$D$9999,MATCH(TEXT($B$2,"YYYYMMDD")&amp;"|"&amp;$E$2&amp;"|"&amp;B116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116)*บันทึกสต็อครายวัน!$A$122:$A$9999))=0,"",INDEX(บันทึกสต็อครายวัน!$I$122:$I$9999,MATCH(TEXT(SUMPRODUCT(MAX((บันทึกสต็อครายวัน!$A$122:$A$9999&lt;$B$2)*(บันทึกสต็อครายวัน!$B$122:$B$9999=$E$2)*(บันทึกสต็อครายวัน!$C$122:$C$9999=B116)*บันทึกสต็อครายวัน!$A$122:$A$9999)),"YYYYMMDD")&amp;"|"&amp;$E$2&amp;"|"&amp;B116,บันทึกสต็อครายวัน!$M$122:$M$9999,0))),""))</f>
        <v/>
      </c>
      <c r="E116" s="150" t="str">
        <f>IFERROR(IF(INDEX(บันทึกสต็อครายวัน!$E$122:$E$9999,MATCH(TEXT($B$2,"YYYYMMDD")&amp;"|"&amp;$E$2&amp;"|"&amp;B116,บันทึกสต็อครายวัน!$M$122:$M$9999,0))="",IFERROR(IF(SUMPRODUCT(MAX((บันทึกสต็อครายวัน!$A$122:$A$9999&lt;$B$2)*(บันทึกสต็อครายวัน!$B$122:$B$9999=$E$2)*(บันทึกสต็อครายวัน!$C$122:$C$9999=B116)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116)*บันทึกสต็อครายวัน!$A$122:$A$9999)),"YYYYMMDD")&amp;"|"&amp;$E$2&amp;"|"&amp;B116,บันทึกสต็อครายวัน!$M$122:$M$9999,0))),""),INDEX(บันทึกสต็อครายวัน!$E$122:$E$9999,MATCH(TEXT($B$2,"YYYYMMDD")&amp;"|"&amp;$E$2&amp;"|"&amp;B116,บันทึกสต็อครายวัน!$M$122:$M$9999,0))),IFERROR(IF(SUMPRODUCT(MAX((บันทึกสต็อครายวัน!$A$122:$A$9999&lt;$B$2)*(บันทึกสต็อครายวัน!$B$122:$B$9999=$E$2)*(บันทึกสต็อครายวัน!$C$122:$C$9999=B116)*บันทึกสต็อครายวัน!$A$122:$A$9999))=0,"",INDEX(บันทึกสต็อครายวัน!$J$122:$J$9999,MATCH(TEXT(SUMPRODUCT(MAX((บันทึกสต็อครายวัน!$A$122:$A$9999&lt;$B$2)*(บันทึกสต็อครายวัน!$B$122:$B$9999=$E$2)*(บันทึกสต็อครายวัน!$C$122:$C$9999=B116)*บันทึกสต็อครายวัน!$A$122:$A$9999)),"YYYYMMDD")&amp;"|"&amp;$E$2&amp;"|"&amp;B116,บันทึกสต็อครายวัน!$M$122:$M$9999,0))),""))</f>
        <v/>
      </c>
      <c r="F116" s="149" t="str">
        <f>IFERROR(IF(ISBLANK(INDEX(บันทึกสต็อครายวัน!$F$122:$F$9999,MATCH(TEXT($B$2,"YYYYMMDD")&amp;"|"&amp;$E$2&amp;"|"&amp;B116,บันทึกสต็อครายวัน!$M$122:$M$9999,0))),"",INDEX(บันทึกสต็อครายวัน!$F$122:$F$9999,MATCH(TEXT($B$2,"YYYYMMDD")&amp;"|"&amp;$E$2&amp;"|"&amp;B116,บันทึกสต็อครายวัน!$M$122:$M$9999,0))),"")</f>
        <v/>
      </c>
      <c r="G116" s="149" t="str">
        <f>IFERROR(IF(ISBLANK(INDEX(บันทึกสต็อครายวัน!$G$122:$G$9999,MATCH(TEXT($B$2,"YYYYMMDD")&amp;"|"&amp;$E$2&amp;"|"&amp;B116,บันทึกสต็อครายวัน!$M$122:$M$9999,0))),"",INDEX(บันทึกสต็อครายวัน!$G$122:$G$9999,MATCH(TEXT($B$2,"YYYYMMDD")&amp;"|"&amp;$E$2&amp;"|"&amp;B116,บันทึกสต็อครายวัน!$M$122:$M$9999,0))),"")</f>
        <v/>
      </c>
      <c r="H116" s="152" t="str">
        <f>IFERROR(IF(ISBLANK(INDEX(บันทึกสต็อครายวัน!$H$122:$H$9999,MATCH(TEXT($B$2,"YYYYMMDD")&amp;"|"&amp;$E$2&amp;"|"&amp;B116,บันทึกสต็อครายวัน!$M$122:$M$9999,0))),"",INDEX(บันทึกสต็อครายวัน!$H$122:$H$9999,MATCH(TEXT($B$2,"YYYYMMDD")&amp;"|"&amp;$E$2&amp;"|"&amp;B116,บันทึกสต็อครายวัน!$M$122:$M$9999,0))),"")</f>
        <v/>
      </c>
      <c r="I116" s="153" t="str">
        <f>IFERROR(IF(ISBLANK(INDEX(บันทึกสต็อครายวัน!$I$122:$I$9999,MATCH(TEXT($B$2,"YYYYMMDD")&amp;"|"&amp;$E$2&amp;"|"&amp;B116,บันทึกสต็อครายวัน!$M$122:$M$9999,0))),"",INDEX(บันทึกสต็อครายวัน!$I$122:$I$9999,MATCH(TEXT($B$2,"YYYYMMDD")&amp;"|"&amp;$E$2&amp;"|"&amp;B116,บันทึกสต็อครายวัน!$M$122:$M$9999,0))),"")</f>
        <v/>
      </c>
      <c r="J116" s="153" t="str">
        <f>IFERROR(IF(ISBLANK(INDEX(บันทึกสต็อครายวัน!$J$122:$J$9999,MATCH(TEXT($B$2,"YYYYMMDD")&amp;"|"&amp;$E$2&amp;"|"&amp;B116,บันทึกสต็อครายวัน!$M$122:$M$9999,0))),"",INDEX(บันทึกสต็อครายวัน!$J$122:$J$9999,MATCH(TEXT($B$2,"YYYYMMDD")&amp;"|"&amp;$E$2&amp;"|"&amp;B116,บันทึกสต็อครายวัน!$M$122:$M$9999,0))),"")</f>
        <v/>
      </c>
      <c r="K116" s="154" t="str">
        <f>IFERROR(IF(ISBLANK(INDEX(บันทึกสต็อครายวัน!$K$122:$K$9999,MATCH(TEXT($B$2,"YYYYMMDD")&amp;"|"&amp;$E$2&amp;"|"&amp;B116,บันทึกสต็อครายวัน!$M$122:$M$9999,0))),"",INDEX(บันทึกสต็อครายวัน!$K$122:$K$9999,MATCH(TEXT($B$2,"YYYYMMDD")&amp;"|"&amp;$E$2&amp;"|"&amp;B116,บันทึกสต็อครายวัน!$M$122:$M$9999,0))),"")</f>
        <v/>
      </c>
      <c r="L116" s="154" t="str">
        <f>IFERROR(IF(ISBLANK(INDEX(บันทึกสต็อครายวัน!$L$122:$L$9999,MATCH(TEXT($B$2,"YYYYMMDD")&amp;"|"&amp;$E$2&amp;"|"&amp;B116,บันทึกสต็อครายวัน!$M$122:$M$9999,0))),"",INDEX(บันทึกสต็อครายวัน!$L$122:$L$9999,MATCH(TEXT($B$2,"YYYYMMDD")&amp;"|"&amp;$E$2&amp;"|"&amp;B116,บันทึกสต็อครายวัน!$M$122:$M$9999,0))),"")</f>
        <v/>
      </c>
    </row>
  </sheetData>
  <sheetProtection sheet="1"/>
  <mergeCells count="1">
    <mergeCell ref="A1:L1"/>
  </mergeCells>
  <dataValidations count="1">
    <dataValidation type="list" sqref="E2" xr:uid="{00000000-0002-0000-0100-000000000000}">
      <formula1>"SND,NVP,KCN,NCD"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2" sqref="K12"/>
    </sheetView>
  </sheetViews>
  <sheetFormatPr baseColWidth="10" defaultColWidth="8.83203125" defaultRowHeight="15"/>
  <cols>
    <col min="1" max="1" width="15" customWidth="1"/>
    <col min="2" max="2" width="10" customWidth="1"/>
    <col min="3" max="3" width="12" customWidth="1"/>
    <col min="4" max="5" width="14" customWidth="1"/>
    <col min="6" max="6" width="13" customWidth="1"/>
    <col min="7" max="8" width="10" customWidth="1"/>
    <col min="9" max="9" width="13" customWidth="1"/>
    <col min="10" max="10" width="16" customWidth="1"/>
    <col min="11" max="11" width="40" customWidth="1"/>
  </cols>
  <sheetData>
    <row r="1" spans="1:10" ht="42" customHeight="1">
      <c r="A1" s="3" t="s">
        <v>8916</v>
      </c>
      <c r="B1" s="3"/>
      <c r="C1" s="3"/>
      <c r="D1" s="3"/>
      <c r="E1" s="172" t="s">
        <v>8917</v>
      </c>
      <c r="F1" s="173">
        <v>46174</v>
      </c>
      <c r="H1" s="174" t="s">
        <v>8904</v>
      </c>
      <c r="I1" s="175" t="s">
        <v>201</v>
      </c>
      <c r="J1" s="176" t="s">
        <v>8918</v>
      </c>
    </row>
    <row r="2" spans="1:10" ht="21.75" customHeight="1">
      <c r="A2" s="177" t="s">
        <v>205</v>
      </c>
      <c r="B2" s="177" t="s">
        <v>8919</v>
      </c>
      <c r="C2" s="177" t="s">
        <v>8920</v>
      </c>
      <c r="D2" s="177" t="s">
        <v>8921</v>
      </c>
      <c r="E2" s="177" t="s">
        <v>8922</v>
      </c>
      <c r="F2" s="177" t="s">
        <v>8923</v>
      </c>
      <c r="G2" s="177" t="s">
        <v>8924</v>
      </c>
      <c r="H2" s="177" t="s">
        <v>8925</v>
      </c>
      <c r="I2" s="177" t="s">
        <v>8926</v>
      </c>
      <c r="J2" s="177" t="s">
        <v>8927</v>
      </c>
    </row>
    <row r="3" spans="1:10" ht="19.5" customHeight="1">
      <c r="A3" s="178"/>
      <c r="B3" s="179" t="s">
        <v>201</v>
      </c>
      <c r="C3" s="180"/>
      <c r="D3" s="180"/>
      <c r="E3" s="180"/>
      <c r="F3" s="181">
        <v>0</v>
      </c>
      <c r="G3" s="180"/>
      <c r="H3" s="180"/>
      <c r="I3" s="181">
        <v>0</v>
      </c>
      <c r="J3" s="181"/>
    </row>
    <row r="4" spans="1:10" ht="19.5" customHeight="1">
      <c r="A4" s="178">
        <f t="shared" ref="A4:A34" si="0">F$1+(ROW()-4)</f>
        <v>46174</v>
      </c>
      <c r="B4" s="182" t="s">
        <v>201</v>
      </c>
      <c r="C4" s="180"/>
      <c r="D4" s="180"/>
      <c r="E4" s="180"/>
      <c r="F4" s="181">
        <v>0</v>
      </c>
      <c r="G4" s="180"/>
      <c r="H4" s="180"/>
      <c r="I4" s="181"/>
      <c r="J4" s="181"/>
    </row>
    <row r="5" spans="1:10" ht="19.5" customHeight="1">
      <c r="A5" s="178">
        <f t="shared" si="0"/>
        <v>46175</v>
      </c>
      <c r="B5" s="179" t="s">
        <v>201</v>
      </c>
      <c r="C5" s="180"/>
      <c r="D5" s="180"/>
      <c r="E5" s="180"/>
      <c r="F5" s="181">
        <v>0</v>
      </c>
      <c r="G5" s="180"/>
      <c r="H5" s="180"/>
      <c r="I5" s="181">
        <v>0</v>
      </c>
      <c r="J5" s="181"/>
    </row>
    <row r="6" spans="1:10" ht="19.5" customHeight="1">
      <c r="A6" s="178">
        <f t="shared" si="0"/>
        <v>46176</v>
      </c>
      <c r="B6" s="182" t="s">
        <v>201</v>
      </c>
      <c r="C6" s="180"/>
      <c r="D6" s="180"/>
      <c r="E6" s="180"/>
      <c r="F6" s="181">
        <v>0</v>
      </c>
      <c r="G6" s="180"/>
      <c r="H6" s="180"/>
      <c r="I6" s="181">
        <v>0</v>
      </c>
      <c r="J6" s="181"/>
    </row>
    <row r="7" spans="1:10" ht="19.5" customHeight="1">
      <c r="A7" s="178">
        <f t="shared" si="0"/>
        <v>46177</v>
      </c>
      <c r="B7" s="179" t="s">
        <v>201</v>
      </c>
      <c r="C7" s="180"/>
      <c r="D7" s="180"/>
      <c r="E7" s="180"/>
      <c r="F7" s="181">
        <v>0</v>
      </c>
      <c r="G7" s="180"/>
      <c r="H7" s="180"/>
      <c r="I7" s="181">
        <v>0</v>
      </c>
      <c r="J7" s="181"/>
    </row>
    <row r="8" spans="1:10" ht="19.5" customHeight="1">
      <c r="A8" s="178">
        <f t="shared" si="0"/>
        <v>46178</v>
      </c>
      <c r="B8" s="182" t="s">
        <v>201</v>
      </c>
      <c r="C8" s="180"/>
      <c r="D8" s="180"/>
      <c r="E8" s="180"/>
      <c r="F8" s="181">
        <v>0</v>
      </c>
      <c r="G8" s="180"/>
      <c r="H8" s="180"/>
      <c r="I8" s="181">
        <v>0</v>
      </c>
      <c r="J8" s="181"/>
    </row>
    <row r="9" spans="1:10" ht="19.5" customHeight="1">
      <c r="A9" s="178">
        <f t="shared" si="0"/>
        <v>46179</v>
      </c>
      <c r="B9" s="179" t="s">
        <v>201</v>
      </c>
      <c r="C9" s="183">
        <f t="shared" ref="C9:C15" si="1">IFERROR(IF($A9="","",IF(SUMIFS($C$41:$C$500,$A$41:$A$500,$A9,$B$41:$B$500,$I$1)=0,"",SUMIFS($C$41:$C$500,$A$41:$A$500,$A9,$B$41:$B$500,$I$1))),"")</f>
        <v>165</v>
      </c>
      <c r="D9" s="183">
        <f t="shared" ref="D9:D15" si="2">IFERROR(IF($A9="","",IF(SUMIFS($D$41:$D$500,$A$41:$A$500,$A9,$B$41:$B$500,$I$1)=0,"",SUMIFS($D$41:$D$500,$A$41:$A$500,$A9,$B$41:$B$500,$I$1))),"")</f>
        <v>9213</v>
      </c>
      <c r="E9" s="180"/>
      <c r="F9" s="181">
        <f t="shared" ref="F9:F33" si="3">SUM(C9:E9)</f>
        <v>9378</v>
      </c>
      <c r="G9" s="183">
        <f t="shared" ref="G9:G14" si="4">IFERROR(IF($A9="","",IF(SUMIFS($G$41:$G$500,$A$41:$A$500,$A9,$B$41:$B$500,$I$1)=0,"",SUMIFS($G$41:$G$500,$A$41:$A$500,$A9,$B$41:$B$500,$I$1))),"")</f>
        <v>1535</v>
      </c>
      <c r="H9" s="183" t="str">
        <f t="shared" ref="H9:H14" si="5">IFERROR(IF($A9="","",IF(SUMIFS($H$41:$H$500,$A$41:$A$500,$A9,$B$41:$B$500,$I$1)=0,"",SUMIFS($H$41:$H$500,$A$41:$A$500,$A9,$B$41:$B$500,$I$1))),"")</f>
        <v/>
      </c>
      <c r="I9" s="181">
        <f t="shared" ref="I9:I34" si="6">SUM(G9:H9)</f>
        <v>1535</v>
      </c>
      <c r="J9" s="181">
        <f t="shared" ref="J9:J34" si="7">SUM(F9,I9)</f>
        <v>10913</v>
      </c>
    </row>
    <row r="10" spans="1:10" ht="19.5" customHeight="1">
      <c r="A10" s="178">
        <f t="shared" si="0"/>
        <v>46180</v>
      </c>
      <c r="B10" s="182" t="s">
        <v>201</v>
      </c>
      <c r="C10" s="183">
        <f t="shared" si="1"/>
        <v>545</v>
      </c>
      <c r="D10" s="183">
        <f t="shared" si="2"/>
        <v>9761</v>
      </c>
      <c r="E10" s="180"/>
      <c r="F10" s="181">
        <f t="shared" si="3"/>
        <v>10306</v>
      </c>
      <c r="G10" s="183">
        <f t="shared" si="4"/>
        <v>430</v>
      </c>
      <c r="H10" s="183">
        <f t="shared" si="5"/>
        <v>936</v>
      </c>
      <c r="I10" s="181">
        <f t="shared" si="6"/>
        <v>1366</v>
      </c>
      <c r="J10" s="181">
        <f t="shared" si="7"/>
        <v>11672</v>
      </c>
    </row>
    <row r="11" spans="1:10" ht="19.5" customHeight="1">
      <c r="A11" s="178">
        <f t="shared" si="0"/>
        <v>46181</v>
      </c>
      <c r="B11" s="179" t="s">
        <v>201</v>
      </c>
      <c r="C11" s="183">
        <f t="shared" si="1"/>
        <v>304</v>
      </c>
      <c r="D11" s="183">
        <f t="shared" si="2"/>
        <v>4359</v>
      </c>
      <c r="E11" s="180"/>
      <c r="F11" s="181">
        <f t="shared" si="3"/>
        <v>4663</v>
      </c>
      <c r="G11" s="183">
        <f t="shared" si="4"/>
        <v>1455</v>
      </c>
      <c r="H11" s="183">
        <f t="shared" si="5"/>
        <v>1611</v>
      </c>
      <c r="I11" s="181">
        <f t="shared" si="6"/>
        <v>3066</v>
      </c>
      <c r="J11" s="181">
        <f t="shared" si="7"/>
        <v>7729</v>
      </c>
    </row>
    <row r="12" spans="1:10" ht="19.5" customHeight="1">
      <c r="A12" s="178">
        <f t="shared" si="0"/>
        <v>46182</v>
      </c>
      <c r="B12" s="182" t="s">
        <v>201</v>
      </c>
      <c r="C12" s="183">
        <f t="shared" si="1"/>
        <v>554</v>
      </c>
      <c r="D12" s="183">
        <f t="shared" si="2"/>
        <v>3482</v>
      </c>
      <c r="E12" s="180"/>
      <c r="F12" s="181">
        <f t="shared" si="3"/>
        <v>4036</v>
      </c>
      <c r="G12" s="183">
        <f t="shared" si="4"/>
        <v>1345</v>
      </c>
      <c r="H12" s="183">
        <f t="shared" si="5"/>
        <v>1661</v>
      </c>
      <c r="I12" s="181">
        <f t="shared" si="6"/>
        <v>3006</v>
      </c>
      <c r="J12" s="181">
        <f t="shared" si="7"/>
        <v>7042</v>
      </c>
    </row>
    <row r="13" spans="1:10" ht="19.5" customHeight="1">
      <c r="A13" s="178">
        <f t="shared" si="0"/>
        <v>46183</v>
      </c>
      <c r="B13" s="179" t="s">
        <v>201</v>
      </c>
      <c r="C13" s="183">
        <f t="shared" si="1"/>
        <v>349</v>
      </c>
      <c r="D13" s="183">
        <f t="shared" si="2"/>
        <v>3202</v>
      </c>
      <c r="E13" s="180"/>
      <c r="F13" s="181">
        <f t="shared" si="3"/>
        <v>3551</v>
      </c>
      <c r="G13" s="183">
        <f t="shared" si="4"/>
        <v>890</v>
      </c>
      <c r="H13" s="183">
        <f t="shared" si="5"/>
        <v>155</v>
      </c>
      <c r="I13" s="181">
        <f t="shared" si="6"/>
        <v>1045</v>
      </c>
      <c r="J13" s="181">
        <f t="shared" si="7"/>
        <v>4596</v>
      </c>
    </row>
    <row r="14" spans="1:10" ht="19.5" customHeight="1">
      <c r="A14" s="178">
        <f t="shared" si="0"/>
        <v>46184</v>
      </c>
      <c r="B14" s="182" t="s">
        <v>201</v>
      </c>
      <c r="C14" s="183">
        <f t="shared" si="1"/>
        <v>350</v>
      </c>
      <c r="D14" s="183">
        <f t="shared" si="2"/>
        <v>2983</v>
      </c>
      <c r="E14" s="180"/>
      <c r="F14" s="181">
        <f t="shared" si="3"/>
        <v>3333</v>
      </c>
      <c r="G14" s="183">
        <f t="shared" si="4"/>
        <v>705</v>
      </c>
      <c r="H14" s="183" t="str">
        <f t="shared" si="5"/>
        <v/>
      </c>
      <c r="I14" s="181">
        <f t="shared" si="6"/>
        <v>705</v>
      </c>
      <c r="J14" s="181">
        <f t="shared" si="7"/>
        <v>4038</v>
      </c>
    </row>
    <row r="15" spans="1:10" ht="19.5" customHeight="1">
      <c r="A15" s="178">
        <f t="shared" si="0"/>
        <v>46185</v>
      </c>
      <c r="B15" s="179" t="s">
        <v>201</v>
      </c>
      <c r="C15" s="183">
        <f t="shared" si="1"/>
        <v>1354</v>
      </c>
      <c r="D15" s="183">
        <f t="shared" si="2"/>
        <v>4883</v>
      </c>
      <c r="E15" s="180"/>
      <c r="F15" s="181">
        <f t="shared" si="3"/>
        <v>6237</v>
      </c>
      <c r="G15" s="184"/>
      <c r="H15" s="184"/>
      <c r="I15" s="181">
        <f t="shared" si="6"/>
        <v>0</v>
      </c>
      <c r="J15" s="181">
        <f t="shared" si="7"/>
        <v>6237</v>
      </c>
    </row>
    <row r="16" spans="1:10" ht="19.5" customHeight="1">
      <c r="A16" s="178">
        <f t="shared" si="0"/>
        <v>46186</v>
      </c>
      <c r="B16" s="182" t="s">
        <v>201</v>
      </c>
      <c r="C16" s="182"/>
      <c r="D16" s="182"/>
      <c r="E16" s="180"/>
      <c r="F16" s="181">
        <f t="shared" si="3"/>
        <v>0</v>
      </c>
      <c r="G16" s="182"/>
      <c r="H16" s="182"/>
      <c r="I16" s="181">
        <f t="shared" si="6"/>
        <v>0</v>
      </c>
      <c r="J16" s="181">
        <f t="shared" si="7"/>
        <v>0</v>
      </c>
    </row>
    <row r="17" spans="1:10" ht="19.5" customHeight="1">
      <c r="A17" s="178">
        <f t="shared" si="0"/>
        <v>46187</v>
      </c>
      <c r="B17" s="179" t="s">
        <v>201</v>
      </c>
      <c r="C17" s="182"/>
      <c r="D17" s="182"/>
      <c r="E17" s="180"/>
      <c r="F17" s="181">
        <f t="shared" si="3"/>
        <v>0</v>
      </c>
      <c r="G17" s="182"/>
      <c r="H17" s="180"/>
      <c r="I17" s="181">
        <f t="shared" si="6"/>
        <v>0</v>
      </c>
      <c r="J17" s="181">
        <f t="shared" si="7"/>
        <v>0</v>
      </c>
    </row>
    <row r="18" spans="1:10" ht="19.5" customHeight="1">
      <c r="A18" s="178">
        <f t="shared" si="0"/>
        <v>46188</v>
      </c>
      <c r="B18" s="182" t="s">
        <v>201</v>
      </c>
      <c r="C18" s="182"/>
      <c r="D18" s="182"/>
      <c r="E18" s="180"/>
      <c r="F18" s="181">
        <f t="shared" si="3"/>
        <v>0</v>
      </c>
      <c r="G18" s="182"/>
      <c r="H18" s="182"/>
      <c r="I18" s="181">
        <f t="shared" si="6"/>
        <v>0</v>
      </c>
      <c r="J18" s="181">
        <f t="shared" si="7"/>
        <v>0</v>
      </c>
    </row>
    <row r="19" spans="1:10" ht="19.5" customHeight="1">
      <c r="A19" s="178">
        <f t="shared" si="0"/>
        <v>46189</v>
      </c>
      <c r="B19" s="179" t="s">
        <v>201</v>
      </c>
      <c r="C19" s="180" t="str">
        <f t="shared" ref="C19:C33" si="8">IFERROR(IF($A19="","",IF(SUMIFS($C$41:$C$500,$A$41:$A$500,$A19,$B$41:$B$500,$I$1)=0,"",SUMIFS($C$41:$C$500,$A$41:$A$500,$A19,$B$41:$B$500,$I$1))),"")</f>
        <v/>
      </c>
      <c r="D19" s="180" t="str">
        <f t="shared" ref="D19:D33" si="9">IFERROR(IF($A19="","",IF(SUMIFS($D$41:$D$500,$A$41:$A$500,$A19,$B$41:$B$500,$I$1)=0,"",SUMIFS($D$41:$D$500,$A$41:$A$500,$A19,$B$41:$B$500,$I$1))),"")</f>
        <v/>
      </c>
      <c r="E19" s="180"/>
      <c r="F19" s="181">
        <f t="shared" si="3"/>
        <v>0</v>
      </c>
      <c r="G19" s="180" t="str">
        <f t="shared" ref="G19:G34" si="10">IFERROR(IF($A19="","",IF(SUMIFS($G$41:$G$500,$A$41:$A$500,$A19,$B$41:$B$500,$I$1)=0,"",SUMIFS($G$41:$G$500,$A$41:$A$500,$A19,$B$41:$B$500,$I$1))),"")</f>
        <v/>
      </c>
      <c r="H19" s="180" t="str">
        <f t="shared" ref="H19:H34" si="11">IFERROR(IF($A19="","",IF(SUMIFS($H$41:$H$500,$A$41:$A$500,$A19,$B$41:$B$500,$I$1)=0,"",SUMIFS($H$41:$H$500,$A$41:$A$500,$A19,$B$41:$B$500,$I$1))),"")</f>
        <v/>
      </c>
      <c r="I19" s="181">
        <f t="shared" si="6"/>
        <v>0</v>
      </c>
      <c r="J19" s="181">
        <f t="shared" si="7"/>
        <v>0</v>
      </c>
    </row>
    <row r="20" spans="1:10" ht="19.5" customHeight="1">
      <c r="A20" s="178">
        <f t="shared" si="0"/>
        <v>46190</v>
      </c>
      <c r="B20" s="182" t="s">
        <v>201</v>
      </c>
      <c r="C20" s="180" t="str">
        <f t="shared" si="8"/>
        <v/>
      </c>
      <c r="D20" s="180" t="str">
        <f t="shared" si="9"/>
        <v/>
      </c>
      <c r="E20" s="180"/>
      <c r="F20" s="181">
        <f t="shared" si="3"/>
        <v>0</v>
      </c>
      <c r="G20" s="180" t="str">
        <f t="shared" si="10"/>
        <v/>
      </c>
      <c r="H20" s="180" t="str">
        <f t="shared" si="11"/>
        <v/>
      </c>
      <c r="I20" s="181">
        <f t="shared" si="6"/>
        <v>0</v>
      </c>
      <c r="J20" s="181">
        <f t="shared" si="7"/>
        <v>0</v>
      </c>
    </row>
    <row r="21" spans="1:10" ht="19.5" customHeight="1">
      <c r="A21" s="178">
        <f t="shared" si="0"/>
        <v>46191</v>
      </c>
      <c r="B21" s="179" t="s">
        <v>201</v>
      </c>
      <c r="C21" s="180" t="str">
        <f t="shared" si="8"/>
        <v/>
      </c>
      <c r="D21" s="180" t="str">
        <f t="shared" si="9"/>
        <v/>
      </c>
      <c r="E21" s="180"/>
      <c r="F21" s="181">
        <f t="shared" si="3"/>
        <v>0</v>
      </c>
      <c r="G21" s="180" t="str">
        <f t="shared" si="10"/>
        <v/>
      </c>
      <c r="H21" s="180" t="str">
        <f t="shared" si="11"/>
        <v/>
      </c>
      <c r="I21" s="181">
        <f t="shared" si="6"/>
        <v>0</v>
      </c>
      <c r="J21" s="181">
        <f t="shared" si="7"/>
        <v>0</v>
      </c>
    </row>
    <row r="22" spans="1:10" ht="19.5" customHeight="1">
      <c r="A22" s="178">
        <f t="shared" si="0"/>
        <v>46192</v>
      </c>
      <c r="B22" s="182" t="s">
        <v>201</v>
      </c>
      <c r="C22" s="180" t="str">
        <f t="shared" si="8"/>
        <v/>
      </c>
      <c r="D22" s="180" t="str">
        <f t="shared" si="9"/>
        <v/>
      </c>
      <c r="E22" s="180"/>
      <c r="F22" s="181">
        <f t="shared" si="3"/>
        <v>0</v>
      </c>
      <c r="G22" s="180" t="str">
        <f t="shared" si="10"/>
        <v/>
      </c>
      <c r="H22" s="180" t="str">
        <f t="shared" si="11"/>
        <v/>
      </c>
      <c r="I22" s="181">
        <f t="shared" si="6"/>
        <v>0</v>
      </c>
      <c r="J22" s="181">
        <f t="shared" si="7"/>
        <v>0</v>
      </c>
    </row>
    <row r="23" spans="1:10" ht="19.5" customHeight="1">
      <c r="A23" s="178">
        <f t="shared" si="0"/>
        <v>46193</v>
      </c>
      <c r="B23" s="179" t="s">
        <v>201</v>
      </c>
      <c r="C23" s="180" t="str">
        <f t="shared" si="8"/>
        <v/>
      </c>
      <c r="D23" s="180" t="str">
        <f t="shared" si="9"/>
        <v/>
      </c>
      <c r="E23" s="180"/>
      <c r="F23" s="181">
        <f t="shared" si="3"/>
        <v>0</v>
      </c>
      <c r="G23" s="180" t="str">
        <f t="shared" si="10"/>
        <v/>
      </c>
      <c r="H23" s="180" t="str">
        <f t="shared" si="11"/>
        <v/>
      </c>
      <c r="I23" s="181">
        <f t="shared" si="6"/>
        <v>0</v>
      </c>
      <c r="J23" s="181">
        <f t="shared" si="7"/>
        <v>0</v>
      </c>
    </row>
    <row r="24" spans="1:10" ht="19.5" customHeight="1">
      <c r="A24" s="178">
        <f t="shared" si="0"/>
        <v>46194</v>
      </c>
      <c r="B24" s="182" t="s">
        <v>201</v>
      </c>
      <c r="C24" s="180" t="str">
        <f t="shared" si="8"/>
        <v/>
      </c>
      <c r="D24" s="180" t="str">
        <f t="shared" si="9"/>
        <v/>
      </c>
      <c r="E24" s="180"/>
      <c r="F24" s="181">
        <f t="shared" si="3"/>
        <v>0</v>
      </c>
      <c r="G24" s="180" t="str">
        <f t="shared" si="10"/>
        <v/>
      </c>
      <c r="H24" s="180" t="str">
        <f t="shared" si="11"/>
        <v/>
      </c>
      <c r="I24" s="181">
        <f t="shared" si="6"/>
        <v>0</v>
      </c>
      <c r="J24" s="181">
        <f t="shared" si="7"/>
        <v>0</v>
      </c>
    </row>
    <row r="25" spans="1:10" ht="19.5" customHeight="1">
      <c r="A25" s="178">
        <f t="shared" si="0"/>
        <v>46195</v>
      </c>
      <c r="B25" s="179" t="s">
        <v>201</v>
      </c>
      <c r="C25" s="180" t="str">
        <f t="shared" si="8"/>
        <v/>
      </c>
      <c r="D25" s="180" t="str">
        <f t="shared" si="9"/>
        <v/>
      </c>
      <c r="E25" s="180"/>
      <c r="F25" s="181">
        <f t="shared" si="3"/>
        <v>0</v>
      </c>
      <c r="G25" s="180" t="str">
        <f t="shared" si="10"/>
        <v/>
      </c>
      <c r="H25" s="180" t="str">
        <f t="shared" si="11"/>
        <v/>
      </c>
      <c r="I25" s="181">
        <f t="shared" si="6"/>
        <v>0</v>
      </c>
      <c r="J25" s="181">
        <f t="shared" si="7"/>
        <v>0</v>
      </c>
    </row>
    <row r="26" spans="1:10" ht="19.5" customHeight="1">
      <c r="A26" s="178">
        <f t="shared" si="0"/>
        <v>46196</v>
      </c>
      <c r="B26" s="182" t="s">
        <v>201</v>
      </c>
      <c r="C26" s="180" t="str">
        <f t="shared" si="8"/>
        <v/>
      </c>
      <c r="D26" s="180" t="str">
        <f t="shared" si="9"/>
        <v/>
      </c>
      <c r="E26" s="180"/>
      <c r="F26" s="181">
        <f t="shared" si="3"/>
        <v>0</v>
      </c>
      <c r="G26" s="180" t="str">
        <f t="shared" si="10"/>
        <v/>
      </c>
      <c r="H26" s="180" t="str">
        <f t="shared" si="11"/>
        <v/>
      </c>
      <c r="I26" s="181">
        <f t="shared" si="6"/>
        <v>0</v>
      </c>
      <c r="J26" s="181">
        <f t="shared" si="7"/>
        <v>0</v>
      </c>
    </row>
    <row r="27" spans="1:10" ht="19.5" customHeight="1">
      <c r="A27" s="178">
        <f t="shared" si="0"/>
        <v>46197</v>
      </c>
      <c r="B27" s="179" t="s">
        <v>201</v>
      </c>
      <c r="C27" s="180" t="str">
        <f t="shared" si="8"/>
        <v/>
      </c>
      <c r="D27" s="180" t="str">
        <f t="shared" si="9"/>
        <v/>
      </c>
      <c r="E27" s="180"/>
      <c r="F27" s="181">
        <f t="shared" si="3"/>
        <v>0</v>
      </c>
      <c r="G27" s="180" t="str">
        <f t="shared" si="10"/>
        <v/>
      </c>
      <c r="H27" s="180" t="str">
        <f t="shared" si="11"/>
        <v/>
      </c>
      <c r="I27" s="181">
        <f t="shared" si="6"/>
        <v>0</v>
      </c>
      <c r="J27" s="181">
        <f t="shared" si="7"/>
        <v>0</v>
      </c>
    </row>
    <row r="28" spans="1:10" ht="19.5" customHeight="1">
      <c r="A28" s="178">
        <f t="shared" si="0"/>
        <v>46198</v>
      </c>
      <c r="B28" s="182" t="s">
        <v>201</v>
      </c>
      <c r="C28" s="180" t="str">
        <f t="shared" si="8"/>
        <v/>
      </c>
      <c r="D28" s="180" t="str">
        <f t="shared" si="9"/>
        <v/>
      </c>
      <c r="E28" s="180"/>
      <c r="F28" s="181">
        <f t="shared" si="3"/>
        <v>0</v>
      </c>
      <c r="G28" s="180" t="str">
        <f t="shared" si="10"/>
        <v/>
      </c>
      <c r="H28" s="180" t="str">
        <f t="shared" si="11"/>
        <v/>
      </c>
      <c r="I28" s="181">
        <f t="shared" si="6"/>
        <v>0</v>
      </c>
      <c r="J28" s="181">
        <f t="shared" si="7"/>
        <v>0</v>
      </c>
    </row>
    <row r="29" spans="1:10" ht="19.5" customHeight="1">
      <c r="A29" s="178">
        <f t="shared" si="0"/>
        <v>46199</v>
      </c>
      <c r="B29" s="179" t="s">
        <v>201</v>
      </c>
      <c r="C29" s="180" t="str">
        <f t="shared" si="8"/>
        <v/>
      </c>
      <c r="D29" s="180" t="str">
        <f t="shared" si="9"/>
        <v/>
      </c>
      <c r="E29" s="180"/>
      <c r="F29" s="181">
        <f t="shared" si="3"/>
        <v>0</v>
      </c>
      <c r="G29" s="180" t="str">
        <f t="shared" si="10"/>
        <v/>
      </c>
      <c r="H29" s="180" t="str">
        <f t="shared" si="11"/>
        <v/>
      </c>
      <c r="I29" s="181">
        <f t="shared" si="6"/>
        <v>0</v>
      </c>
      <c r="J29" s="181">
        <f t="shared" si="7"/>
        <v>0</v>
      </c>
    </row>
    <row r="30" spans="1:10" ht="19.5" customHeight="1">
      <c r="A30" s="178">
        <f t="shared" si="0"/>
        <v>46200</v>
      </c>
      <c r="B30" s="182" t="s">
        <v>201</v>
      </c>
      <c r="C30" s="180" t="str">
        <f t="shared" si="8"/>
        <v/>
      </c>
      <c r="D30" s="180" t="str">
        <f t="shared" si="9"/>
        <v/>
      </c>
      <c r="E30" s="180"/>
      <c r="F30" s="181">
        <f t="shared" si="3"/>
        <v>0</v>
      </c>
      <c r="G30" s="180" t="str">
        <f t="shared" si="10"/>
        <v/>
      </c>
      <c r="H30" s="180" t="str">
        <f t="shared" si="11"/>
        <v/>
      </c>
      <c r="I30" s="181">
        <f t="shared" si="6"/>
        <v>0</v>
      </c>
      <c r="J30" s="181">
        <f t="shared" si="7"/>
        <v>0</v>
      </c>
    </row>
    <row r="31" spans="1:10" ht="19.5" customHeight="1">
      <c r="A31" s="178">
        <f t="shared" si="0"/>
        <v>46201</v>
      </c>
      <c r="B31" s="185" t="s">
        <v>201</v>
      </c>
      <c r="C31" s="186" t="str">
        <f t="shared" si="8"/>
        <v/>
      </c>
      <c r="D31" s="186" t="str">
        <f t="shared" si="9"/>
        <v/>
      </c>
      <c r="E31" s="186"/>
      <c r="F31" s="181">
        <f t="shared" si="3"/>
        <v>0</v>
      </c>
      <c r="G31" s="186" t="str">
        <f t="shared" si="10"/>
        <v/>
      </c>
      <c r="H31" s="186" t="str">
        <f t="shared" si="11"/>
        <v/>
      </c>
      <c r="I31" s="181">
        <f t="shared" si="6"/>
        <v>0</v>
      </c>
      <c r="J31" s="181">
        <f t="shared" si="7"/>
        <v>0</v>
      </c>
    </row>
    <row r="32" spans="1:10" ht="19.5" customHeight="1">
      <c r="A32" s="178">
        <f t="shared" si="0"/>
        <v>46202</v>
      </c>
      <c r="B32" s="185" t="s">
        <v>201</v>
      </c>
      <c r="C32" s="186" t="str">
        <f t="shared" si="8"/>
        <v/>
      </c>
      <c r="D32" s="186" t="str">
        <f t="shared" si="9"/>
        <v/>
      </c>
      <c r="E32" s="186"/>
      <c r="F32" s="181">
        <f t="shared" si="3"/>
        <v>0</v>
      </c>
      <c r="G32" s="186" t="str">
        <f t="shared" si="10"/>
        <v/>
      </c>
      <c r="H32" s="186" t="str">
        <f t="shared" si="11"/>
        <v/>
      </c>
      <c r="I32" s="181">
        <f t="shared" si="6"/>
        <v>0</v>
      </c>
      <c r="J32" s="181">
        <f t="shared" si="7"/>
        <v>0</v>
      </c>
    </row>
    <row r="33" spans="1:10" ht="19.5" customHeight="1">
      <c r="A33" s="178">
        <f t="shared" si="0"/>
        <v>46203</v>
      </c>
      <c r="B33" s="185" t="s">
        <v>201</v>
      </c>
      <c r="C33" s="186" t="str">
        <f t="shared" si="8"/>
        <v/>
      </c>
      <c r="D33" s="186" t="str">
        <f t="shared" si="9"/>
        <v/>
      </c>
      <c r="E33" s="186"/>
      <c r="F33" s="181">
        <f t="shared" si="3"/>
        <v>0</v>
      </c>
      <c r="G33" s="186" t="str">
        <f t="shared" si="10"/>
        <v/>
      </c>
      <c r="H33" s="186" t="str">
        <f t="shared" si="11"/>
        <v/>
      </c>
      <c r="I33" s="181">
        <f t="shared" si="6"/>
        <v>0</v>
      </c>
      <c r="J33" s="181">
        <f t="shared" si="7"/>
        <v>0</v>
      </c>
    </row>
    <row r="34" spans="1:10" ht="19.5" customHeight="1">
      <c r="A34" s="178">
        <f t="shared" si="0"/>
        <v>46204</v>
      </c>
      <c r="G34" s="186" t="str">
        <f t="shared" si="10"/>
        <v/>
      </c>
      <c r="H34" s="186" t="str">
        <f t="shared" si="11"/>
        <v/>
      </c>
      <c r="I34" s="181">
        <f t="shared" si="6"/>
        <v>0</v>
      </c>
      <c r="J34" s="181">
        <f t="shared" si="7"/>
        <v>0</v>
      </c>
    </row>
    <row r="35" spans="1:10" ht="15" customHeight="1">
      <c r="C35" s="187">
        <f t="shared" ref="C35:J35" si="12">SUM(C4:C34)</f>
        <v>3621</v>
      </c>
      <c r="D35" s="187">
        <f t="shared" si="12"/>
        <v>37883</v>
      </c>
      <c r="E35" s="187">
        <f t="shared" si="12"/>
        <v>0</v>
      </c>
      <c r="F35" s="187">
        <f t="shared" si="12"/>
        <v>41504</v>
      </c>
      <c r="G35" s="187">
        <f t="shared" si="12"/>
        <v>6360</v>
      </c>
      <c r="H35" s="187">
        <f t="shared" si="12"/>
        <v>4363</v>
      </c>
      <c r="I35" s="187">
        <f t="shared" si="12"/>
        <v>10723</v>
      </c>
      <c r="J35" s="187">
        <f t="shared" si="12"/>
        <v>52227</v>
      </c>
    </row>
    <row r="37" spans="1:10" ht="7.5" customHeight="1">
      <c r="A37" s="188"/>
      <c r="B37" s="188"/>
      <c r="C37" s="188"/>
      <c r="D37" s="188"/>
      <c r="E37" s="188"/>
      <c r="F37" s="188"/>
      <c r="G37" s="188"/>
      <c r="H37" s="188"/>
      <c r="I37" s="188"/>
      <c r="J37" s="188"/>
    </row>
    <row r="38" spans="1:10" ht="25.5" customHeight="1">
      <c r="A38" s="2" t="s">
        <v>8928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ht="21.75" customHeight="1">
      <c r="A39" s="177" t="s">
        <v>205</v>
      </c>
      <c r="B39" s="177" t="s">
        <v>206</v>
      </c>
      <c r="C39" s="177" t="s">
        <v>8920</v>
      </c>
      <c r="D39" s="177" t="s">
        <v>8921</v>
      </c>
      <c r="E39" s="177" t="s">
        <v>8922</v>
      </c>
      <c r="F39" s="177" t="s">
        <v>8923</v>
      </c>
      <c r="G39" s="177" t="s">
        <v>8924</v>
      </c>
      <c r="H39" s="177" t="s">
        <v>8925</v>
      </c>
      <c r="I39" s="177" t="s">
        <v>8926</v>
      </c>
      <c r="J39" s="177" t="s">
        <v>8927</v>
      </c>
    </row>
    <row r="41" spans="1:10" ht="19.5" customHeight="1">
      <c r="A41" s="189">
        <v>46174</v>
      </c>
      <c r="B41" s="190" t="s">
        <v>201</v>
      </c>
      <c r="C41" s="191">
        <v>175</v>
      </c>
      <c r="D41" s="191">
        <v>4298</v>
      </c>
      <c r="E41" s="191"/>
      <c r="F41" s="192">
        <v>4473</v>
      </c>
      <c r="G41" s="191">
        <v>435</v>
      </c>
      <c r="H41" s="191">
        <v>170</v>
      </c>
      <c r="I41" s="192">
        <v>605</v>
      </c>
      <c r="J41" s="192">
        <v>5078</v>
      </c>
    </row>
    <row r="42" spans="1:10" ht="19.5" customHeight="1">
      <c r="A42" s="189">
        <v>46176</v>
      </c>
      <c r="B42" s="190" t="s">
        <v>201</v>
      </c>
      <c r="C42" s="191">
        <v>749</v>
      </c>
      <c r="D42" s="191">
        <v>10356</v>
      </c>
      <c r="E42" s="191"/>
      <c r="F42" s="192">
        <v>11105</v>
      </c>
      <c r="G42" s="191">
        <v>1895</v>
      </c>
      <c r="H42" s="191">
        <v>895</v>
      </c>
      <c r="I42" s="192">
        <v>2790</v>
      </c>
      <c r="J42" s="192">
        <v>13895</v>
      </c>
    </row>
    <row r="43" spans="1:10" ht="19.5" customHeight="1">
      <c r="A43" s="189">
        <v>46178</v>
      </c>
      <c r="B43" s="190" t="s">
        <v>201</v>
      </c>
      <c r="C43" s="191">
        <v>860</v>
      </c>
      <c r="D43" s="191">
        <v>5732</v>
      </c>
      <c r="E43" s="191"/>
      <c r="F43" s="192">
        <v>6592</v>
      </c>
      <c r="G43" s="191">
        <v>170</v>
      </c>
      <c r="H43" s="191">
        <v>1608</v>
      </c>
      <c r="I43" s="192">
        <v>1778</v>
      </c>
      <c r="J43" s="192">
        <v>8370</v>
      </c>
    </row>
    <row r="44" spans="1:10" ht="19.5" customHeight="1">
      <c r="A44" s="189">
        <v>46175</v>
      </c>
      <c r="B44" s="190" t="s">
        <v>1</v>
      </c>
      <c r="C44" s="191">
        <v>850</v>
      </c>
      <c r="D44" s="191">
        <v>3285</v>
      </c>
      <c r="E44" s="191"/>
      <c r="F44" s="192">
        <v>4135</v>
      </c>
      <c r="G44" s="191">
        <v>765</v>
      </c>
      <c r="H44" s="191">
        <v>548</v>
      </c>
      <c r="I44" s="192">
        <v>1313</v>
      </c>
      <c r="J44" s="192">
        <v>5448</v>
      </c>
    </row>
    <row r="45" spans="1:10" ht="19.5" customHeight="1">
      <c r="A45" s="189">
        <v>46176</v>
      </c>
      <c r="B45" s="190" t="s">
        <v>1</v>
      </c>
      <c r="C45" s="191"/>
      <c r="D45" s="191">
        <v>250</v>
      </c>
      <c r="E45" s="191"/>
      <c r="F45" s="192">
        <v>250</v>
      </c>
      <c r="G45" s="191">
        <v>2605</v>
      </c>
      <c r="H45" s="191"/>
      <c r="I45" s="192">
        <v>2605</v>
      </c>
      <c r="J45" s="192">
        <v>2855</v>
      </c>
    </row>
    <row r="46" spans="1:10" ht="19.5" customHeight="1">
      <c r="A46" s="189">
        <v>46177</v>
      </c>
      <c r="B46" s="190" t="s">
        <v>1</v>
      </c>
      <c r="C46" s="191">
        <v>1115</v>
      </c>
      <c r="D46" s="191">
        <v>2345</v>
      </c>
      <c r="E46" s="191"/>
      <c r="F46" s="192">
        <v>3460</v>
      </c>
      <c r="G46" s="191">
        <v>1920</v>
      </c>
      <c r="H46" s="191">
        <v>345</v>
      </c>
      <c r="I46" s="192">
        <v>2265</v>
      </c>
      <c r="J46" s="192">
        <v>5725</v>
      </c>
    </row>
    <row r="47" spans="1:10" ht="19.5" customHeight="1">
      <c r="A47" s="189">
        <v>46178</v>
      </c>
      <c r="B47" s="190" t="s">
        <v>1</v>
      </c>
      <c r="C47" s="191">
        <v>525</v>
      </c>
      <c r="D47" s="191">
        <v>3160</v>
      </c>
      <c r="E47" s="191"/>
      <c r="F47" s="192">
        <v>3685</v>
      </c>
      <c r="G47" s="191">
        <v>2927</v>
      </c>
      <c r="H47" s="191">
        <v>185</v>
      </c>
      <c r="I47" s="192">
        <v>3112</v>
      </c>
      <c r="J47" s="192">
        <v>6797</v>
      </c>
    </row>
    <row r="48" spans="1:10" ht="19.5" customHeight="1">
      <c r="A48" s="189">
        <v>46179</v>
      </c>
      <c r="B48" s="190" t="s">
        <v>1</v>
      </c>
      <c r="C48" s="191">
        <v>205</v>
      </c>
      <c r="D48" s="191">
        <v>205</v>
      </c>
      <c r="E48" s="191"/>
      <c r="F48" s="192">
        <v>410</v>
      </c>
      <c r="G48" s="191"/>
      <c r="H48" s="191"/>
      <c r="I48" s="192"/>
      <c r="J48" s="192" t="e">
        <f>#VALUE!</f>
        <v>#VALUE!</v>
      </c>
    </row>
    <row r="49" spans="1:10" ht="19.5" customHeight="1">
      <c r="A49" s="189">
        <v>46181</v>
      </c>
      <c r="B49" s="190" t="s">
        <v>1</v>
      </c>
      <c r="C49" s="191">
        <v>175</v>
      </c>
      <c r="D49" s="191">
        <v>3863</v>
      </c>
      <c r="E49" s="191"/>
      <c r="F49" s="192">
        <v>4038</v>
      </c>
      <c r="G49" s="191">
        <v>2305</v>
      </c>
      <c r="H49" s="191"/>
      <c r="I49" s="192">
        <v>2305</v>
      </c>
      <c r="J49" s="192">
        <v>6343</v>
      </c>
    </row>
    <row r="50" spans="1:10" ht="19.5" customHeight="1">
      <c r="A50" s="189">
        <v>46182</v>
      </c>
      <c r="B50" s="190" t="s">
        <v>1</v>
      </c>
      <c r="C50" s="191">
        <v>555</v>
      </c>
      <c r="D50" s="191">
        <v>2315</v>
      </c>
      <c r="E50" s="191"/>
      <c r="F50" s="192">
        <v>2870</v>
      </c>
      <c r="G50" s="191">
        <v>610</v>
      </c>
      <c r="H50" s="191"/>
      <c r="I50" s="192">
        <v>610</v>
      </c>
      <c r="J50" s="192">
        <v>3480</v>
      </c>
    </row>
    <row r="51" spans="1:10" ht="19.5" customHeight="1">
      <c r="A51" s="189">
        <v>46179</v>
      </c>
      <c r="B51" s="190" t="s">
        <v>201</v>
      </c>
      <c r="C51" s="191">
        <v>165</v>
      </c>
      <c r="D51" s="191">
        <v>9213</v>
      </c>
      <c r="E51" s="191"/>
      <c r="F51" s="192">
        <v>9378</v>
      </c>
      <c r="G51" s="191">
        <v>1535</v>
      </c>
      <c r="H51" s="191"/>
      <c r="I51" s="192">
        <v>1535</v>
      </c>
      <c r="J51" s="192">
        <v>10913</v>
      </c>
    </row>
    <row r="52" spans="1:10" ht="19.5" customHeight="1">
      <c r="A52" s="189">
        <v>46180</v>
      </c>
      <c r="B52" s="190" t="s">
        <v>201</v>
      </c>
      <c r="C52" s="191">
        <v>545</v>
      </c>
      <c r="D52" s="191">
        <v>9761</v>
      </c>
      <c r="E52" s="191"/>
      <c r="F52" s="192">
        <v>10306</v>
      </c>
      <c r="G52" s="191">
        <v>430</v>
      </c>
      <c r="H52" s="191">
        <v>936</v>
      </c>
      <c r="I52" s="192">
        <v>1366</v>
      </c>
      <c r="J52" s="192">
        <v>11672</v>
      </c>
    </row>
    <row r="53" spans="1:10" ht="19.5" customHeight="1">
      <c r="A53" s="189">
        <v>46181</v>
      </c>
      <c r="B53" s="190" t="s">
        <v>201</v>
      </c>
      <c r="C53" s="191">
        <v>304</v>
      </c>
      <c r="D53" s="191">
        <v>4359</v>
      </c>
      <c r="E53" s="191"/>
      <c r="F53" s="192">
        <v>4663</v>
      </c>
      <c r="G53" s="191">
        <v>1455</v>
      </c>
      <c r="H53" s="191">
        <v>1611</v>
      </c>
      <c r="I53" s="192">
        <v>3066</v>
      </c>
      <c r="J53" s="192">
        <v>7729</v>
      </c>
    </row>
    <row r="54" spans="1:10" ht="19.5" customHeight="1">
      <c r="A54" s="189">
        <v>46182</v>
      </c>
      <c r="B54" s="190" t="s">
        <v>201</v>
      </c>
      <c r="C54" s="191">
        <v>554</v>
      </c>
      <c r="D54" s="191">
        <v>3482</v>
      </c>
      <c r="E54" s="191"/>
      <c r="F54" s="192">
        <v>4036</v>
      </c>
      <c r="G54" s="191">
        <v>1345</v>
      </c>
      <c r="H54" s="191">
        <v>1661</v>
      </c>
      <c r="I54" s="192">
        <v>3006</v>
      </c>
      <c r="J54" s="192">
        <v>7042</v>
      </c>
    </row>
    <row r="55" spans="1:10" ht="19.5" customHeight="1">
      <c r="A55" s="189">
        <v>46183</v>
      </c>
      <c r="B55" s="190" t="s">
        <v>201</v>
      </c>
      <c r="C55" s="191">
        <v>349</v>
      </c>
      <c r="D55" s="191">
        <v>3202</v>
      </c>
      <c r="E55" s="191"/>
      <c r="F55" s="192">
        <v>3551</v>
      </c>
      <c r="G55" s="191">
        <v>890</v>
      </c>
      <c r="H55" s="191">
        <v>155</v>
      </c>
      <c r="I55" s="192">
        <v>1045</v>
      </c>
      <c r="J55" s="192">
        <v>4596</v>
      </c>
    </row>
    <row r="56" spans="1:10" ht="19.5" customHeight="1">
      <c r="A56" s="189">
        <v>46184</v>
      </c>
      <c r="B56" s="190" t="s">
        <v>201</v>
      </c>
      <c r="C56" s="191">
        <v>350</v>
      </c>
      <c r="D56" s="191">
        <v>2983</v>
      </c>
      <c r="E56" s="191"/>
      <c r="F56" s="192">
        <v>3333</v>
      </c>
      <c r="G56" s="191">
        <v>705</v>
      </c>
      <c r="H56" s="191"/>
      <c r="I56" s="192">
        <v>705</v>
      </c>
      <c r="J56" s="192">
        <v>4038</v>
      </c>
    </row>
    <row r="57" spans="1:10" ht="19.5" customHeight="1">
      <c r="A57" s="189">
        <v>46185</v>
      </c>
      <c r="B57" s="190" t="s">
        <v>201</v>
      </c>
      <c r="C57" s="191">
        <v>1354</v>
      </c>
      <c r="D57" s="191">
        <v>4883</v>
      </c>
      <c r="E57" s="191"/>
      <c r="F57" s="192">
        <v>6237</v>
      </c>
      <c r="G57" s="191"/>
      <c r="H57" s="191"/>
      <c r="I57" s="192"/>
      <c r="J57" s="192" t="e">
        <f>#VALUE!</f>
        <v>#VALUE!</v>
      </c>
    </row>
    <row r="58" spans="1:10" ht="19.5" customHeight="1">
      <c r="A58" s="189"/>
      <c r="B58" s="190"/>
      <c r="C58" s="191"/>
      <c r="D58" s="191"/>
      <c r="E58" s="191"/>
      <c r="F58" s="192"/>
      <c r="G58" s="191"/>
      <c r="H58" s="191"/>
      <c r="I58" s="192"/>
      <c r="J58" s="192" t="e">
        <f>#VALUE!</f>
        <v>#VALUE!</v>
      </c>
    </row>
    <row r="59" spans="1:10" ht="19.5" customHeight="1">
      <c r="A59" s="189"/>
      <c r="B59" s="190"/>
      <c r="C59" s="191"/>
      <c r="D59" s="191"/>
      <c r="E59" s="191"/>
      <c r="F59" s="192"/>
      <c r="G59" s="191"/>
      <c r="H59" s="191"/>
      <c r="I59" s="192"/>
      <c r="J59" s="192" t="e">
        <f>#VALUE!</f>
        <v>#VALUE!</v>
      </c>
    </row>
    <row r="60" spans="1:10" ht="19.5" customHeight="1">
      <c r="A60" s="189"/>
      <c r="B60" s="190"/>
      <c r="C60" s="191"/>
      <c r="D60" s="191"/>
      <c r="E60" s="191"/>
      <c r="F60" s="192"/>
      <c r="G60" s="191"/>
      <c r="H60" s="191"/>
      <c r="I60" s="192"/>
      <c r="J60" s="192" t="e">
        <f>#VALUE!</f>
        <v>#VALUE!</v>
      </c>
    </row>
    <row r="61" spans="1:10" ht="19.5" customHeight="1">
      <c r="A61" s="189"/>
      <c r="B61" s="190"/>
      <c r="C61" s="191"/>
      <c r="D61" s="191"/>
      <c r="E61" s="191"/>
      <c r="F61" s="192"/>
      <c r="G61" s="191"/>
      <c r="H61" s="191"/>
      <c r="I61" s="192"/>
      <c r="J61" s="192" t="e">
        <f>#VALUE!</f>
        <v>#VALUE!</v>
      </c>
    </row>
    <row r="62" spans="1:10" ht="19.5" customHeight="1">
      <c r="A62" s="189"/>
      <c r="B62" s="190"/>
      <c r="C62" s="191"/>
      <c r="D62" s="191"/>
      <c r="E62" s="191"/>
      <c r="F62" s="192"/>
      <c r="G62" s="191"/>
      <c r="H62" s="191"/>
      <c r="I62" s="192"/>
      <c r="J62" s="192" t="e">
        <f>#VALUE!</f>
        <v>#VALUE!</v>
      </c>
    </row>
    <row r="63" spans="1:10" ht="19.5" customHeight="1">
      <c r="A63" s="189"/>
      <c r="B63" s="190"/>
      <c r="C63" s="191"/>
      <c r="D63" s="191"/>
      <c r="E63" s="191"/>
      <c r="F63" s="192"/>
      <c r="G63" s="191"/>
      <c r="H63" s="191"/>
      <c r="I63" s="192"/>
      <c r="J63" s="192" t="e">
        <f>#VALUE!</f>
        <v>#VALUE!</v>
      </c>
    </row>
    <row r="64" spans="1:10" ht="19.5" customHeight="1">
      <c r="A64" s="189"/>
      <c r="B64" s="190"/>
      <c r="C64" s="191"/>
      <c r="D64" s="191"/>
      <c r="E64" s="191"/>
      <c r="F64" s="192"/>
      <c r="G64" s="191"/>
      <c r="H64" s="191"/>
      <c r="I64" s="192"/>
      <c r="J64" s="192" t="e">
        <f>#VALUE!</f>
        <v>#VALUE!</v>
      </c>
    </row>
    <row r="65" spans="1:10" ht="19.5" customHeight="1">
      <c r="A65" s="189"/>
      <c r="B65" s="190"/>
      <c r="C65" s="191"/>
      <c r="D65" s="191"/>
      <c r="E65" s="191"/>
      <c r="F65" s="192"/>
      <c r="G65" s="191"/>
      <c r="H65" s="191"/>
      <c r="I65" s="192"/>
      <c r="J65" s="192" t="e">
        <f>#VALUE!</f>
        <v>#VALUE!</v>
      </c>
    </row>
    <row r="66" spans="1:10" ht="19.5" customHeight="1">
      <c r="A66" s="189"/>
      <c r="B66" s="190"/>
      <c r="C66" s="191"/>
      <c r="D66" s="191"/>
      <c r="E66" s="191"/>
      <c r="F66" s="192"/>
      <c r="G66" s="191"/>
      <c r="H66" s="191"/>
      <c r="I66" s="192"/>
      <c r="J66" s="192" t="e">
        <f>#VALUE!</f>
        <v>#VALUE!</v>
      </c>
    </row>
    <row r="67" spans="1:10" ht="19.5" customHeight="1">
      <c r="A67" s="189"/>
      <c r="B67" s="190"/>
      <c r="C67" s="191"/>
      <c r="D67" s="191"/>
      <c r="E67" s="191"/>
      <c r="F67" s="192"/>
      <c r="G67" s="191"/>
      <c r="H67" s="191"/>
      <c r="I67" s="192"/>
      <c r="J67" s="192" t="e">
        <f>#VALUE!</f>
        <v>#VALUE!</v>
      </c>
    </row>
    <row r="68" spans="1:10" ht="19.5" customHeight="1">
      <c r="A68" s="189"/>
      <c r="B68" s="190"/>
      <c r="C68" s="191"/>
      <c r="D68" s="191"/>
      <c r="E68" s="191"/>
      <c r="F68" s="192"/>
      <c r="G68" s="191"/>
      <c r="H68" s="191"/>
      <c r="I68" s="192"/>
      <c r="J68" s="192" t="e">
        <f>#VALUE!</f>
        <v>#VALUE!</v>
      </c>
    </row>
    <row r="69" spans="1:10" ht="19.5" customHeight="1">
      <c r="A69" s="189"/>
      <c r="B69" s="190"/>
      <c r="C69" s="191"/>
      <c r="D69" s="191"/>
      <c r="E69" s="191"/>
      <c r="F69" s="192"/>
      <c r="G69" s="191"/>
      <c r="H69" s="191"/>
      <c r="I69" s="192"/>
      <c r="J69" s="192" t="e">
        <f>#VALUE!</f>
        <v>#VALUE!</v>
      </c>
    </row>
    <row r="70" spans="1:10" ht="19.5" customHeight="1">
      <c r="A70" s="189"/>
      <c r="B70" s="190"/>
      <c r="C70" s="191"/>
      <c r="D70" s="191"/>
      <c r="E70" s="191"/>
      <c r="F70" s="192"/>
      <c r="G70" s="191"/>
      <c r="H70" s="191"/>
      <c r="I70" s="192"/>
      <c r="J70" s="192" t="e">
        <f>#VALUE!</f>
        <v>#VALUE!</v>
      </c>
    </row>
    <row r="71" spans="1:10" ht="19.5" customHeight="1">
      <c r="A71" s="189"/>
      <c r="B71" s="190"/>
      <c r="C71" s="191"/>
      <c r="D71" s="191"/>
      <c r="E71" s="191"/>
      <c r="F71" s="192"/>
      <c r="G71" s="191"/>
      <c r="H71" s="191"/>
      <c r="I71" s="192"/>
      <c r="J71" s="192" t="e">
        <f>#VALUE!</f>
        <v>#VALUE!</v>
      </c>
    </row>
    <row r="72" spans="1:10" ht="19.5" customHeight="1">
      <c r="A72" s="189"/>
      <c r="B72" s="190"/>
      <c r="C72" s="191"/>
      <c r="D72" s="191"/>
      <c r="E72" s="191"/>
      <c r="F72" s="192"/>
      <c r="G72" s="191"/>
      <c r="H72" s="191"/>
      <c r="I72" s="192"/>
      <c r="J72" s="192" t="e">
        <f>#VALUE!</f>
        <v>#VALUE!</v>
      </c>
    </row>
    <row r="73" spans="1:10" ht="19.5" customHeight="1">
      <c r="A73" s="189"/>
      <c r="B73" s="190"/>
      <c r="C73" s="191"/>
      <c r="D73" s="191"/>
      <c r="E73" s="191"/>
      <c r="F73" s="192"/>
      <c r="G73" s="191"/>
      <c r="H73" s="191"/>
      <c r="I73" s="192"/>
      <c r="J73" s="192" t="e">
        <f>#VALUE!</f>
        <v>#VALUE!</v>
      </c>
    </row>
    <row r="74" spans="1:10" ht="19.5" customHeight="1">
      <c r="A74" s="189"/>
      <c r="B74" s="190"/>
      <c r="C74" s="191"/>
      <c r="D74" s="191"/>
      <c r="E74" s="191"/>
      <c r="F74" s="192"/>
      <c r="G74" s="191"/>
      <c r="H74" s="191"/>
      <c r="I74" s="192"/>
      <c r="J74" s="192" t="e">
        <f>#VALUE!</f>
        <v>#VALUE!</v>
      </c>
    </row>
    <row r="75" spans="1:10" ht="19.5" customHeight="1">
      <c r="A75" s="189"/>
      <c r="B75" s="190"/>
      <c r="C75" s="191"/>
      <c r="D75" s="191"/>
      <c r="E75" s="191"/>
      <c r="F75" s="192"/>
      <c r="G75" s="191"/>
      <c r="H75" s="191"/>
      <c r="I75" s="192"/>
      <c r="J75" s="192" t="e">
        <f>#VALUE!</f>
        <v>#VALUE!</v>
      </c>
    </row>
    <row r="76" spans="1:10" ht="19.5" customHeight="1">
      <c r="A76" s="189"/>
      <c r="B76" s="190"/>
      <c r="C76" s="191"/>
      <c r="D76" s="191"/>
      <c r="E76" s="191"/>
      <c r="F76" s="192"/>
      <c r="G76" s="191"/>
      <c r="H76" s="191"/>
      <c r="I76" s="192"/>
      <c r="J76" s="192" t="e">
        <f>#VALUE!</f>
        <v>#VALUE!</v>
      </c>
    </row>
    <row r="77" spans="1:10" ht="19.5" customHeight="1">
      <c r="A77" s="189"/>
      <c r="B77" s="190"/>
      <c r="C77" s="191"/>
      <c r="D77" s="191"/>
      <c r="E77" s="191"/>
      <c r="F77" s="192"/>
      <c r="G77" s="191"/>
      <c r="H77" s="191"/>
      <c r="I77" s="192"/>
      <c r="J77" s="192" t="e">
        <f>#VALUE!</f>
        <v>#VALUE!</v>
      </c>
    </row>
    <row r="78" spans="1:10" ht="19.5" customHeight="1">
      <c r="A78" s="189"/>
      <c r="B78" s="190"/>
      <c r="C78" s="191"/>
      <c r="D78" s="191"/>
      <c r="E78" s="191"/>
      <c r="F78" s="192"/>
      <c r="G78" s="191"/>
      <c r="H78" s="191"/>
      <c r="I78" s="192"/>
      <c r="J78" s="192" t="e">
        <f>#VALUE!</f>
        <v>#VALUE!</v>
      </c>
    </row>
    <row r="79" spans="1:10" ht="19.5" customHeight="1">
      <c r="A79" s="189"/>
      <c r="B79" s="190"/>
      <c r="C79" s="191"/>
      <c r="D79" s="191"/>
      <c r="E79" s="191"/>
      <c r="F79" s="192"/>
      <c r="G79" s="191"/>
      <c r="H79" s="191"/>
      <c r="I79" s="192"/>
      <c r="J79" s="192" t="e">
        <f>#VALUE!</f>
        <v>#VALUE!</v>
      </c>
    </row>
    <row r="80" spans="1:10" ht="19.5" customHeight="1">
      <c r="A80" s="189"/>
      <c r="B80" s="190"/>
      <c r="C80" s="191"/>
      <c r="D80" s="191"/>
      <c r="E80" s="191"/>
      <c r="F80" s="192"/>
      <c r="G80" s="191"/>
      <c r="H80" s="191"/>
      <c r="I80" s="192"/>
      <c r="J80" s="192" t="e">
        <f>#VALUE!</f>
        <v>#VALUE!</v>
      </c>
    </row>
    <row r="81" spans="1:10" ht="19.5" customHeight="1">
      <c r="A81" s="189"/>
      <c r="B81" s="190"/>
      <c r="C81" s="191"/>
      <c r="D81" s="191"/>
      <c r="E81" s="191"/>
      <c r="F81" s="192"/>
      <c r="G81" s="191"/>
      <c r="H81" s="191"/>
      <c r="I81" s="192"/>
      <c r="J81" s="192" t="e">
        <f>#VALUE!</f>
        <v>#VALUE!</v>
      </c>
    </row>
    <row r="82" spans="1:10" ht="19.5" customHeight="1">
      <c r="A82" s="189"/>
      <c r="B82" s="190"/>
      <c r="C82" s="191"/>
      <c r="D82" s="191"/>
      <c r="E82" s="191"/>
      <c r="F82" s="192"/>
      <c r="G82" s="191"/>
      <c r="H82" s="191"/>
      <c r="I82" s="192"/>
      <c r="J82" s="192" t="e">
        <f>#VALUE!</f>
        <v>#VALUE!</v>
      </c>
    </row>
    <row r="83" spans="1:10" ht="19.5" customHeight="1">
      <c r="A83" s="189"/>
      <c r="B83" s="190"/>
      <c r="C83" s="191"/>
      <c r="D83" s="191"/>
      <c r="E83" s="191"/>
      <c r="F83" s="192"/>
      <c r="G83" s="191"/>
      <c r="H83" s="191"/>
      <c r="I83" s="192"/>
      <c r="J83" s="192" t="e">
        <f>#VALUE!</f>
        <v>#VALUE!</v>
      </c>
    </row>
    <row r="84" spans="1:10" ht="19.5" customHeight="1">
      <c r="A84" s="189"/>
      <c r="B84" s="190"/>
      <c r="C84" s="191"/>
      <c r="D84" s="191"/>
      <c r="E84" s="191"/>
      <c r="F84" s="192"/>
      <c r="G84" s="191"/>
      <c r="H84" s="191"/>
      <c r="I84" s="192"/>
      <c r="J84" s="192" t="e">
        <f>#VALUE!</f>
        <v>#VALUE!</v>
      </c>
    </row>
    <row r="85" spans="1:10" ht="19.5" customHeight="1">
      <c r="A85" s="189"/>
      <c r="B85" s="190"/>
      <c r="C85" s="191"/>
      <c r="D85" s="191"/>
      <c r="E85" s="191"/>
      <c r="F85" s="192"/>
      <c r="G85" s="191"/>
      <c r="H85" s="191"/>
      <c r="I85" s="192"/>
      <c r="J85" s="192" t="e">
        <f>#VALUE!</f>
        <v>#VALUE!</v>
      </c>
    </row>
    <row r="86" spans="1:10" ht="19.5" customHeight="1">
      <c r="A86" s="189"/>
      <c r="B86" s="190"/>
      <c r="C86" s="191"/>
      <c r="D86" s="191"/>
      <c r="E86" s="191"/>
      <c r="F86" s="192"/>
      <c r="G86" s="191"/>
      <c r="H86" s="191"/>
      <c r="I86" s="192"/>
      <c r="J86" s="192" t="e">
        <f>#VALUE!</f>
        <v>#VALUE!</v>
      </c>
    </row>
    <row r="87" spans="1:10" ht="19.5" customHeight="1">
      <c r="A87" s="189"/>
      <c r="B87" s="190"/>
      <c r="C87" s="191"/>
      <c r="D87" s="191"/>
      <c r="E87" s="191"/>
      <c r="F87" s="192"/>
      <c r="G87" s="191"/>
      <c r="H87" s="191"/>
      <c r="I87" s="192"/>
      <c r="J87" s="192" t="e">
        <f>#VALUE!</f>
        <v>#VALUE!</v>
      </c>
    </row>
    <row r="88" spans="1:10" ht="19.5" customHeight="1">
      <c r="A88" s="189"/>
      <c r="B88" s="190"/>
      <c r="C88" s="191"/>
      <c r="D88" s="191"/>
      <c r="E88" s="191"/>
      <c r="F88" s="192"/>
      <c r="G88" s="191"/>
      <c r="H88" s="191"/>
      <c r="I88" s="192"/>
      <c r="J88" s="192" t="e">
        <f>#VALUE!</f>
        <v>#VALUE!</v>
      </c>
    </row>
    <row r="89" spans="1:10" ht="19.5" customHeight="1">
      <c r="A89" s="189"/>
      <c r="B89" s="190"/>
      <c r="C89" s="191"/>
      <c r="D89" s="191"/>
      <c r="E89" s="191"/>
      <c r="F89" s="192"/>
      <c r="G89" s="191"/>
      <c r="H89" s="191"/>
      <c r="I89" s="192"/>
      <c r="J89" s="192" t="e">
        <f>#VALUE!</f>
        <v>#VALUE!</v>
      </c>
    </row>
    <row r="90" spans="1:10" ht="19.5" customHeight="1">
      <c r="A90" s="189"/>
      <c r="B90" s="190"/>
      <c r="C90" s="191"/>
      <c r="D90" s="191"/>
      <c r="E90" s="191"/>
      <c r="F90" s="192"/>
      <c r="G90" s="191"/>
      <c r="H90" s="191"/>
      <c r="I90" s="192"/>
      <c r="J90" s="192" t="e">
        <f>#VALUE!</f>
        <v>#VALUE!</v>
      </c>
    </row>
    <row r="91" spans="1:10" ht="19.5" customHeight="1">
      <c r="A91" s="189"/>
      <c r="B91" s="190"/>
      <c r="C91" s="191"/>
      <c r="D91" s="191"/>
      <c r="E91" s="191"/>
      <c r="F91" s="192"/>
      <c r="G91" s="191"/>
      <c r="H91" s="191"/>
      <c r="I91" s="192"/>
      <c r="J91" s="192" t="e">
        <f>#VALUE!</f>
        <v>#VALUE!</v>
      </c>
    </row>
    <row r="92" spans="1:10" ht="19.5" customHeight="1">
      <c r="A92" s="189"/>
      <c r="B92" s="190"/>
      <c r="C92" s="191"/>
      <c r="D92" s="191"/>
      <c r="E92" s="191"/>
      <c r="F92" s="192"/>
      <c r="G92" s="191"/>
      <c r="H92" s="191"/>
      <c r="I92" s="192"/>
      <c r="J92" s="192" t="e">
        <f>#VALUE!</f>
        <v>#VALUE!</v>
      </c>
    </row>
    <row r="93" spans="1:10" ht="19.5" customHeight="1">
      <c r="A93" s="189"/>
      <c r="B93" s="190"/>
      <c r="C93" s="191"/>
      <c r="D93" s="191"/>
      <c r="E93" s="191"/>
      <c r="F93" s="192"/>
      <c r="G93" s="191"/>
      <c r="H93" s="191"/>
      <c r="I93" s="192"/>
      <c r="J93" s="192" t="e">
        <f>#VALUE!</f>
        <v>#VALUE!</v>
      </c>
    </row>
    <row r="94" spans="1:10" ht="19.5" customHeight="1">
      <c r="A94" s="189"/>
      <c r="B94" s="190"/>
      <c r="C94" s="191"/>
      <c r="D94" s="191"/>
      <c r="E94" s="191"/>
      <c r="F94" s="192"/>
      <c r="G94" s="191"/>
      <c r="H94" s="191"/>
      <c r="I94" s="192"/>
      <c r="J94" s="192" t="e">
        <f>#VALUE!</f>
        <v>#VALUE!</v>
      </c>
    </row>
    <row r="95" spans="1:10" ht="19.5" customHeight="1">
      <c r="A95" s="189"/>
      <c r="B95" s="190"/>
      <c r="C95" s="191"/>
      <c r="D95" s="191"/>
      <c r="E95" s="191"/>
      <c r="F95" s="192"/>
      <c r="G95" s="191"/>
      <c r="H95" s="191"/>
      <c r="I95" s="192"/>
      <c r="J95" s="192" t="e">
        <f>#VALUE!</f>
        <v>#VALUE!</v>
      </c>
    </row>
    <row r="96" spans="1:10" ht="19.5" customHeight="1">
      <c r="A96" s="189"/>
      <c r="B96" s="190"/>
      <c r="C96" s="191"/>
      <c r="D96" s="191"/>
      <c r="E96" s="191"/>
      <c r="F96" s="192"/>
      <c r="G96" s="191"/>
      <c r="H96" s="191"/>
      <c r="I96" s="192"/>
      <c r="J96" s="192" t="e">
        <f>#VALUE!</f>
        <v>#VALUE!</v>
      </c>
    </row>
    <row r="97" spans="1:10" ht="19.5" customHeight="1">
      <c r="A97" s="189"/>
      <c r="B97" s="190"/>
      <c r="C97" s="191"/>
      <c r="D97" s="191"/>
      <c r="E97" s="191"/>
      <c r="F97" s="192"/>
      <c r="G97" s="191"/>
      <c r="H97" s="191"/>
      <c r="I97" s="192"/>
      <c r="J97" s="192" t="e">
        <f>#VALUE!</f>
        <v>#VALUE!</v>
      </c>
    </row>
    <row r="98" spans="1:10" ht="19.5" customHeight="1">
      <c r="A98" s="189"/>
      <c r="B98" s="190"/>
      <c r="C98" s="191"/>
      <c r="D98" s="191"/>
      <c r="E98" s="191"/>
      <c r="F98" s="192"/>
      <c r="G98" s="191"/>
      <c r="H98" s="191"/>
      <c r="I98" s="192"/>
      <c r="J98" s="192" t="e">
        <f>#VALUE!</f>
        <v>#VALUE!</v>
      </c>
    </row>
    <row r="99" spans="1:10" ht="19.5" customHeight="1">
      <c r="A99" s="189"/>
      <c r="B99" s="190"/>
      <c r="C99" s="191"/>
      <c r="D99" s="191"/>
      <c r="E99" s="191"/>
      <c r="F99" s="192"/>
      <c r="G99" s="191"/>
      <c r="H99" s="191"/>
      <c r="I99" s="192"/>
      <c r="J99" s="192" t="e">
        <f>#VALUE!</f>
        <v>#VALUE!</v>
      </c>
    </row>
    <row r="100" spans="1:10" ht="19.5" customHeight="1">
      <c r="A100" s="189"/>
      <c r="B100" s="190"/>
      <c r="C100" s="191"/>
      <c r="D100" s="191"/>
      <c r="E100" s="191"/>
      <c r="F100" s="192"/>
      <c r="G100" s="191"/>
      <c r="H100" s="191"/>
      <c r="I100" s="192"/>
      <c r="J100" s="192" t="e">
        <f>#VALUE!</f>
        <v>#VALUE!</v>
      </c>
    </row>
  </sheetData>
  <mergeCells count="2">
    <mergeCell ref="A1:D1"/>
    <mergeCell ref="A38:J38"/>
  </mergeCells>
  <dataValidations count="5">
    <dataValidation type="list" allowBlank="1" sqref="B2:B29" xr:uid="{00000000-0002-0000-0200-000000000000}">
      <formula1>"SND,NVP,KCN,NCD"</formula1>
      <formula2>0</formula2>
    </dataValidation>
    <dataValidation type="date" showInputMessage="1" promptTitle="วันที่" prompt="กรอกวันที่ในรูปแบบ DD/MM/YYYY" sqref="F1" xr:uid="{00000000-0002-0000-0200-000001000000}">
      <formula1>0</formula1>
      <formula2>0</formula2>
    </dataValidation>
    <dataValidation type="list" showInputMessage="1" promptTitle="สาขา" prompt="เลือกสาขา: SND, NVP, KCN, NCD" sqref="I1" xr:uid="{00000000-0002-0000-0200-000002000000}">
      <formula1>"SND,NVP,KCN,NCD"</formula1>
      <formula2>0</formula2>
    </dataValidation>
    <dataValidation type="list" sqref="B41:B500" xr:uid="{00000000-0002-0000-0200-000003000000}">
      <formula1>"SND,NVP,KCN,NCD"</formula1>
      <formula2>0</formula2>
    </dataValidation>
    <dataValidation type="date" allowBlank="1" sqref="A41:A500" xr:uid="{00000000-0002-0000-0200-000004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03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/>
    </sheetView>
  </sheetViews>
  <sheetFormatPr baseColWidth="10" defaultColWidth="8.83203125" defaultRowHeight="15"/>
  <cols>
    <col min="1" max="1" width="12" customWidth="1"/>
    <col min="2" max="2" width="14" customWidth="1"/>
    <col min="3" max="3" width="7" customWidth="1"/>
    <col min="4" max="4" width="22" customWidth="1"/>
    <col min="5" max="5" width="34" customWidth="1"/>
    <col min="6" max="6" width="14" customWidth="1"/>
    <col min="7" max="13" width="12" customWidth="1"/>
    <col min="14" max="14" width="10" customWidth="1"/>
    <col min="15" max="15" width="20" customWidth="1"/>
    <col min="16" max="17" width="12" customWidth="1"/>
    <col min="18" max="18" width="14" customWidth="1"/>
  </cols>
  <sheetData>
    <row r="1" spans="1:18" ht="27.75" customHeight="1">
      <c r="A1" s="6" t="s">
        <v>8929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8" customHeight="1">
      <c r="A2" s="1" t="s">
        <v>8930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6" customHeight="1">
      <c r="A3" s="12" t="s">
        <v>205</v>
      </c>
      <c r="B3" s="12" t="s">
        <v>206</v>
      </c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14</v>
      </c>
      <c r="M3" s="12" t="s">
        <v>15</v>
      </c>
      <c r="N3" s="12" t="s">
        <v>16</v>
      </c>
      <c r="O3" s="12" t="s">
        <v>17</v>
      </c>
      <c r="P3" s="12" t="s">
        <v>8931</v>
      </c>
      <c r="Q3" s="12" t="s">
        <v>8932</v>
      </c>
      <c r="R3" s="12" t="s">
        <v>20</v>
      </c>
    </row>
    <row r="4" spans="1:18" ht="18" customHeight="1">
      <c r="A4" s="193"/>
      <c r="B4" s="23"/>
      <c r="C4" s="23"/>
      <c r="D4" s="23"/>
      <c r="E4" s="23"/>
      <c r="F4" s="23"/>
      <c r="G4" s="19"/>
      <c r="H4" s="19"/>
      <c r="I4" s="19"/>
      <c r="J4" s="19"/>
      <c r="K4" s="19"/>
      <c r="L4" s="19"/>
      <c r="M4" s="19"/>
      <c r="N4" s="19"/>
      <c r="O4" s="19"/>
      <c r="P4" s="23"/>
      <c r="Q4" s="23"/>
      <c r="R4" s="23"/>
    </row>
    <row r="5" spans="1:18" ht="18" customHeight="1">
      <c r="A5" s="194"/>
      <c r="B5" s="195"/>
      <c r="C5" s="195"/>
      <c r="D5" s="195"/>
      <c r="E5" s="195"/>
      <c r="F5" s="195"/>
      <c r="G5" s="196"/>
      <c r="H5" s="196"/>
      <c r="I5" s="196"/>
      <c r="J5" s="196"/>
      <c r="K5" s="196"/>
      <c r="L5" s="196"/>
      <c r="M5" s="196"/>
      <c r="N5" s="196"/>
      <c r="O5" s="196"/>
      <c r="P5" s="195"/>
      <c r="Q5" s="195"/>
      <c r="R5" s="195"/>
    </row>
    <row r="6" spans="1:18" ht="18" customHeight="1">
      <c r="A6" s="193"/>
      <c r="B6" s="23"/>
      <c r="C6" s="23"/>
      <c r="D6" s="23"/>
      <c r="E6" s="23"/>
      <c r="F6" s="23"/>
      <c r="G6" s="19"/>
      <c r="H6" s="19"/>
      <c r="I6" s="19"/>
      <c r="J6" s="19"/>
      <c r="K6" s="19"/>
      <c r="L6" s="19"/>
      <c r="M6" s="19"/>
      <c r="N6" s="19"/>
      <c r="O6" s="19"/>
      <c r="P6" s="23"/>
      <c r="Q6" s="23"/>
      <c r="R6" s="23"/>
    </row>
    <row r="7" spans="1:18" ht="18" customHeight="1">
      <c r="A7" s="194"/>
      <c r="B7" s="195"/>
      <c r="C7" s="195"/>
      <c r="D7" s="195"/>
      <c r="E7" s="195"/>
      <c r="F7" s="195"/>
      <c r="G7" s="196"/>
      <c r="H7" s="196"/>
      <c r="I7" s="196"/>
      <c r="J7" s="196"/>
      <c r="K7" s="196"/>
      <c r="L7" s="196"/>
      <c r="M7" s="196"/>
      <c r="N7" s="196"/>
      <c r="O7" s="196"/>
      <c r="P7" s="195"/>
      <c r="Q7" s="195"/>
      <c r="R7" s="195"/>
    </row>
    <row r="8" spans="1:18" ht="18" customHeight="1">
      <c r="A8" s="193"/>
      <c r="B8" s="23"/>
      <c r="C8" s="23"/>
      <c r="D8" s="23"/>
      <c r="E8" s="23"/>
      <c r="F8" s="23"/>
      <c r="G8" s="19"/>
      <c r="H8" s="19"/>
      <c r="I8" s="19"/>
      <c r="J8" s="19"/>
      <c r="K8" s="19"/>
      <c r="L8" s="19"/>
      <c r="M8" s="19"/>
      <c r="N8" s="19"/>
      <c r="O8" s="19"/>
      <c r="P8" s="23"/>
      <c r="Q8" s="23"/>
      <c r="R8" s="23"/>
    </row>
    <row r="9" spans="1:18" ht="18" customHeight="1">
      <c r="A9" s="194"/>
      <c r="B9" s="195"/>
      <c r="C9" s="195"/>
      <c r="D9" s="195"/>
      <c r="E9" s="195"/>
      <c r="F9" s="195"/>
      <c r="G9" s="196"/>
      <c r="H9" s="196"/>
      <c r="I9" s="196"/>
      <c r="J9" s="196"/>
      <c r="K9" s="196"/>
      <c r="L9" s="196"/>
      <c r="M9" s="196"/>
      <c r="N9" s="196"/>
      <c r="O9" s="196"/>
      <c r="P9" s="195"/>
      <c r="Q9" s="195"/>
      <c r="R9" s="195"/>
    </row>
    <row r="10" spans="1:18" ht="18" customHeight="1">
      <c r="A10" s="193"/>
      <c r="B10" s="23"/>
      <c r="C10" s="23"/>
      <c r="D10" s="23"/>
      <c r="E10" s="23"/>
      <c r="F10" s="23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3"/>
      <c r="R10" s="23"/>
    </row>
    <row r="11" spans="1:18" ht="18" customHeight="1">
      <c r="A11" s="194"/>
      <c r="B11" s="195"/>
      <c r="C11" s="195"/>
      <c r="D11" s="195"/>
      <c r="E11" s="195"/>
      <c r="F11" s="195"/>
      <c r="G11" s="196"/>
      <c r="H11" s="196"/>
      <c r="I11" s="196"/>
      <c r="J11" s="196"/>
      <c r="K11" s="196"/>
      <c r="L11" s="196"/>
      <c r="M11" s="196"/>
      <c r="N11" s="196"/>
      <c r="O11" s="196"/>
      <c r="P11" s="195"/>
      <c r="Q11" s="195"/>
      <c r="R11" s="195"/>
    </row>
    <row r="12" spans="1:18" ht="18" customHeight="1">
      <c r="A12" s="193"/>
      <c r="B12" s="23"/>
      <c r="C12" s="23"/>
      <c r="D12" s="23"/>
      <c r="E12" s="23"/>
      <c r="F12" s="23"/>
      <c r="G12" s="19"/>
      <c r="H12" s="19"/>
      <c r="I12" s="19"/>
      <c r="J12" s="19"/>
      <c r="K12" s="19"/>
      <c r="L12" s="19"/>
      <c r="M12" s="19"/>
      <c r="N12" s="19"/>
      <c r="O12" s="19"/>
      <c r="P12" s="23"/>
      <c r="Q12" s="23"/>
      <c r="R12" s="23"/>
    </row>
    <row r="13" spans="1:18" ht="18" customHeight="1">
      <c r="A13" s="194"/>
      <c r="B13" s="195"/>
      <c r="C13" s="195"/>
      <c r="D13" s="195"/>
      <c r="E13" s="195"/>
      <c r="F13" s="195"/>
      <c r="G13" s="196"/>
      <c r="H13" s="196"/>
      <c r="I13" s="196"/>
      <c r="J13" s="196"/>
      <c r="K13" s="196"/>
      <c r="L13" s="196"/>
      <c r="M13" s="196"/>
      <c r="N13" s="196"/>
      <c r="O13" s="196"/>
      <c r="P13" s="195"/>
      <c r="Q13" s="195"/>
      <c r="R13" s="195"/>
    </row>
    <row r="14" spans="1:18" ht="18" customHeight="1">
      <c r="A14" s="193"/>
      <c r="B14" s="23"/>
      <c r="C14" s="23"/>
      <c r="D14" s="23"/>
      <c r="E14" s="23"/>
      <c r="F14" s="23"/>
      <c r="G14" s="19"/>
      <c r="H14" s="19"/>
      <c r="I14" s="19"/>
      <c r="J14" s="19"/>
      <c r="K14" s="19"/>
      <c r="L14" s="19"/>
      <c r="M14" s="19"/>
      <c r="N14" s="19"/>
      <c r="O14" s="19"/>
      <c r="P14" s="23"/>
      <c r="Q14" s="23"/>
      <c r="R14" s="23"/>
    </row>
    <row r="15" spans="1:18" ht="18" customHeight="1">
      <c r="A15" s="194"/>
      <c r="B15" s="195"/>
      <c r="C15" s="195"/>
      <c r="D15" s="195"/>
      <c r="E15" s="195"/>
      <c r="F15" s="195"/>
      <c r="G15" s="196"/>
      <c r="H15" s="196"/>
      <c r="I15" s="196"/>
      <c r="J15" s="196"/>
      <c r="K15" s="196"/>
      <c r="L15" s="196"/>
      <c r="M15" s="196"/>
      <c r="N15" s="196"/>
      <c r="O15" s="196"/>
      <c r="P15" s="195"/>
      <c r="Q15" s="195"/>
      <c r="R15" s="195"/>
    </row>
    <row r="16" spans="1:18" ht="18" customHeight="1">
      <c r="A16" s="193"/>
      <c r="B16" s="23"/>
      <c r="C16" s="23"/>
      <c r="D16" s="23"/>
      <c r="E16" s="23"/>
      <c r="F16" s="23"/>
      <c r="G16" s="19"/>
      <c r="H16" s="19"/>
      <c r="I16" s="19"/>
      <c r="J16" s="19"/>
      <c r="K16" s="19"/>
      <c r="L16" s="19"/>
      <c r="M16" s="19"/>
      <c r="N16" s="19"/>
      <c r="O16" s="19"/>
      <c r="P16" s="23"/>
      <c r="Q16" s="23"/>
      <c r="R16" s="23"/>
    </row>
    <row r="17" spans="1:18" ht="18" customHeight="1">
      <c r="A17" s="194"/>
      <c r="B17" s="195"/>
      <c r="C17" s="195"/>
      <c r="D17" s="195"/>
      <c r="E17" s="195"/>
      <c r="F17" s="195"/>
      <c r="G17" s="196"/>
      <c r="H17" s="196"/>
      <c r="I17" s="196"/>
      <c r="J17" s="196"/>
      <c r="K17" s="196"/>
      <c r="L17" s="196"/>
      <c r="M17" s="196"/>
      <c r="N17" s="196"/>
      <c r="O17" s="196"/>
      <c r="P17" s="195"/>
      <c r="Q17" s="195"/>
      <c r="R17" s="195"/>
    </row>
    <row r="18" spans="1:18" ht="18" customHeight="1">
      <c r="A18" s="193"/>
      <c r="B18" s="23"/>
      <c r="C18" s="23"/>
      <c r="D18" s="23"/>
      <c r="E18" s="23"/>
      <c r="F18" s="23"/>
      <c r="G18" s="19"/>
      <c r="H18" s="19"/>
      <c r="I18" s="19"/>
      <c r="J18" s="19"/>
      <c r="K18" s="19"/>
      <c r="L18" s="19"/>
      <c r="M18" s="19"/>
      <c r="N18" s="19"/>
      <c r="O18" s="19"/>
      <c r="P18" s="23"/>
      <c r="Q18" s="23"/>
      <c r="R18" s="23"/>
    </row>
    <row r="19" spans="1:18" ht="18" customHeight="1">
      <c r="A19" s="194"/>
      <c r="B19" s="195"/>
      <c r="C19" s="195"/>
      <c r="D19" s="195"/>
      <c r="E19" s="195"/>
      <c r="F19" s="195"/>
      <c r="G19" s="196"/>
      <c r="H19" s="196"/>
      <c r="I19" s="196"/>
      <c r="J19" s="196"/>
      <c r="K19" s="196"/>
      <c r="L19" s="196"/>
      <c r="M19" s="196"/>
      <c r="N19" s="196"/>
      <c r="O19" s="196"/>
      <c r="P19" s="195"/>
      <c r="Q19" s="195"/>
      <c r="R19" s="195"/>
    </row>
    <row r="20" spans="1:18" ht="18" customHeight="1">
      <c r="A20" s="193"/>
      <c r="B20" s="23"/>
      <c r="C20" s="23"/>
      <c r="D20" s="23"/>
      <c r="E20" s="23"/>
      <c r="F20" s="23"/>
      <c r="G20" s="19"/>
      <c r="H20" s="19"/>
      <c r="I20" s="19"/>
      <c r="J20" s="19"/>
      <c r="K20" s="19"/>
      <c r="L20" s="19"/>
      <c r="M20" s="19"/>
      <c r="N20" s="19"/>
      <c r="O20" s="19"/>
      <c r="P20" s="23"/>
      <c r="Q20" s="23"/>
      <c r="R20" s="23"/>
    </row>
    <row r="21" spans="1:18" ht="18" customHeight="1">
      <c r="A21" s="194"/>
      <c r="B21" s="195"/>
      <c r="C21" s="195"/>
      <c r="D21" s="195"/>
      <c r="E21" s="195"/>
      <c r="F21" s="195"/>
      <c r="G21" s="196"/>
      <c r="H21" s="196"/>
      <c r="I21" s="196"/>
      <c r="J21" s="196"/>
      <c r="K21" s="196"/>
      <c r="L21" s="196"/>
      <c r="M21" s="196"/>
      <c r="N21" s="196"/>
      <c r="O21" s="196"/>
      <c r="P21" s="195"/>
      <c r="Q21" s="195"/>
      <c r="R21" s="195"/>
    </row>
    <row r="22" spans="1:18" ht="18" customHeight="1">
      <c r="A22" s="193"/>
      <c r="B22" s="23"/>
      <c r="C22" s="23"/>
      <c r="D22" s="23"/>
      <c r="E22" s="23"/>
      <c r="F22" s="23"/>
      <c r="G22" s="19"/>
      <c r="H22" s="19"/>
      <c r="I22" s="19"/>
      <c r="J22" s="19"/>
      <c r="K22" s="19"/>
      <c r="L22" s="19"/>
      <c r="M22" s="19"/>
      <c r="N22" s="19"/>
      <c r="O22" s="19"/>
      <c r="P22" s="23"/>
      <c r="Q22" s="23"/>
      <c r="R22" s="23"/>
    </row>
    <row r="23" spans="1:18" ht="18" customHeight="1">
      <c r="A23" s="194"/>
      <c r="B23" s="195"/>
      <c r="C23" s="195"/>
      <c r="D23" s="195"/>
      <c r="E23" s="195"/>
      <c r="F23" s="195"/>
      <c r="G23" s="196"/>
      <c r="H23" s="196"/>
      <c r="I23" s="196"/>
      <c r="J23" s="196"/>
      <c r="K23" s="196"/>
      <c r="L23" s="196"/>
      <c r="M23" s="196"/>
      <c r="N23" s="196"/>
      <c r="O23" s="196"/>
      <c r="P23" s="195"/>
      <c r="Q23" s="195"/>
      <c r="R23" s="195"/>
    </row>
    <row r="24" spans="1:18" ht="18" customHeight="1">
      <c r="A24" s="193"/>
      <c r="B24" s="23"/>
      <c r="C24" s="23"/>
      <c r="D24" s="23"/>
      <c r="E24" s="23"/>
      <c r="F24" s="23"/>
      <c r="G24" s="19"/>
      <c r="H24" s="19"/>
      <c r="I24" s="19"/>
      <c r="J24" s="19"/>
      <c r="K24" s="19"/>
      <c r="L24" s="19"/>
      <c r="M24" s="19"/>
      <c r="N24" s="19"/>
      <c r="O24" s="19"/>
      <c r="P24" s="23"/>
      <c r="Q24" s="23"/>
      <c r="R24" s="23"/>
    </row>
    <row r="25" spans="1:18" ht="18" customHeight="1">
      <c r="A25" s="194"/>
      <c r="B25" s="195"/>
      <c r="C25" s="195"/>
      <c r="D25" s="195"/>
      <c r="E25" s="195"/>
      <c r="F25" s="195"/>
      <c r="G25" s="196"/>
      <c r="H25" s="196"/>
      <c r="I25" s="196"/>
      <c r="J25" s="196"/>
      <c r="K25" s="196"/>
      <c r="L25" s="196"/>
      <c r="M25" s="196"/>
      <c r="N25" s="196"/>
      <c r="O25" s="196"/>
      <c r="P25" s="195"/>
      <c r="Q25" s="195"/>
      <c r="R25" s="195"/>
    </row>
    <row r="26" spans="1:18" ht="18" customHeight="1">
      <c r="A26" s="193"/>
      <c r="B26" s="23"/>
      <c r="C26" s="23"/>
      <c r="D26" s="23"/>
      <c r="E26" s="23"/>
      <c r="F26" s="23"/>
      <c r="G26" s="19"/>
      <c r="H26" s="19"/>
      <c r="I26" s="19"/>
      <c r="J26" s="19"/>
      <c r="K26" s="19"/>
      <c r="L26" s="19"/>
      <c r="M26" s="19"/>
      <c r="N26" s="19"/>
      <c r="O26" s="19"/>
      <c r="P26" s="23"/>
      <c r="Q26" s="23"/>
      <c r="R26" s="23"/>
    </row>
    <row r="27" spans="1:18" ht="18" customHeight="1">
      <c r="A27" s="194"/>
      <c r="B27" s="195"/>
      <c r="C27" s="195"/>
      <c r="D27" s="195"/>
      <c r="E27" s="195"/>
      <c r="F27" s="195"/>
      <c r="G27" s="196"/>
      <c r="H27" s="196"/>
      <c r="I27" s="196"/>
      <c r="J27" s="196"/>
      <c r="K27" s="196"/>
      <c r="L27" s="196"/>
      <c r="M27" s="196"/>
      <c r="N27" s="196"/>
      <c r="O27" s="196"/>
      <c r="P27" s="195"/>
      <c r="Q27" s="195"/>
      <c r="R27" s="195"/>
    </row>
    <row r="28" spans="1:18" ht="18" customHeight="1">
      <c r="A28" s="193"/>
      <c r="B28" s="23"/>
      <c r="C28" s="23"/>
      <c r="D28" s="23"/>
      <c r="E28" s="23"/>
      <c r="F28" s="23"/>
      <c r="G28" s="19"/>
      <c r="H28" s="19"/>
      <c r="I28" s="19"/>
      <c r="J28" s="19"/>
      <c r="K28" s="19"/>
      <c r="L28" s="19"/>
      <c r="M28" s="19"/>
      <c r="N28" s="19"/>
      <c r="O28" s="19"/>
      <c r="P28" s="23"/>
      <c r="Q28" s="23"/>
      <c r="R28" s="23"/>
    </row>
    <row r="29" spans="1:18" ht="18" customHeight="1">
      <c r="A29" s="194"/>
      <c r="B29" s="195"/>
      <c r="C29" s="195"/>
      <c r="D29" s="195"/>
      <c r="E29" s="195"/>
      <c r="F29" s="195"/>
      <c r="G29" s="196"/>
      <c r="H29" s="196"/>
      <c r="I29" s="196"/>
      <c r="J29" s="196"/>
      <c r="K29" s="196"/>
      <c r="L29" s="196"/>
      <c r="M29" s="196"/>
      <c r="N29" s="196"/>
      <c r="O29" s="196"/>
      <c r="P29" s="195"/>
      <c r="Q29" s="195"/>
      <c r="R29" s="195"/>
    </row>
    <row r="30" spans="1:18" ht="18" customHeight="1">
      <c r="A30" s="193"/>
      <c r="B30" s="23"/>
      <c r="C30" s="23"/>
      <c r="D30" s="23"/>
      <c r="E30" s="23"/>
      <c r="F30" s="23"/>
      <c r="G30" s="19"/>
      <c r="H30" s="19"/>
      <c r="I30" s="19"/>
      <c r="J30" s="19"/>
      <c r="K30" s="19"/>
      <c r="L30" s="19"/>
      <c r="M30" s="19"/>
      <c r="N30" s="19"/>
      <c r="O30" s="19"/>
      <c r="P30" s="23"/>
      <c r="Q30" s="23"/>
      <c r="R30" s="23"/>
    </row>
    <row r="31" spans="1:18" ht="18" customHeight="1">
      <c r="A31" s="194"/>
      <c r="B31" s="195"/>
      <c r="C31" s="195"/>
      <c r="D31" s="195"/>
      <c r="E31" s="195"/>
      <c r="F31" s="195"/>
      <c r="G31" s="196"/>
      <c r="H31" s="196"/>
      <c r="I31" s="196"/>
      <c r="J31" s="196"/>
      <c r="K31" s="196"/>
      <c r="L31" s="196"/>
      <c r="M31" s="196"/>
      <c r="N31" s="196"/>
      <c r="O31" s="196"/>
      <c r="P31" s="195"/>
      <c r="Q31" s="195"/>
      <c r="R31" s="195"/>
    </row>
    <row r="32" spans="1:18" ht="18" customHeight="1">
      <c r="A32" s="193"/>
      <c r="B32" s="23"/>
      <c r="C32" s="23"/>
      <c r="D32" s="23"/>
      <c r="E32" s="23"/>
      <c r="F32" s="23"/>
      <c r="G32" s="19"/>
      <c r="H32" s="19"/>
      <c r="I32" s="19"/>
      <c r="J32" s="19"/>
      <c r="K32" s="19"/>
      <c r="L32" s="19"/>
      <c r="M32" s="19"/>
      <c r="N32" s="19"/>
      <c r="O32" s="19"/>
      <c r="P32" s="23"/>
      <c r="Q32" s="23"/>
      <c r="R32" s="23"/>
    </row>
    <row r="33" spans="1:18" ht="18" customHeight="1">
      <c r="A33" s="194"/>
      <c r="B33" s="195"/>
      <c r="C33" s="195"/>
      <c r="D33" s="195"/>
      <c r="E33" s="195"/>
      <c r="F33" s="195"/>
      <c r="G33" s="196"/>
      <c r="H33" s="196"/>
      <c r="I33" s="196"/>
      <c r="J33" s="196"/>
      <c r="K33" s="196"/>
      <c r="L33" s="196"/>
      <c r="M33" s="196"/>
      <c r="N33" s="196"/>
      <c r="O33" s="196"/>
      <c r="P33" s="195"/>
      <c r="Q33" s="195"/>
      <c r="R33" s="195"/>
    </row>
    <row r="34" spans="1:18" ht="18" customHeight="1">
      <c r="A34" s="193"/>
      <c r="B34" s="23"/>
      <c r="C34" s="23"/>
      <c r="D34" s="23"/>
      <c r="E34" s="23"/>
      <c r="F34" s="23"/>
      <c r="G34" s="19"/>
      <c r="H34" s="19"/>
      <c r="I34" s="19"/>
      <c r="J34" s="19"/>
      <c r="K34" s="19"/>
      <c r="L34" s="19"/>
      <c r="M34" s="19"/>
      <c r="N34" s="19"/>
      <c r="O34" s="19"/>
      <c r="P34" s="23"/>
      <c r="Q34" s="23"/>
      <c r="R34" s="23"/>
    </row>
    <row r="35" spans="1:18" ht="18" customHeight="1">
      <c r="A35" s="194"/>
      <c r="B35" s="195"/>
      <c r="C35" s="195"/>
      <c r="D35" s="195"/>
      <c r="E35" s="195"/>
      <c r="F35" s="195"/>
      <c r="G35" s="196"/>
      <c r="H35" s="196"/>
      <c r="I35" s="196"/>
      <c r="J35" s="196"/>
      <c r="K35" s="196"/>
      <c r="L35" s="196"/>
      <c r="M35" s="196"/>
      <c r="N35" s="196"/>
      <c r="O35" s="196"/>
      <c r="P35" s="195"/>
      <c r="Q35" s="195"/>
      <c r="R35" s="195"/>
    </row>
    <row r="36" spans="1:18" ht="18" customHeight="1">
      <c r="A36" s="193"/>
      <c r="B36" s="23"/>
      <c r="C36" s="23"/>
      <c r="D36" s="23"/>
      <c r="E36" s="23"/>
      <c r="F36" s="23"/>
      <c r="G36" s="19"/>
      <c r="H36" s="19"/>
      <c r="I36" s="19"/>
      <c r="J36" s="19"/>
      <c r="K36" s="19"/>
      <c r="L36" s="19"/>
      <c r="M36" s="19"/>
      <c r="N36" s="19"/>
      <c r="O36" s="19"/>
      <c r="P36" s="23"/>
      <c r="Q36" s="23"/>
      <c r="R36" s="23"/>
    </row>
    <row r="37" spans="1:18" ht="18" customHeight="1">
      <c r="A37" s="194"/>
      <c r="B37" s="195"/>
      <c r="C37" s="195"/>
      <c r="D37" s="195"/>
      <c r="E37" s="195"/>
      <c r="F37" s="195"/>
      <c r="G37" s="196"/>
      <c r="H37" s="196"/>
      <c r="I37" s="196"/>
      <c r="J37" s="196"/>
      <c r="K37" s="196"/>
      <c r="L37" s="196"/>
      <c r="M37" s="196"/>
      <c r="N37" s="196"/>
      <c r="O37" s="196"/>
      <c r="P37" s="195"/>
      <c r="Q37" s="195"/>
      <c r="R37" s="195"/>
    </row>
    <row r="38" spans="1:18" ht="18" customHeight="1">
      <c r="A38" s="193"/>
      <c r="B38" s="23"/>
      <c r="C38" s="23"/>
      <c r="D38" s="23"/>
      <c r="E38" s="23"/>
      <c r="F38" s="23"/>
      <c r="G38" s="19"/>
      <c r="H38" s="19"/>
      <c r="I38" s="19"/>
      <c r="J38" s="19"/>
      <c r="K38" s="19"/>
      <c r="L38" s="19"/>
      <c r="M38" s="19"/>
      <c r="N38" s="19"/>
      <c r="O38" s="19"/>
      <c r="P38" s="23"/>
      <c r="Q38" s="23"/>
      <c r="R38" s="23"/>
    </row>
    <row r="39" spans="1:18" ht="18" customHeight="1">
      <c r="A39" s="194"/>
      <c r="B39" s="195"/>
      <c r="C39" s="195"/>
      <c r="D39" s="195"/>
      <c r="E39" s="195"/>
      <c r="F39" s="195"/>
      <c r="G39" s="196"/>
      <c r="H39" s="196"/>
      <c r="I39" s="196"/>
      <c r="J39" s="196"/>
      <c r="K39" s="196"/>
      <c r="L39" s="196"/>
      <c r="M39" s="196"/>
      <c r="N39" s="196"/>
      <c r="O39" s="196"/>
      <c r="P39" s="195"/>
      <c r="Q39" s="195"/>
      <c r="R39" s="195"/>
    </row>
    <row r="40" spans="1:18" ht="18" customHeight="1">
      <c r="A40" s="193"/>
      <c r="B40" s="23"/>
      <c r="C40" s="23"/>
      <c r="D40" s="23"/>
      <c r="E40" s="23"/>
      <c r="F40" s="23"/>
      <c r="G40" s="19"/>
      <c r="H40" s="19"/>
      <c r="I40" s="19"/>
      <c r="J40" s="19"/>
      <c r="K40" s="19"/>
      <c r="L40" s="19"/>
      <c r="M40" s="19"/>
      <c r="N40" s="19"/>
      <c r="O40" s="19"/>
      <c r="P40" s="23"/>
      <c r="Q40" s="23"/>
      <c r="R40" s="23"/>
    </row>
    <row r="41" spans="1:18" ht="18" customHeight="1">
      <c r="A41" s="194"/>
      <c r="B41" s="195"/>
      <c r="C41" s="195"/>
      <c r="D41" s="195"/>
      <c r="E41" s="195"/>
      <c r="F41" s="195"/>
      <c r="G41" s="196"/>
      <c r="H41" s="196"/>
      <c r="I41" s="196"/>
      <c r="J41" s="196"/>
      <c r="K41" s="196"/>
      <c r="L41" s="196"/>
      <c r="M41" s="196"/>
      <c r="N41" s="196"/>
      <c r="O41" s="196"/>
      <c r="P41" s="195"/>
      <c r="Q41" s="195"/>
      <c r="R41" s="195"/>
    </row>
    <row r="42" spans="1:18" ht="18" customHeight="1">
      <c r="A42" s="193"/>
      <c r="B42" s="23"/>
      <c r="C42" s="23"/>
      <c r="D42" s="23"/>
      <c r="E42" s="23"/>
      <c r="F42" s="23"/>
      <c r="G42" s="19"/>
      <c r="H42" s="19"/>
      <c r="I42" s="19"/>
      <c r="J42" s="19"/>
      <c r="K42" s="19"/>
      <c r="L42" s="19"/>
      <c r="M42" s="19"/>
      <c r="N42" s="19"/>
      <c r="O42" s="19"/>
      <c r="P42" s="23"/>
      <c r="Q42" s="23"/>
      <c r="R42" s="23"/>
    </row>
    <row r="43" spans="1:18" ht="18" customHeight="1">
      <c r="A43" s="194"/>
      <c r="B43" s="195"/>
      <c r="C43" s="195"/>
      <c r="D43" s="195"/>
      <c r="E43" s="195"/>
      <c r="F43" s="195"/>
      <c r="G43" s="196"/>
      <c r="H43" s="196"/>
      <c r="I43" s="196"/>
      <c r="J43" s="196"/>
      <c r="K43" s="196"/>
      <c r="L43" s="196"/>
      <c r="M43" s="196"/>
      <c r="N43" s="196"/>
      <c r="O43" s="196"/>
      <c r="P43" s="195"/>
      <c r="Q43" s="195"/>
      <c r="R43" s="195"/>
    </row>
    <row r="44" spans="1:18" ht="18" customHeight="1">
      <c r="A44" s="193"/>
      <c r="B44" s="23"/>
      <c r="C44" s="23"/>
      <c r="D44" s="23"/>
      <c r="E44" s="23"/>
      <c r="F44" s="23"/>
      <c r="G44" s="19"/>
      <c r="H44" s="19"/>
      <c r="I44" s="19"/>
      <c r="J44" s="19"/>
      <c r="K44" s="19"/>
      <c r="L44" s="19"/>
      <c r="M44" s="19"/>
      <c r="N44" s="19"/>
      <c r="O44" s="19"/>
      <c r="P44" s="23"/>
      <c r="Q44" s="23"/>
      <c r="R44" s="23"/>
    </row>
    <row r="45" spans="1:18" ht="18" customHeight="1">
      <c r="A45" s="194"/>
      <c r="B45" s="195"/>
      <c r="C45" s="195"/>
      <c r="D45" s="195"/>
      <c r="E45" s="195"/>
      <c r="F45" s="195"/>
      <c r="G45" s="196"/>
      <c r="H45" s="196"/>
      <c r="I45" s="196"/>
      <c r="J45" s="196"/>
      <c r="K45" s="196"/>
      <c r="L45" s="196"/>
      <c r="M45" s="196"/>
      <c r="N45" s="196"/>
      <c r="O45" s="196"/>
      <c r="P45" s="195"/>
      <c r="Q45" s="195"/>
      <c r="R45" s="195"/>
    </row>
    <row r="46" spans="1:18" ht="18" customHeight="1">
      <c r="A46" s="193"/>
      <c r="B46" s="23"/>
      <c r="C46" s="23"/>
      <c r="D46" s="23"/>
      <c r="E46" s="23"/>
      <c r="F46" s="23"/>
      <c r="G46" s="19"/>
      <c r="H46" s="19"/>
      <c r="I46" s="19"/>
      <c r="J46" s="19"/>
      <c r="K46" s="19"/>
      <c r="L46" s="19"/>
      <c r="M46" s="19"/>
      <c r="N46" s="19"/>
      <c r="O46" s="19"/>
      <c r="P46" s="23"/>
      <c r="Q46" s="23"/>
      <c r="R46" s="23"/>
    </row>
    <row r="47" spans="1:18" ht="18" customHeight="1">
      <c r="A47" s="194"/>
      <c r="B47" s="195"/>
      <c r="C47" s="195"/>
      <c r="D47" s="195"/>
      <c r="E47" s="195"/>
      <c r="F47" s="195"/>
      <c r="G47" s="196"/>
      <c r="H47" s="196"/>
      <c r="I47" s="196"/>
      <c r="J47" s="196"/>
      <c r="K47" s="196"/>
      <c r="L47" s="196"/>
      <c r="M47" s="196"/>
      <c r="N47" s="196"/>
      <c r="O47" s="196"/>
      <c r="P47" s="195"/>
      <c r="Q47" s="195"/>
      <c r="R47" s="195"/>
    </row>
    <row r="48" spans="1:18" ht="18" customHeight="1">
      <c r="A48" s="193"/>
      <c r="B48" s="23"/>
      <c r="C48" s="23"/>
      <c r="D48" s="23"/>
      <c r="E48" s="23"/>
      <c r="F48" s="23"/>
      <c r="G48" s="19"/>
      <c r="H48" s="19"/>
      <c r="I48" s="19"/>
      <c r="J48" s="19"/>
      <c r="K48" s="19"/>
      <c r="L48" s="19"/>
      <c r="M48" s="19"/>
      <c r="N48" s="19"/>
      <c r="O48" s="19"/>
      <c r="P48" s="23"/>
      <c r="Q48" s="23"/>
      <c r="R48" s="23"/>
    </row>
    <row r="49" spans="1:18" ht="18" customHeight="1">
      <c r="A49" s="194"/>
      <c r="B49" s="195"/>
      <c r="C49" s="195"/>
      <c r="D49" s="195"/>
      <c r="E49" s="195"/>
      <c r="F49" s="195"/>
      <c r="G49" s="196"/>
      <c r="H49" s="196"/>
      <c r="I49" s="196"/>
      <c r="J49" s="196"/>
      <c r="K49" s="196"/>
      <c r="L49" s="196"/>
      <c r="M49" s="196"/>
      <c r="N49" s="196"/>
      <c r="O49" s="196"/>
      <c r="P49" s="195"/>
      <c r="Q49" s="195"/>
      <c r="R49" s="195"/>
    </row>
    <row r="50" spans="1:18" ht="18" customHeight="1">
      <c r="A50" s="193"/>
      <c r="B50" s="23"/>
      <c r="C50" s="23"/>
      <c r="D50" s="23"/>
      <c r="E50" s="23"/>
      <c r="F50" s="23"/>
      <c r="G50" s="19"/>
      <c r="H50" s="19"/>
      <c r="I50" s="19"/>
      <c r="J50" s="19"/>
      <c r="K50" s="19"/>
      <c r="L50" s="19"/>
      <c r="M50" s="19"/>
      <c r="N50" s="19"/>
      <c r="O50" s="19"/>
      <c r="P50" s="23"/>
      <c r="Q50" s="23"/>
      <c r="R50" s="23"/>
    </row>
    <row r="51" spans="1:18" ht="18" customHeight="1">
      <c r="A51" s="194"/>
      <c r="B51" s="195"/>
      <c r="C51" s="195"/>
      <c r="D51" s="195"/>
      <c r="E51" s="195"/>
      <c r="F51" s="195"/>
      <c r="G51" s="196"/>
      <c r="H51" s="196"/>
      <c r="I51" s="196"/>
      <c r="J51" s="196"/>
      <c r="K51" s="196"/>
      <c r="L51" s="196"/>
      <c r="M51" s="196"/>
      <c r="N51" s="196"/>
      <c r="O51" s="196"/>
      <c r="P51" s="195"/>
      <c r="Q51" s="195"/>
      <c r="R51" s="195"/>
    </row>
    <row r="52" spans="1:18" ht="18" customHeight="1">
      <c r="A52" s="193"/>
      <c r="B52" s="23"/>
      <c r="C52" s="23"/>
      <c r="D52" s="23"/>
      <c r="E52" s="23"/>
      <c r="F52" s="23"/>
      <c r="G52" s="19"/>
      <c r="H52" s="19"/>
      <c r="I52" s="19"/>
      <c r="J52" s="19"/>
      <c r="K52" s="19"/>
      <c r="L52" s="19"/>
      <c r="M52" s="19"/>
      <c r="N52" s="19"/>
      <c r="O52" s="19"/>
      <c r="P52" s="23"/>
      <c r="Q52" s="23"/>
      <c r="R52" s="23"/>
    </row>
    <row r="53" spans="1:18" ht="18" customHeight="1">
      <c r="A53" s="194"/>
      <c r="B53" s="195"/>
      <c r="C53" s="195"/>
      <c r="D53" s="195"/>
      <c r="E53" s="195"/>
      <c r="F53" s="195"/>
      <c r="G53" s="196"/>
      <c r="H53" s="196"/>
      <c r="I53" s="196"/>
      <c r="J53" s="196"/>
      <c r="K53" s="196"/>
      <c r="L53" s="196"/>
      <c r="M53" s="196"/>
      <c r="N53" s="196"/>
      <c r="O53" s="196"/>
      <c r="P53" s="195"/>
      <c r="Q53" s="195"/>
      <c r="R53" s="195"/>
    </row>
    <row r="54" spans="1:18" ht="18" customHeight="1">
      <c r="A54" s="193"/>
      <c r="B54" s="23"/>
      <c r="C54" s="23"/>
      <c r="D54" s="23"/>
      <c r="E54" s="23"/>
      <c r="F54" s="23"/>
      <c r="G54" s="19"/>
      <c r="H54" s="19"/>
      <c r="I54" s="19"/>
      <c r="J54" s="19"/>
      <c r="K54" s="19"/>
      <c r="L54" s="19"/>
      <c r="M54" s="19"/>
      <c r="N54" s="19"/>
      <c r="O54" s="19"/>
      <c r="P54" s="23"/>
      <c r="Q54" s="23"/>
      <c r="R54" s="23"/>
    </row>
    <row r="55" spans="1:18" ht="18" customHeight="1">
      <c r="A55" s="194"/>
      <c r="B55" s="195"/>
      <c r="C55" s="195"/>
      <c r="D55" s="195"/>
      <c r="E55" s="195"/>
      <c r="F55" s="195"/>
      <c r="G55" s="196"/>
      <c r="H55" s="196"/>
      <c r="I55" s="196"/>
      <c r="J55" s="196"/>
      <c r="K55" s="196"/>
      <c r="L55" s="196"/>
      <c r="M55" s="196"/>
      <c r="N55" s="196"/>
      <c r="O55" s="196"/>
      <c r="P55" s="195"/>
      <c r="Q55" s="195"/>
      <c r="R55" s="195"/>
    </row>
    <row r="56" spans="1:18" ht="18" customHeight="1">
      <c r="A56" s="193"/>
      <c r="B56" s="23"/>
      <c r="C56" s="23"/>
      <c r="D56" s="23"/>
      <c r="E56" s="23"/>
      <c r="F56" s="23"/>
      <c r="G56" s="19"/>
      <c r="H56" s="19"/>
      <c r="I56" s="19"/>
      <c r="J56" s="19"/>
      <c r="K56" s="19"/>
      <c r="L56" s="19"/>
      <c r="M56" s="19"/>
      <c r="N56" s="19"/>
      <c r="O56" s="19"/>
      <c r="P56" s="23"/>
      <c r="Q56" s="23"/>
      <c r="R56" s="23"/>
    </row>
    <row r="57" spans="1:18" ht="18" customHeight="1">
      <c r="A57" s="194"/>
      <c r="B57" s="195"/>
      <c r="C57" s="195"/>
      <c r="D57" s="195"/>
      <c r="E57" s="195"/>
      <c r="F57" s="195"/>
      <c r="G57" s="196"/>
      <c r="H57" s="196"/>
      <c r="I57" s="196"/>
      <c r="J57" s="196"/>
      <c r="K57" s="196"/>
      <c r="L57" s="196"/>
      <c r="M57" s="196"/>
      <c r="N57" s="196"/>
      <c r="O57" s="196"/>
      <c r="P57" s="195"/>
      <c r="Q57" s="195"/>
      <c r="R57" s="195"/>
    </row>
    <row r="58" spans="1:18" ht="18" customHeight="1">
      <c r="A58" s="193"/>
      <c r="B58" s="23"/>
      <c r="C58" s="23"/>
      <c r="D58" s="23"/>
      <c r="E58" s="23"/>
      <c r="F58" s="23"/>
      <c r="G58" s="19"/>
      <c r="H58" s="19"/>
      <c r="I58" s="19"/>
      <c r="J58" s="19"/>
      <c r="K58" s="19"/>
      <c r="L58" s="19"/>
      <c r="M58" s="19"/>
      <c r="N58" s="19"/>
      <c r="O58" s="19"/>
      <c r="P58" s="23"/>
      <c r="Q58" s="23"/>
      <c r="R58" s="23"/>
    </row>
    <row r="59" spans="1:18" ht="18" customHeight="1">
      <c r="A59" s="194"/>
      <c r="B59" s="195"/>
      <c r="C59" s="195"/>
      <c r="D59" s="195"/>
      <c r="E59" s="195"/>
      <c r="F59" s="195"/>
      <c r="G59" s="196"/>
      <c r="H59" s="196"/>
      <c r="I59" s="196"/>
      <c r="J59" s="196"/>
      <c r="K59" s="196"/>
      <c r="L59" s="196"/>
      <c r="M59" s="196"/>
      <c r="N59" s="196"/>
      <c r="O59" s="196"/>
      <c r="P59" s="195"/>
      <c r="Q59" s="195"/>
      <c r="R59" s="195"/>
    </row>
    <row r="60" spans="1:18" ht="18" customHeight="1">
      <c r="A60" s="193"/>
      <c r="B60" s="23"/>
      <c r="C60" s="23"/>
      <c r="D60" s="23"/>
      <c r="E60" s="23"/>
      <c r="F60" s="23"/>
      <c r="G60" s="19"/>
      <c r="H60" s="19"/>
      <c r="I60" s="19"/>
      <c r="J60" s="19"/>
      <c r="K60" s="19"/>
      <c r="L60" s="19"/>
      <c r="M60" s="19"/>
      <c r="N60" s="19"/>
      <c r="O60" s="19"/>
      <c r="P60" s="23"/>
      <c r="Q60" s="23"/>
      <c r="R60" s="23"/>
    </row>
    <row r="61" spans="1:18" ht="18" customHeight="1">
      <c r="A61" s="194"/>
      <c r="B61" s="195"/>
      <c r="C61" s="195"/>
      <c r="D61" s="195"/>
      <c r="E61" s="195"/>
      <c r="F61" s="195"/>
      <c r="G61" s="196"/>
      <c r="H61" s="196"/>
      <c r="I61" s="196"/>
      <c r="J61" s="196"/>
      <c r="K61" s="196"/>
      <c r="L61" s="196"/>
      <c r="M61" s="196"/>
      <c r="N61" s="196"/>
      <c r="O61" s="196"/>
      <c r="P61" s="195"/>
      <c r="Q61" s="195"/>
      <c r="R61" s="195"/>
    </row>
    <row r="62" spans="1:18" ht="18" customHeight="1">
      <c r="A62" s="193"/>
      <c r="B62" s="23"/>
      <c r="C62" s="23"/>
      <c r="D62" s="23"/>
      <c r="E62" s="23"/>
      <c r="F62" s="23"/>
      <c r="G62" s="19"/>
      <c r="H62" s="19"/>
      <c r="I62" s="19"/>
      <c r="J62" s="19"/>
      <c r="K62" s="19"/>
      <c r="L62" s="19"/>
      <c r="M62" s="19"/>
      <c r="N62" s="19"/>
      <c r="O62" s="19"/>
      <c r="P62" s="23"/>
      <c r="Q62" s="23"/>
      <c r="R62" s="23"/>
    </row>
    <row r="63" spans="1:18" ht="18" customHeight="1">
      <c r="A63" s="194"/>
      <c r="B63" s="195"/>
      <c r="C63" s="195"/>
      <c r="D63" s="195"/>
      <c r="E63" s="195"/>
      <c r="F63" s="195"/>
      <c r="G63" s="196"/>
      <c r="H63" s="196"/>
      <c r="I63" s="196"/>
      <c r="J63" s="196"/>
      <c r="K63" s="196"/>
      <c r="L63" s="196"/>
      <c r="M63" s="196"/>
      <c r="N63" s="196"/>
      <c r="O63" s="196"/>
      <c r="P63" s="195"/>
      <c r="Q63" s="195"/>
      <c r="R63" s="195"/>
    </row>
    <row r="64" spans="1:18" ht="18" customHeight="1">
      <c r="A64" s="193"/>
      <c r="B64" s="23"/>
      <c r="C64" s="23"/>
      <c r="D64" s="23"/>
      <c r="E64" s="23"/>
      <c r="F64" s="23"/>
      <c r="G64" s="19"/>
      <c r="H64" s="19"/>
      <c r="I64" s="19"/>
      <c r="J64" s="19"/>
      <c r="K64" s="19"/>
      <c r="L64" s="19"/>
      <c r="M64" s="19"/>
      <c r="N64" s="19"/>
      <c r="O64" s="19"/>
      <c r="P64" s="23"/>
      <c r="Q64" s="23"/>
      <c r="R64" s="23"/>
    </row>
    <row r="65" spans="1:18" ht="18" customHeight="1">
      <c r="A65" s="194"/>
      <c r="B65" s="195"/>
      <c r="C65" s="195"/>
      <c r="D65" s="195"/>
      <c r="E65" s="195"/>
      <c r="F65" s="195"/>
      <c r="G65" s="196"/>
      <c r="H65" s="196"/>
      <c r="I65" s="196"/>
      <c r="J65" s="196"/>
      <c r="K65" s="196"/>
      <c r="L65" s="196"/>
      <c r="M65" s="196"/>
      <c r="N65" s="196"/>
      <c r="O65" s="196"/>
      <c r="P65" s="195"/>
      <c r="Q65" s="195"/>
      <c r="R65" s="195"/>
    </row>
    <row r="66" spans="1:18" ht="18" customHeight="1">
      <c r="A66" s="193"/>
      <c r="B66" s="23"/>
      <c r="C66" s="23"/>
      <c r="D66" s="23"/>
      <c r="E66" s="23"/>
      <c r="F66" s="23"/>
      <c r="G66" s="19"/>
      <c r="H66" s="19"/>
      <c r="I66" s="19"/>
      <c r="J66" s="19"/>
      <c r="K66" s="19"/>
      <c r="L66" s="19"/>
      <c r="M66" s="19"/>
      <c r="N66" s="19"/>
      <c r="O66" s="19"/>
      <c r="P66" s="23"/>
      <c r="Q66" s="23"/>
      <c r="R66" s="23"/>
    </row>
    <row r="67" spans="1:18" ht="18" customHeight="1">
      <c r="A67" s="194"/>
      <c r="B67" s="195"/>
      <c r="C67" s="195"/>
      <c r="D67" s="195"/>
      <c r="E67" s="195"/>
      <c r="F67" s="195"/>
      <c r="G67" s="196"/>
      <c r="H67" s="196"/>
      <c r="I67" s="196"/>
      <c r="J67" s="196"/>
      <c r="K67" s="196"/>
      <c r="L67" s="196"/>
      <c r="M67" s="196"/>
      <c r="N67" s="196"/>
      <c r="O67" s="196"/>
      <c r="P67" s="195"/>
      <c r="Q67" s="195"/>
      <c r="R67" s="195"/>
    </row>
    <row r="68" spans="1:18" ht="18" customHeight="1">
      <c r="A68" s="193"/>
      <c r="B68" s="23"/>
      <c r="C68" s="23"/>
      <c r="D68" s="23"/>
      <c r="E68" s="23"/>
      <c r="F68" s="23"/>
      <c r="G68" s="19"/>
      <c r="H68" s="19"/>
      <c r="I68" s="19"/>
      <c r="J68" s="19"/>
      <c r="K68" s="19"/>
      <c r="L68" s="19"/>
      <c r="M68" s="19"/>
      <c r="N68" s="19"/>
      <c r="O68" s="19"/>
      <c r="P68" s="23"/>
      <c r="Q68" s="23"/>
      <c r="R68" s="23"/>
    </row>
    <row r="69" spans="1:18" ht="18" customHeight="1">
      <c r="A69" s="194"/>
      <c r="B69" s="195"/>
      <c r="C69" s="195"/>
      <c r="D69" s="195"/>
      <c r="E69" s="195"/>
      <c r="F69" s="195"/>
      <c r="G69" s="196"/>
      <c r="H69" s="196"/>
      <c r="I69" s="196"/>
      <c r="J69" s="196"/>
      <c r="K69" s="196"/>
      <c r="L69" s="196"/>
      <c r="M69" s="196"/>
      <c r="N69" s="196"/>
      <c r="O69" s="196"/>
      <c r="P69" s="195"/>
      <c r="Q69" s="195"/>
      <c r="R69" s="195"/>
    </row>
    <row r="70" spans="1:18" ht="18" customHeight="1">
      <c r="A70" s="193"/>
      <c r="B70" s="23"/>
      <c r="C70" s="23"/>
      <c r="D70" s="23"/>
      <c r="E70" s="23"/>
      <c r="F70" s="23"/>
      <c r="G70" s="19"/>
      <c r="H70" s="19"/>
      <c r="I70" s="19"/>
      <c r="J70" s="19"/>
      <c r="K70" s="19"/>
      <c r="L70" s="19"/>
      <c r="M70" s="19"/>
      <c r="N70" s="19"/>
      <c r="O70" s="19"/>
      <c r="P70" s="23"/>
      <c r="Q70" s="23"/>
      <c r="R70" s="23"/>
    </row>
    <row r="71" spans="1:18" ht="18" customHeight="1">
      <c r="A71" s="194"/>
      <c r="B71" s="195"/>
      <c r="C71" s="195"/>
      <c r="D71" s="195"/>
      <c r="E71" s="195"/>
      <c r="F71" s="195"/>
      <c r="G71" s="196"/>
      <c r="H71" s="196"/>
      <c r="I71" s="196"/>
      <c r="J71" s="196"/>
      <c r="K71" s="196"/>
      <c r="L71" s="196"/>
      <c r="M71" s="196"/>
      <c r="N71" s="196"/>
      <c r="O71" s="196"/>
      <c r="P71" s="195"/>
      <c r="Q71" s="195"/>
      <c r="R71" s="195"/>
    </row>
    <row r="72" spans="1:18" ht="18" customHeight="1">
      <c r="A72" s="193"/>
      <c r="B72" s="23"/>
      <c r="C72" s="23"/>
      <c r="D72" s="23"/>
      <c r="E72" s="23"/>
      <c r="F72" s="23"/>
      <c r="G72" s="19"/>
      <c r="H72" s="19"/>
      <c r="I72" s="19"/>
      <c r="J72" s="19"/>
      <c r="K72" s="19"/>
      <c r="L72" s="19"/>
      <c r="M72" s="19"/>
      <c r="N72" s="19"/>
      <c r="O72" s="19"/>
      <c r="P72" s="23"/>
      <c r="Q72" s="23"/>
      <c r="R72" s="23"/>
    </row>
    <row r="73" spans="1:18" ht="18" customHeight="1">
      <c r="A73" s="194"/>
      <c r="B73" s="195"/>
      <c r="C73" s="195"/>
      <c r="D73" s="195"/>
      <c r="E73" s="195"/>
      <c r="F73" s="195"/>
      <c r="G73" s="196"/>
      <c r="H73" s="196"/>
      <c r="I73" s="196"/>
      <c r="J73" s="196"/>
      <c r="K73" s="196"/>
      <c r="L73" s="196"/>
      <c r="M73" s="196"/>
      <c r="N73" s="196"/>
      <c r="O73" s="196"/>
      <c r="P73" s="195"/>
      <c r="Q73" s="195"/>
      <c r="R73" s="195"/>
    </row>
    <row r="74" spans="1:18" ht="18" customHeight="1">
      <c r="A74" s="193"/>
      <c r="B74" s="23"/>
      <c r="C74" s="23"/>
      <c r="D74" s="23"/>
      <c r="E74" s="23"/>
      <c r="F74" s="23"/>
      <c r="G74" s="19"/>
      <c r="H74" s="19"/>
      <c r="I74" s="19"/>
      <c r="J74" s="19"/>
      <c r="K74" s="19"/>
      <c r="L74" s="19"/>
      <c r="M74" s="19"/>
      <c r="N74" s="19"/>
      <c r="O74" s="19"/>
      <c r="P74" s="23"/>
      <c r="Q74" s="23"/>
      <c r="R74" s="23"/>
    </row>
    <row r="75" spans="1:18" ht="18" customHeight="1">
      <c r="A75" s="194"/>
      <c r="B75" s="195"/>
      <c r="C75" s="195"/>
      <c r="D75" s="195"/>
      <c r="E75" s="195"/>
      <c r="F75" s="195"/>
      <c r="G75" s="196"/>
      <c r="H75" s="196"/>
      <c r="I75" s="196"/>
      <c r="J75" s="196"/>
      <c r="K75" s="196"/>
      <c r="L75" s="196"/>
      <c r="M75" s="196"/>
      <c r="N75" s="196"/>
      <c r="O75" s="196"/>
      <c r="P75" s="195"/>
      <c r="Q75" s="195"/>
      <c r="R75" s="195"/>
    </row>
    <row r="76" spans="1:18" ht="18" customHeight="1">
      <c r="A76" s="193"/>
      <c r="B76" s="23"/>
      <c r="C76" s="23"/>
      <c r="D76" s="23"/>
      <c r="E76" s="23"/>
      <c r="F76" s="23"/>
      <c r="G76" s="19"/>
      <c r="H76" s="19"/>
      <c r="I76" s="19"/>
      <c r="J76" s="19"/>
      <c r="K76" s="19"/>
      <c r="L76" s="19"/>
      <c r="M76" s="19"/>
      <c r="N76" s="19"/>
      <c r="O76" s="19"/>
      <c r="P76" s="23"/>
      <c r="Q76" s="23"/>
      <c r="R76" s="23"/>
    </row>
    <row r="77" spans="1:18" ht="18" customHeight="1">
      <c r="A77" s="194"/>
      <c r="B77" s="195"/>
      <c r="C77" s="195"/>
      <c r="D77" s="195"/>
      <c r="E77" s="195"/>
      <c r="F77" s="195"/>
      <c r="G77" s="196"/>
      <c r="H77" s="196"/>
      <c r="I77" s="196"/>
      <c r="J77" s="196"/>
      <c r="K77" s="196"/>
      <c r="L77" s="196"/>
      <c r="M77" s="196"/>
      <c r="N77" s="196"/>
      <c r="O77" s="196"/>
      <c r="P77" s="195"/>
      <c r="Q77" s="195"/>
      <c r="R77" s="195"/>
    </row>
    <row r="78" spans="1:18" ht="18" customHeight="1">
      <c r="A78" s="193"/>
      <c r="B78" s="23"/>
      <c r="C78" s="23"/>
      <c r="D78" s="23"/>
      <c r="E78" s="23"/>
      <c r="F78" s="23"/>
      <c r="G78" s="19"/>
      <c r="H78" s="19"/>
      <c r="I78" s="19"/>
      <c r="J78" s="19"/>
      <c r="K78" s="19"/>
      <c r="L78" s="19"/>
      <c r="M78" s="19"/>
      <c r="N78" s="19"/>
      <c r="O78" s="19"/>
      <c r="P78" s="23"/>
      <c r="Q78" s="23"/>
      <c r="R78" s="23"/>
    </row>
    <row r="79" spans="1:18" ht="18" customHeight="1">
      <c r="A79" s="194"/>
      <c r="B79" s="195"/>
      <c r="C79" s="195"/>
      <c r="D79" s="195"/>
      <c r="E79" s="195"/>
      <c r="F79" s="195"/>
      <c r="G79" s="196"/>
      <c r="H79" s="196"/>
      <c r="I79" s="196"/>
      <c r="J79" s="196"/>
      <c r="K79" s="196"/>
      <c r="L79" s="196"/>
      <c r="M79" s="196"/>
      <c r="N79" s="196"/>
      <c r="O79" s="196"/>
      <c r="P79" s="195"/>
      <c r="Q79" s="195"/>
      <c r="R79" s="195"/>
    </row>
    <row r="80" spans="1:18" ht="18" customHeight="1">
      <c r="A80" s="193"/>
      <c r="B80" s="23"/>
      <c r="C80" s="23"/>
      <c r="D80" s="23"/>
      <c r="E80" s="23"/>
      <c r="F80" s="23"/>
      <c r="G80" s="19"/>
      <c r="H80" s="19"/>
      <c r="I80" s="19"/>
      <c r="J80" s="19"/>
      <c r="K80" s="19"/>
      <c r="L80" s="19"/>
      <c r="M80" s="19"/>
      <c r="N80" s="19"/>
      <c r="O80" s="19"/>
      <c r="P80" s="23"/>
      <c r="Q80" s="23"/>
      <c r="R80" s="23"/>
    </row>
    <row r="81" spans="1:18" ht="18" customHeight="1">
      <c r="A81" s="194"/>
      <c r="B81" s="195"/>
      <c r="C81" s="195"/>
      <c r="D81" s="195"/>
      <c r="E81" s="195"/>
      <c r="F81" s="195"/>
      <c r="G81" s="196"/>
      <c r="H81" s="196"/>
      <c r="I81" s="196"/>
      <c r="J81" s="196"/>
      <c r="K81" s="196"/>
      <c r="L81" s="196"/>
      <c r="M81" s="196"/>
      <c r="N81" s="196"/>
      <c r="O81" s="196"/>
      <c r="P81" s="195"/>
      <c r="Q81" s="195"/>
      <c r="R81" s="195"/>
    </row>
    <row r="82" spans="1:18" ht="18" customHeight="1">
      <c r="A82" s="193"/>
      <c r="B82" s="23"/>
      <c r="C82" s="23"/>
      <c r="D82" s="23"/>
      <c r="E82" s="23"/>
      <c r="F82" s="23"/>
      <c r="G82" s="19"/>
      <c r="H82" s="19"/>
      <c r="I82" s="19"/>
      <c r="J82" s="19"/>
      <c r="K82" s="19"/>
      <c r="L82" s="19"/>
      <c r="M82" s="19"/>
      <c r="N82" s="19"/>
      <c r="O82" s="19"/>
      <c r="P82" s="23"/>
      <c r="Q82" s="23"/>
      <c r="R82" s="23"/>
    </row>
    <row r="83" spans="1:18" ht="18" customHeight="1">
      <c r="A83" s="194"/>
      <c r="B83" s="195"/>
      <c r="C83" s="195"/>
      <c r="D83" s="195"/>
      <c r="E83" s="195"/>
      <c r="F83" s="195"/>
      <c r="G83" s="196"/>
      <c r="H83" s="196"/>
      <c r="I83" s="196"/>
      <c r="J83" s="196"/>
      <c r="K83" s="196"/>
      <c r="L83" s="196"/>
      <c r="M83" s="196"/>
      <c r="N83" s="196"/>
      <c r="O83" s="196"/>
      <c r="P83" s="195"/>
      <c r="Q83" s="195"/>
      <c r="R83" s="195"/>
    </row>
    <row r="84" spans="1:18" ht="18" customHeight="1">
      <c r="A84" s="193"/>
      <c r="B84" s="23"/>
      <c r="C84" s="23"/>
      <c r="D84" s="23"/>
      <c r="E84" s="23"/>
      <c r="F84" s="23"/>
      <c r="G84" s="19"/>
      <c r="H84" s="19"/>
      <c r="I84" s="19"/>
      <c r="J84" s="19"/>
      <c r="K84" s="19"/>
      <c r="L84" s="19"/>
      <c r="M84" s="19"/>
      <c r="N84" s="19"/>
      <c r="O84" s="19"/>
      <c r="P84" s="23"/>
      <c r="Q84" s="23"/>
      <c r="R84" s="23"/>
    </row>
    <row r="85" spans="1:18" ht="18" customHeight="1">
      <c r="A85" s="194"/>
      <c r="B85" s="195"/>
      <c r="C85" s="195"/>
      <c r="D85" s="195"/>
      <c r="E85" s="195"/>
      <c r="F85" s="195"/>
      <c r="G85" s="196"/>
      <c r="H85" s="196"/>
      <c r="I85" s="196"/>
      <c r="J85" s="196"/>
      <c r="K85" s="196"/>
      <c r="L85" s="196"/>
      <c r="M85" s="196"/>
      <c r="N85" s="196"/>
      <c r="O85" s="196"/>
      <c r="P85" s="195"/>
      <c r="Q85" s="195"/>
      <c r="R85" s="195"/>
    </row>
    <row r="86" spans="1:18" ht="18" customHeight="1">
      <c r="A86" s="193"/>
      <c r="B86" s="23"/>
      <c r="C86" s="23"/>
      <c r="D86" s="23"/>
      <c r="E86" s="23"/>
      <c r="F86" s="23"/>
      <c r="G86" s="19"/>
      <c r="H86" s="19"/>
      <c r="I86" s="19"/>
      <c r="J86" s="19"/>
      <c r="K86" s="19"/>
      <c r="L86" s="19"/>
      <c r="M86" s="19"/>
      <c r="N86" s="19"/>
      <c r="O86" s="19"/>
      <c r="P86" s="23"/>
      <c r="Q86" s="23"/>
      <c r="R86" s="23"/>
    </row>
    <row r="87" spans="1:18" ht="18" customHeight="1">
      <c r="A87" s="194"/>
      <c r="B87" s="195"/>
      <c r="C87" s="195"/>
      <c r="D87" s="195"/>
      <c r="E87" s="195"/>
      <c r="F87" s="195"/>
      <c r="G87" s="196"/>
      <c r="H87" s="196"/>
      <c r="I87" s="196"/>
      <c r="J87" s="196"/>
      <c r="K87" s="196"/>
      <c r="L87" s="196"/>
      <c r="M87" s="196"/>
      <c r="N87" s="196"/>
      <c r="O87" s="196"/>
      <c r="P87" s="195"/>
      <c r="Q87" s="195"/>
      <c r="R87" s="195"/>
    </row>
    <row r="88" spans="1:18" ht="18" customHeight="1">
      <c r="A88" s="193"/>
      <c r="B88" s="23"/>
      <c r="C88" s="23"/>
      <c r="D88" s="23"/>
      <c r="E88" s="23"/>
      <c r="F88" s="23"/>
      <c r="G88" s="19"/>
      <c r="H88" s="19"/>
      <c r="I88" s="19"/>
      <c r="J88" s="19"/>
      <c r="K88" s="19"/>
      <c r="L88" s="19"/>
      <c r="M88" s="19"/>
      <c r="N88" s="19"/>
      <c r="O88" s="19"/>
      <c r="P88" s="23"/>
      <c r="Q88" s="23"/>
      <c r="R88" s="23"/>
    </row>
    <row r="89" spans="1:18" ht="18" customHeight="1">
      <c r="A89" s="194"/>
      <c r="B89" s="195"/>
      <c r="C89" s="195"/>
      <c r="D89" s="195"/>
      <c r="E89" s="195"/>
      <c r="F89" s="195"/>
      <c r="G89" s="196"/>
      <c r="H89" s="196"/>
      <c r="I89" s="196"/>
      <c r="J89" s="196"/>
      <c r="K89" s="196"/>
      <c r="L89" s="196"/>
      <c r="M89" s="196"/>
      <c r="N89" s="196"/>
      <c r="O89" s="196"/>
      <c r="P89" s="195"/>
      <c r="Q89" s="195"/>
      <c r="R89" s="195"/>
    </row>
    <row r="90" spans="1:18" ht="18" customHeight="1">
      <c r="A90" s="193"/>
      <c r="B90" s="23"/>
      <c r="C90" s="23"/>
      <c r="D90" s="23"/>
      <c r="E90" s="23"/>
      <c r="F90" s="23"/>
      <c r="G90" s="19"/>
      <c r="H90" s="19"/>
      <c r="I90" s="19"/>
      <c r="J90" s="19"/>
      <c r="K90" s="19"/>
      <c r="L90" s="19"/>
      <c r="M90" s="19"/>
      <c r="N90" s="19"/>
      <c r="O90" s="19"/>
      <c r="P90" s="23"/>
      <c r="Q90" s="23"/>
      <c r="R90" s="23"/>
    </row>
    <row r="91" spans="1:18" ht="18" customHeight="1">
      <c r="A91" s="194"/>
      <c r="B91" s="195"/>
      <c r="C91" s="195"/>
      <c r="D91" s="195"/>
      <c r="E91" s="195"/>
      <c r="F91" s="195"/>
      <c r="G91" s="196"/>
      <c r="H91" s="196"/>
      <c r="I91" s="196"/>
      <c r="J91" s="196"/>
      <c r="K91" s="196"/>
      <c r="L91" s="196"/>
      <c r="M91" s="196"/>
      <c r="N91" s="196"/>
      <c r="O91" s="196"/>
      <c r="P91" s="195"/>
      <c r="Q91" s="195"/>
      <c r="R91" s="195"/>
    </row>
    <row r="92" spans="1:18" ht="18" customHeight="1">
      <c r="A92" s="193"/>
      <c r="B92" s="23"/>
      <c r="C92" s="23"/>
      <c r="D92" s="23"/>
      <c r="E92" s="23"/>
      <c r="F92" s="23"/>
      <c r="G92" s="19"/>
      <c r="H92" s="19"/>
      <c r="I92" s="19"/>
      <c r="J92" s="19"/>
      <c r="K92" s="19"/>
      <c r="L92" s="19"/>
      <c r="M92" s="19"/>
      <c r="N92" s="19"/>
      <c r="O92" s="19"/>
      <c r="P92" s="23"/>
      <c r="Q92" s="23"/>
      <c r="R92" s="23"/>
    </row>
    <row r="93" spans="1:18" ht="18" customHeight="1">
      <c r="A93" s="194"/>
      <c r="B93" s="195"/>
      <c r="C93" s="195"/>
      <c r="D93" s="195"/>
      <c r="E93" s="195"/>
      <c r="F93" s="195"/>
      <c r="G93" s="196"/>
      <c r="H93" s="196"/>
      <c r="I93" s="196"/>
      <c r="J93" s="196"/>
      <c r="K93" s="196"/>
      <c r="L93" s="196"/>
      <c r="M93" s="196"/>
      <c r="N93" s="196"/>
      <c r="O93" s="196"/>
      <c r="P93" s="195"/>
      <c r="Q93" s="195"/>
      <c r="R93" s="195"/>
    </row>
    <row r="94" spans="1:18" ht="18" customHeight="1">
      <c r="A94" s="193"/>
      <c r="B94" s="23"/>
      <c r="C94" s="23"/>
      <c r="D94" s="23"/>
      <c r="E94" s="23"/>
      <c r="F94" s="23"/>
      <c r="G94" s="19"/>
      <c r="H94" s="19"/>
      <c r="I94" s="19"/>
      <c r="J94" s="19"/>
      <c r="K94" s="19"/>
      <c r="L94" s="19"/>
      <c r="M94" s="19"/>
      <c r="N94" s="19"/>
      <c r="O94" s="19"/>
      <c r="P94" s="23"/>
      <c r="Q94" s="23"/>
      <c r="R94" s="23"/>
    </row>
    <row r="95" spans="1:18" ht="18" customHeight="1">
      <c r="A95" s="194"/>
      <c r="B95" s="195"/>
      <c r="C95" s="195"/>
      <c r="D95" s="195"/>
      <c r="E95" s="195"/>
      <c r="F95" s="195"/>
      <c r="G95" s="196"/>
      <c r="H95" s="196"/>
      <c r="I95" s="196"/>
      <c r="J95" s="196"/>
      <c r="K95" s="196"/>
      <c r="L95" s="196"/>
      <c r="M95" s="196"/>
      <c r="N95" s="196"/>
      <c r="O95" s="196"/>
      <c r="P95" s="195"/>
      <c r="Q95" s="195"/>
      <c r="R95" s="195"/>
    </row>
    <row r="96" spans="1:18" ht="18" customHeight="1">
      <c r="A96" s="193"/>
      <c r="B96" s="23"/>
      <c r="C96" s="23"/>
      <c r="D96" s="23"/>
      <c r="E96" s="23"/>
      <c r="F96" s="23"/>
      <c r="G96" s="19"/>
      <c r="H96" s="19"/>
      <c r="I96" s="19"/>
      <c r="J96" s="19"/>
      <c r="K96" s="19"/>
      <c r="L96" s="19"/>
      <c r="M96" s="19"/>
      <c r="N96" s="19"/>
      <c r="O96" s="19"/>
      <c r="P96" s="23"/>
      <c r="Q96" s="23"/>
      <c r="R96" s="23"/>
    </row>
    <row r="97" spans="1:18" ht="18" customHeight="1">
      <c r="A97" s="194"/>
      <c r="B97" s="195"/>
      <c r="C97" s="195"/>
      <c r="D97" s="195"/>
      <c r="E97" s="195"/>
      <c r="F97" s="195"/>
      <c r="G97" s="196"/>
      <c r="H97" s="196"/>
      <c r="I97" s="196"/>
      <c r="J97" s="196"/>
      <c r="K97" s="196"/>
      <c r="L97" s="196"/>
      <c r="M97" s="196"/>
      <c r="N97" s="196"/>
      <c r="O97" s="196"/>
      <c r="P97" s="195"/>
      <c r="Q97" s="195"/>
      <c r="R97" s="195"/>
    </row>
    <row r="98" spans="1:18" ht="18" customHeight="1">
      <c r="A98" s="193"/>
      <c r="B98" s="23"/>
      <c r="C98" s="23"/>
      <c r="D98" s="23"/>
      <c r="E98" s="23"/>
      <c r="F98" s="23"/>
      <c r="G98" s="19"/>
      <c r="H98" s="19"/>
      <c r="I98" s="19"/>
      <c r="J98" s="19"/>
      <c r="K98" s="19"/>
      <c r="L98" s="19"/>
      <c r="M98" s="19"/>
      <c r="N98" s="19"/>
      <c r="O98" s="19"/>
      <c r="P98" s="23"/>
      <c r="Q98" s="23"/>
      <c r="R98" s="23"/>
    </row>
    <row r="99" spans="1:18" ht="18" customHeight="1">
      <c r="A99" s="194"/>
      <c r="B99" s="195"/>
      <c r="C99" s="195"/>
      <c r="D99" s="195"/>
      <c r="E99" s="195"/>
      <c r="F99" s="195"/>
      <c r="G99" s="196"/>
      <c r="H99" s="196"/>
      <c r="I99" s="196"/>
      <c r="J99" s="196"/>
      <c r="K99" s="196"/>
      <c r="L99" s="196"/>
      <c r="M99" s="196"/>
      <c r="N99" s="196"/>
      <c r="O99" s="196"/>
      <c r="P99" s="195"/>
      <c r="Q99" s="195"/>
      <c r="R99" s="195"/>
    </row>
    <row r="100" spans="1:18" ht="18" customHeight="1">
      <c r="A100" s="193"/>
      <c r="B100" s="23"/>
      <c r="C100" s="23"/>
      <c r="D100" s="23"/>
      <c r="E100" s="23"/>
      <c r="F100" s="23"/>
      <c r="G100" s="19"/>
      <c r="H100" s="19"/>
      <c r="I100" s="19"/>
      <c r="J100" s="19"/>
      <c r="K100" s="19"/>
      <c r="L100" s="19"/>
      <c r="M100" s="19"/>
      <c r="N100" s="19"/>
      <c r="O100" s="19"/>
      <c r="P100" s="23"/>
      <c r="Q100" s="23"/>
      <c r="R100" s="23"/>
    </row>
    <row r="101" spans="1:18" ht="18" customHeight="1">
      <c r="A101" s="194"/>
      <c r="B101" s="195"/>
      <c r="C101" s="195"/>
      <c r="D101" s="195"/>
      <c r="E101" s="195"/>
      <c r="F101" s="195"/>
      <c r="G101" s="196"/>
      <c r="H101" s="196"/>
      <c r="I101" s="196"/>
      <c r="J101" s="196"/>
      <c r="K101" s="196"/>
      <c r="L101" s="196"/>
      <c r="M101" s="196"/>
      <c r="N101" s="196"/>
      <c r="O101" s="196"/>
      <c r="P101" s="195"/>
      <c r="Q101" s="195"/>
      <c r="R101" s="195"/>
    </row>
    <row r="102" spans="1:18" ht="18" customHeight="1">
      <c r="A102" s="193"/>
      <c r="B102" s="23"/>
      <c r="C102" s="23"/>
      <c r="D102" s="23"/>
      <c r="E102" s="23"/>
      <c r="F102" s="23"/>
      <c r="G102" s="19"/>
      <c r="H102" s="19"/>
      <c r="I102" s="19"/>
      <c r="J102" s="19"/>
      <c r="K102" s="19"/>
      <c r="L102" s="19"/>
      <c r="M102" s="19"/>
      <c r="N102" s="19"/>
      <c r="O102" s="19"/>
      <c r="P102" s="23"/>
      <c r="Q102" s="23"/>
      <c r="R102" s="23"/>
    </row>
    <row r="103" spans="1:18" ht="18" customHeight="1">
      <c r="A103" s="194"/>
      <c r="B103" s="195"/>
      <c r="C103" s="195"/>
      <c r="D103" s="195"/>
      <c r="E103" s="195"/>
      <c r="F103" s="195"/>
      <c r="G103" s="196"/>
      <c r="H103" s="196"/>
      <c r="I103" s="196"/>
      <c r="J103" s="196"/>
      <c r="K103" s="196"/>
      <c r="L103" s="196"/>
      <c r="M103" s="196"/>
      <c r="N103" s="196"/>
      <c r="O103" s="196"/>
      <c r="P103" s="195"/>
      <c r="Q103" s="195"/>
      <c r="R103" s="195"/>
    </row>
    <row r="104" spans="1:18" ht="18" customHeight="1">
      <c r="A104" s="193"/>
      <c r="B104" s="23"/>
      <c r="C104" s="23"/>
      <c r="D104" s="23"/>
      <c r="E104" s="23"/>
      <c r="F104" s="23"/>
      <c r="G104" s="19"/>
      <c r="H104" s="19"/>
      <c r="I104" s="19"/>
      <c r="J104" s="19"/>
      <c r="K104" s="19"/>
      <c r="L104" s="19"/>
      <c r="M104" s="19"/>
      <c r="N104" s="19"/>
      <c r="O104" s="19"/>
      <c r="P104" s="23"/>
      <c r="Q104" s="23"/>
      <c r="R104" s="23"/>
    </row>
    <row r="105" spans="1:18" ht="18" customHeight="1">
      <c r="A105" s="194"/>
      <c r="B105" s="195"/>
      <c r="C105" s="195"/>
      <c r="D105" s="195"/>
      <c r="E105" s="195"/>
      <c r="F105" s="195"/>
      <c r="G105" s="196"/>
      <c r="H105" s="196"/>
      <c r="I105" s="196"/>
      <c r="J105" s="196"/>
      <c r="K105" s="196"/>
      <c r="L105" s="196"/>
      <c r="M105" s="196"/>
      <c r="N105" s="196"/>
      <c r="O105" s="196"/>
      <c r="P105" s="195"/>
      <c r="Q105" s="195"/>
      <c r="R105" s="195"/>
    </row>
    <row r="106" spans="1:18" ht="18" customHeight="1">
      <c r="A106" s="193"/>
      <c r="B106" s="23"/>
      <c r="C106" s="23"/>
      <c r="D106" s="23"/>
      <c r="E106" s="23"/>
      <c r="F106" s="23"/>
      <c r="G106" s="19"/>
      <c r="H106" s="19"/>
      <c r="I106" s="19"/>
      <c r="J106" s="19"/>
      <c r="K106" s="19"/>
      <c r="L106" s="19"/>
      <c r="M106" s="19"/>
      <c r="N106" s="19"/>
      <c r="O106" s="19"/>
      <c r="P106" s="23"/>
      <c r="Q106" s="23"/>
      <c r="R106" s="23"/>
    </row>
    <row r="107" spans="1:18" ht="18" customHeight="1">
      <c r="A107" s="194"/>
      <c r="B107" s="195"/>
      <c r="C107" s="195"/>
      <c r="D107" s="195"/>
      <c r="E107" s="195"/>
      <c r="F107" s="195"/>
      <c r="G107" s="196"/>
      <c r="H107" s="196"/>
      <c r="I107" s="196"/>
      <c r="J107" s="196"/>
      <c r="K107" s="196"/>
      <c r="L107" s="196"/>
      <c r="M107" s="196"/>
      <c r="N107" s="196"/>
      <c r="O107" s="196"/>
      <c r="P107" s="195"/>
      <c r="Q107" s="195"/>
      <c r="R107" s="195"/>
    </row>
    <row r="108" spans="1:18" ht="18" customHeight="1">
      <c r="A108" s="193"/>
      <c r="B108" s="23"/>
      <c r="C108" s="23"/>
      <c r="D108" s="23"/>
      <c r="E108" s="23"/>
      <c r="F108" s="23"/>
      <c r="G108" s="19"/>
      <c r="H108" s="19"/>
      <c r="I108" s="19"/>
      <c r="J108" s="19"/>
      <c r="K108" s="19"/>
      <c r="L108" s="19"/>
      <c r="M108" s="19"/>
      <c r="N108" s="19"/>
      <c r="O108" s="19"/>
      <c r="P108" s="23"/>
      <c r="Q108" s="23"/>
      <c r="R108" s="23"/>
    </row>
    <row r="109" spans="1:18" ht="18" customHeight="1">
      <c r="A109" s="194"/>
      <c r="B109" s="195"/>
      <c r="C109" s="195"/>
      <c r="D109" s="195"/>
      <c r="E109" s="195"/>
      <c r="F109" s="195"/>
      <c r="G109" s="196"/>
      <c r="H109" s="196"/>
      <c r="I109" s="196"/>
      <c r="J109" s="196"/>
      <c r="K109" s="196"/>
      <c r="L109" s="196"/>
      <c r="M109" s="196"/>
      <c r="N109" s="196"/>
      <c r="O109" s="196"/>
      <c r="P109" s="195"/>
      <c r="Q109" s="195"/>
      <c r="R109" s="195"/>
    </row>
    <row r="110" spans="1:18" ht="18" customHeight="1">
      <c r="A110" s="193"/>
      <c r="B110" s="23"/>
      <c r="C110" s="23"/>
      <c r="D110" s="23"/>
      <c r="E110" s="23"/>
      <c r="F110" s="23"/>
      <c r="G110" s="19"/>
      <c r="H110" s="19"/>
      <c r="I110" s="19"/>
      <c r="J110" s="19"/>
      <c r="K110" s="19"/>
      <c r="L110" s="19"/>
      <c r="M110" s="19"/>
      <c r="N110" s="19"/>
      <c r="O110" s="19"/>
      <c r="P110" s="23"/>
      <c r="Q110" s="23"/>
      <c r="R110" s="23"/>
    </row>
    <row r="111" spans="1:18" ht="18" customHeight="1">
      <c r="A111" s="194"/>
      <c r="B111" s="195"/>
      <c r="C111" s="195"/>
      <c r="D111" s="195"/>
      <c r="E111" s="195"/>
      <c r="F111" s="195"/>
      <c r="G111" s="196"/>
      <c r="H111" s="196"/>
      <c r="I111" s="196"/>
      <c r="J111" s="196"/>
      <c r="K111" s="196"/>
      <c r="L111" s="196"/>
      <c r="M111" s="196"/>
      <c r="N111" s="196"/>
      <c r="O111" s="196"/>
      <c r="P111" s="195"/>
      <c r="Q111" s="195"/>
      <c r="R111" s="195"/>
    </row>
    <row r="112" spans="1:18" ht="18" customHeight="1">
      <c r="A112" s="193"/>
      <c r="B112" s="23"/>
      <c r="C112" s="23"/>
      <c r="D112" s="23"/>
      <c r="E112" s="23"/>
      <c r="F112" s="23"/>
      <c r="G112" s="19"/>
      <c r="H112" s="19"/>
      <c r="I112" s="19"/>
      <c r="J112" s="19"/>
      <c r="K112" s="19"/>
      <c r="L112" s="19"/>
      <c r="M112" s="19"/>
      <c r="N112" s="19"/>
      <c r="O112" s="19"/>
      <c r="P112" s="23"/>
      <c r="Q112" s="23"/>
      <c r="R112" s="23"/>
    </row>
    <row r="113" spans="1:18" ht="18" customHeight="1">
      <c r="A113" s="194"/>
      <c r="B113" s="195"/>
      <c r="C113" s="195"/>
      <c r="D113" s="195"/>
      <c r="E113" s="195"/>
      <c r="F113" s="195"/>
      <c r="G113" s="196"/>
      <c r="H113" s="196"/>
      <c r="I113" s="196"/>
      <c r="J113" s="196"/>
      <c r="K113" s="196"/>
      <c r="L113" s="196"/>
      <c r="M113" s="196"/>
      <c r="N113" s="196"/>
      <c r="O113" s="196"/>
      <c r="P113" s="195"/>
      <c r="Q113" s="195"/>
      <c r="R113" s="195"/>
    </row>
    <row r="114" spans="1:18" ht="18" customHeight="1">
      <c r="A114" s="193"/>
      <c r="B114" s="23"/>
      <c r="C114" s="23"/>
      <c r="D114" s="23"/>
      <c r="E114" s="23"/>
      <c r="F114" s="23"/>
      <c r="G114" s="19"/>
      <c r="H114" s="19"/>
      <c r="I114" s="19"/>
      <c r="J114" s="19"/>
      <c r="K114" s="19"/>
      <c r="L114" s="19"/>
      <c r="M114" s="19"/>
      <c r="N114" s="19"/>
      <c r="O114" s="19"/>
      <c r="P114" s="23"/>
      <c r="Q114" s="23"/>
      <c r="R114" s="23"/>
    </row>
    <row r="115" spans="1:18" ht="18" customHeight="1">
      <c r="A115" s="194"/>
      <c r="B115" s="195"/>
      <c r="C115" s="195"/>
      <c r="D115" s="195"/>
      <c r="E115" s="195"/>
      <c r="F115" s="195"/>
      <c r="G115" s="196"/>
      <c r="H115" s="196"/>
      <c r="I115" s="196"/>
      <c r="J115" s="196"/>
      <c r="K115" s="196"/>
      <c r="L115" s="196"/>
      <c r="M115" s="196"/>
      <c r="N115" s="196"/>
      <c r="O115" s="196"/>
      <c r="P115" s="195"/>
      <c r="Q115" s="195"/>
      <c r="R115" s="195"/>
    </row>
    <row r="116" spans="1:18" ht="18" customHeight="1">
      <c r="A116" s="193"/>
      <c r="B116" s="23"/>
      <c r="C116" s="23"/>
      <c r="D116" s="23"/>
      <c r="E116" s="23"/>
      <c r="F116" s="23"/>
      <c r="G116" s="19"/>
      <c r="H116" s="19"/>
      <c r="I116" s="19"/>
      <c r="J116" s="19"/>
      <c r="K116" s="19"/>
      <c r="L116" s="19"/>
      <c r="M116" s="19"/>
      <c r="N116" s="19"/>
      <c r="O116" s="19"/>
      <c r="P116" s="23"/>
      <c r="Q116" s="23"/>
      <c r="R116" s="23"/>
    </row>
    <row r="117" spans="1:18" ht="18" customHeight="1">
      <c r="A117" s="194"/>
      <c r="B117" s="195"/>
      <c r="C117" s="195"/>
      <c r="D117" s="195"/>
      <c r="E117" s="195"/>
      <c r="F117" s="195"/>
      <c r="G117" s="196"/>
      <c r="H117" s="196"/>
      <c r="I117" s="196"/>
      <c r="J117" s="196"/>
      <c r="K117" s="196"/>
      <c r="L117" s="196"/>
      <c r="M117" s="196"/>
      <c r="N117" s="196"/>
      <c r="O117" s="196"/>
      <c r="P117" s="195"/>
      <c r="Q117" s="195"/>
      <c r="R117" s="195"/>
    </row>
    <row r="118" spans="1:18" ht="18" customHeight="1">
      <c r="A118" s="193"/>
      <c r="B118" s="23"/>
      <c r="C118" s="23"/>
      <c r="D118" s="23"/>
      <c r="E118" s="23"/>
      <c r="F118" s="23"/>
      <c r="G118" s="19"/>
      <c r="H118" s="19"/>
      <c r="I118" s="19"/>
      <c r="J118" s="19"/>
      <c r="K118" s="19"/>
      <c r="L118" s="19"/>
      <c r="M118" s="19"/>
      <c r="N118" s="19"/>
      <c r="O118" s="19"/>
      <c r="P118" s="23"/>
      <c r="Q118" s="23"/>
      <c r="R118" s="23"/>
    </row>
    <row r="119" spans="1:18" ht="18" customHeight="1">
      <c r="A119" s="194"/>
      <c r="B119" s="195"/>
      <c r="C119" s="195"/>
      <c r="D119" s="195"/>
      <c r="E119" s="195"/>
      <c r="F119" s="195"/>
      <c r="G119" s="196"/>
      <c r="H119" s="196"/>
      <c r="I119" s="196"/>
      <c r="J119" s="196"/>
      <c r="K119" s="196"/>
      <c r="L119" s="196"/>
      <c r="M119" s="196"/>
      <c r="N119" s="196"/>
      <c r="O119" s="196"/>
      <c r="P119" s="195"/>
      <c r="Q119" s="195"/>
      <c r="R119" s="195"/>
    </row>
    <row r="120" spans="1:18" ht="18" customHeight="1">
      <c r="A120" s="193"/>
      <c r="B120" s="23"/>
      <c r="C120" s="23"/>
      <c r="D120" s="23"/>
      <c r="E120" s="23"/>
      <c r="F120" s="23"/>
      <c r="G120" s="19"/>
      <c r="H120" s="19"/>
      <c r="I120" s="19"/>
      <c r="J120" s="19"/>
      <c r="K120" s="19"/>
      <c r="L120" s="19"/>
      <c r="M120" s="19"/>
      <c r="N120" s="19"/>
      <c r="O120" s="19"/>
      <c r="P120" s="23"/>
      <c r="Q120" s="23"/>
      <c r="R120" s="23"/>
    </row>
    <row r="121" spans="1:18" ht="18" customHeight="1">
      <c r="A121" s="194"/>
      <c r="B121" s="195"/>
      <c r="C121" s="195"/>
      <c r="D121" s="195"/>
      <c r="E121" s="195"/>
      <c r="F121" s="195"/>
      <c r="G121" s="196"/>
      <c r="H121" s="196"/>
      <c r="I121" s="196"/>
      <c r="J121" s="196"/>
      <c r="K121" s="196"/>
      <c r="L121" s="196"/>
      <c r="M121" s="196"/>
      <c r="N121" s="196"/>
      <c r="O121" s="196"/>
      <c r="P121" s="195"/>
      <c r="Q121" s="195"/>
      <c r="R121" s="195"/>
    </row>
    <row r="122" spans="1:18" ht="18" customHeight="1">
      <c r="A122" s="193"/>
      <c r="B122" s="23"/>
      <c r="C122" s="23"/>
      <c r="D122" s="23"/>
      <c r="E122" s="23"/>
      <c r="F122" s="23"/>
      <c r="G122" s="19"/>
      <c r="H122" s="19"/>
      <c r="I122" s="19"/>
      <c r="J122" s="19"/>
      <c r="K122" s="19"/>
      <c r="L122" s="19"/>
      <c r="M122" s="19"/>
      <c r="N122" s="19"/>
      <c r="O122" s="19"/>
      <c r="P122" s="23"/>
      <c r="Q122" s="23"/>
      <c r="R122" s="23"/>
    </row>
    <row r="123" spans="1:18" ht="18" customHeight="1">
      <c r="A123" s="194"/>
      <c r="B123" s="195"/>
      <c r="C123" s="195"/>
      <c r="D123" s="195"/>
      <c r="E123" s="195"/>
      <c r="F123" s="195"/>
      <c r="G123" s="196"/>
      <c r="H123" s="196"/>
      <c r="I123" s="196"/>
      <c r="J123" s="196"/>
      <c r="K123" s="196"/>
      <c r="L123" s="196"/>
      <c r="M123" s="196"/>
      <c r="N123" s="196"/>
      <c r="O123" s="196"/>
      <c r="P123" s="195"/>
      <c r="Q123" s="195"/>
      <c r="R123" s="195"/>
    </row>
    <row r="124" spans="1:18" ht="18" customHeight="1">
      <c r="A124" s="193"/>
      <c r="B124" s="23"/>
      <c r="C124" s="23"/>
      <c r="D124" s="23"/>
      <c r="E124" s="23"/>
      <c r="F124" s="23"/>
      <c r="G124" s="19"/>
      <c r="H124" s="19"/>
      <c r="I124" s="19"/>
      <c r="J124" s="19"/>
      <c r="K124" s="19"/>
      <c r="L124" s="19"/>
      <c r="M124" s="19"/>
      <c r="N124" s="19"/>
      <c r="O124" s="19"/>
      <c r="P124" s="23"/>
      <c r="Q124" s="23"/>
      <c r="R124" s="23"/>
    </row>
    <row r="125" spans="1:18" ht="18" customHeight="1">
      <c r="A125" s="194"/>
      <c r="B125" s="195"/>
      <c r="C125" s="195"/>
      <c r="D125" s="195"/>
      <c r="E125" s="195"/>
      <c r="F125" s="195"/>
      <c r="G125" s="196"/>
      <c r="H125" s="196"/>
      <c r="I125" s="196"/>
      <c r="J125" s="196"/>
      <c r="K125" s="196"/>
      <c r="L125" s="196"/>
      <c r="M125" s="196"/>
      <c r="N125" s="196"/>
      <c r="O125" s="196"/>
      <c r="P125" s="195"/>
      <c r="Q125" s="195"/>
      <c r="R125" s="195"/>
    </row>
    <row r="126" spans="1:18" ht="18" customHeight="1">
      <c r="A126" s="193"/>
      <c r="B126" s="23"/>
      <c r="C126" s="23"/>
      <c r="D126" s="23"/>
      <c r="E126" s="23"/>
      <c r="F126" s="23"/>
      <c r="G126" s="19"/>
      <c r="H126" s="19"/>
      <c r="I126" s="19"/>
      <c r="J126" s="19"/>
      <c r="K126" s="19"/>
      <c r="L126" s="19"/>
      <c r="M126" s="19"/>
      <c r="N126" s="19"/>
      <c r="O126" s="19"/>
      <c r="P126" s="23"/>
      <c r="Q126" s="23"/>
      <c r="R126" s="23"/>
    </row>
    <row r="127" spans="1:18" ht="18" customHeight="1">
      <c r="A127" s="194"/>
      <c r="B127" s="195"/>
      <c r="C127" s="195"/>
      <c r="D127" s="195"/>
      <c r="E127" s="195"/>
      <c r="F127" s="195"/>
      <c r="G127" s="196"/>
      <c r="H127" s="196"/>
      <c r="I127" s="196"/>
      <c r="J127" s="196"/>
      <c r="K127" s="196"/>
      <c r="L127" s="196"/>
      <c r="M127" s="196"/>
      <c r="N127" s="196"/>
      <c r="O127" s="196"/>
      <c r="P127" s="195"/>
      <c r="Q127" s="195"/>
      <c r="R127" s="195"/>
    </row>
    <row r="128" spans="1:18" ht="18" customHeight="1">
      <c r="A128" s="193"/>
      <c r="B128" s="23"/>
      <c r="C128" s="23"/>
      <c r="D128" s="23"/>
      <c r="E128" s="23"/>
      <c r="F128" s="23"/>
      <c r="G128" s="19"/>
      <c r="H128" s="19"/>
      <c r="I128" s="19"/>
      <c r="J128" s="19"/>
      <c r="K128" s="19"/>
      <c r="L128" s="19"/>
      <c r="M128" s="19"/>
      <c r="N128" s="19"/>
      <c r="O128" s="19"/>
      <c r="P128" s="23"/>
      <c r="Q128" s="23"/>
      <c r="R128" s="23"/>
    </row>
    <row r="129" spans="1:18" ht="18" customHeight="1">
      <c r="A129" s="194"/>
      <c r="B129" s="195"/>
      <c r="C129" s="195"/>
      <c r="D129" s="195"/>
      <c r="E129" s="195"/>
      <c r="F129" s="195"/>
      <c r="G129" s="196"/>
      <c r="H129" s="196"/>
      <c r="I129" s="196"/>
      <c r="J129" s="196"/>
      <c r="K129" s="196"/>
      <c r="L129" s="196"/>
      <c r="M129" s="196"/>
      <c r="N129" s="196"/>
      <c r="O129" s="196"/>
      <c r="P129" s="195"/>
      <c r="Q129" s="195"/>
      <c r="R129" s="195"/>
    </row>
    <row r="130" spans="1:18" ht="18" customHeight="1">
      <c r="A130" s="193"/>
      <c r="B130" s="23"/>
      <c r="C130" s="23"/>
      <c r="D130" s="23"/>
      <c r="E130" s="23"/>
      <c r="F130" s="23"/>
      <c r="G130" s="19"/>
      <c r="H130" s="19"/>
      <c r="I130" s="19"/>
      <c r="J130" s="19"/>
      <c r="K130" s="19"/>
      <c r="L130" s="19"/>
      <c r="M130" s="19"/>
      <c r="N130" s="19"/>
      <c r="O130" s="19"/>
      <c r="P130" s="23"/>
      <c r="Q130" s="23"/>
      <c r="R130" s="23"/>
    </row>
    <row r="131" spans="1:18" ht="18" customHeight="1">
      <c r="A131" s="194"/>
      <c r="B131" s="195"/>
      <c r="C131" s="195"/>
      <c r="D131" s="195"/>
      <c r="E131" s="195"/>
      <c r="F131" s="195"/>
      <c r="G131" s="196"/>
      <c r="H131" s="196"/>
      <c r="I131" s="196"/>
      <c r="J131" s="196"/>
      <c r="K131" s="196"/>
      <c r="L131" s="196"/>
      <c r="M131" s="196"/>
      <c r="N131" s="196"/>
      <c r="O131" s="196"/>
      <c r="P131" s="195"/>
      <c r="Q131" s="195"/>
      <c r="R131" s="195"/>
    </row>
    <row r="132" spans="1:18" ht="18" customHeight="1">
      <c r="A132" s="193"/>
      <c r="B132" s="23"/>
      <c r="C132" s="23"/>
      <c r="D132" s="23"/>
      <c r="E132" s="23"/>
      <c r="F132" s="23"/>
      <c r="G132" s="19"/>
      <c r="H132" s="19"/>
      <c r="I132" s="19"/>
      <c r="J132" s="19"/>
      <c r="K132" s="19"/>
      <c r="L132" s="19"/>
      <c r="M132" s="19"/>
      <c r="N132" s="19"/>
      <c r="O132" s="19"/>
      <c r="P132" s="23"/>
      <c r="Q132" s="23"/>
      <c r="R132" s="23"/>
    </row>
    <row r="133" spans="1:18" ht="18" customHeight="1">
      <c r="A133" s="194"/>
      <c r="B133" s="195"/>
      <c r="C133" s="195"/>
      <c r="D133" s="195"/>
      <c r="E133" s="195"/>
      <c r="F133" s="195"/>
      <c r="G133" s="196"/>
      <c r="H133" s="196"/>
      <c r="I133" s="196"/>
      <c r="J133" s="196"/>
      <c r="K133" s="196"/>
      <c r="L133" s="196"/>
      <c r="M133" s="196"/>
      <c r="N133" s="196"/>
      <c r="O133" s="196"/>
      <c r="P133" s="195"/>
      <c r="Q133" s="195"/>
      <c r="R133" s="195"/>
    </row>
    <row r="134" spans="1:18" ht="18" customHeight="1">
      <c r="A134" s="193"/>
      <c r="B134" s="23"/>
      <c r="C134" s="23"/>
      <c r="D134" s="23"/>
      <c r="E134" s="23"/>
      <c r="F134" s="23"/>
      <c r="G134" s="19"/>
      <c r="H134" s="19"/>
      <c r="I134" s="19"/>
      <c r="J134" s="19"/>
      <c r="K134" s="19"/>
      <c r="L134" s="19"/>
      <c r="M134" s="19"/>
      <c r="N134" s="19"/>
      <c r="O134" s="19"/>
      <c r="P134" s="23"/>
      <c r="Q134" s="23"/>
      <c r="R134" s="23"/>
    </row>
    <row r="135" spans="1:18" ht="18" customHeight="1">
      <c r="A135" s="194"/>
      <c r="B135" s="195"/>
      <c r="C135" s="195"/>
      <c r="D135" s="195"/>
      <c r="E135" s="195"/>
      <c r="F135" s="195"/>
      <c r="G135" s="196"/>
      <c r="H135" s="196"/>
      <c r="I135" s="196"/>
      <c r="J135" s="196"/>
      <c r="K135" s="196"/>
      <c r="L135" s="196"/>
      <c r="M135" s="196"/>
      <c r="N135" s="196"/>
      <c r="O135" s="196"/>
      <c r="P135" s="195"/>
      <c r="Q135" s="195"/>
      <c r="R135" s="195"/>
    </row>
    <row r="136" spans="1:18" ht="18" customHeight="1">
      <c r="A136" s="193"/>
      <c r="B136" s="23"/>
      <c r="C136" s="23"/>
      <c r="D136" s="23"/>
      <c r="E136" s="23"/>
      <c r="F136" s="23"/>
      <c r="G136" s="19"/>
      <c r="H136" s="19"/>
      <c r="I136" s="19"/>
      <c r="J136" s="19"/>
      <c r="K136" s="19"/>
      <c r="L136" s="19"/>
      <c r="M136" s="19"/>
      <c r="N136" s="19"/>
      <c r="O136" s="19"/>
      <c r="P136" s="23"/>
      <c r="Q136" s="23"/>
      <c r="R136" s="23"/>
    </row>
    <row r="137" spans="1:18" ht="18" customHeight="1">
      <c r="A137" s="194"/>
      <c r="B137" s="195"/>
      <c r="C137" s="195"/>
      <c r="D137" s="195"/>
      <c r="E137" s="195"/>
      <c r="F137" s="195"/>
      <c r="G137" s="196"/>
      <c r="H137" s="196"/>
      <c r="I137" s="196"/>
      <c r="J137" s="196"/>
      <c r="K137" s="196"/>
      <c r="L137" s="196"/>
      <c r="M137" s="196"/>
      <c r="N137" s="196"/>
      <c r="O137" s="196"/>
      <c r="P137" s="195"/>
      <c r="Q137" s="195"/>
      <c r="R137" s="195"/>
    </row>
    <row r="138" spans="1:18" ht="18" customHeight="1">
      <c r="A138" s="193"/>
      <c r="B138" s="23"/>
      <c r="C138" s="23"/>
      <c r="D138" s="23"/>
      <c r="E138" s="23"/>
      <c r="F138" s="23"/>
      <c r="G138" s="19"/>
      <c r="H138" s="19"/>
      <c r="I138" s="19"/>
      <c r="J138" s="19"/>
      <c r="K138" s="19"/>
      <c r="L138" s="19"/>
      <c r="M138" s="19"/>
      <c r="N138" s="19"/>
      <c r="O138" s="19"/>
      <c r="P138" s="23"/>
      <c r="Q138" s="23"/>
      <c r="R138" s="23"/>
    </row>
    <row r="139" spans="1:18" ht="18" customHeight="1">
      <c r="A139" s="194"/>
      <c r="B139" s="195"/>
      <c r="C139" s="195"/>
      <c r="D139" s="195"/>
      <c r="E139" s="195"/>
      <c r="F139" s="195"/>
      <c r="G139" s="196"/>
      <c r="H139" s="196"/>
      <c r="I139" s="196"/>
      <c r="J139" s="196"/>
      <c r="K139" s="196"/>
      <c r="L139" s="196"/>
      <c r="M139" s="196"/>
      <c r="N139" s="196"/>
      <c r="O139" s="196"/>
      <c r="P139" s="195"/>
      <c r="Q139" s="195"/>
      <c r="R139" s="195"/>
    </row>
    <row r="140" spans="1:18" ht="18" customHeight="1">
      <c r="A140" s="193"/>
      <c r="B140" s="23"/>
      <c r="C140" s="23"/>
      <c r="D140" s="23"/>
      <c r="E140" s="23"/>
      <c r="F140" s="23"/>
      <c r="G140" s="19"/>
      <c r="H140" s="19"/>
      <c r="I140" s="19"/>
      <c r="J140" s="19"/>
      <c r="K140" s="19"/>
      <c r="L140" s="19"/>
      <c r="M140" s="19"/>
      <c r="N140" s="19"/>
      <c r="O140" s="19"/>
      <c r="P140" s="23"/>
      <c r="Q140" s="23"/>
      <c r="R140" s="23"/>
    </row>
    <row r="141" spans="1:18" ht="18" customHeight="1">
      <c r="A141" s="194"/>
      <c r="B141" s="195"/>
      <c r="C141" s="195"/>
      <c r="D141" s="195"/>
      <c r="E141" s="195"/>
      <c r="F141" s="195"/>
      <c r="G141" s="196"/>
      <c r="H141" s="196"/>
      <c r="I141" s="196"/>
      <c r="J141" s="196"/>
      <c r="K141" s="196"/>
      <c r="L141" s="196"/>
      <c r="M141" s="196"/>
      <c r="N141" s="196"/>
      <c r="O141" s="196"/>
      <c r="P141" s="195"/>
      <c r="Q141" s="195"/>
      <c r="R141" s="195"/>
    </row>
    <row r="142" spans="1:18" ht="18" customHeight="1">
      <c r="A142" s="193"/>
      <c r="B142" s="23"/>
      <c r="C142" s="23"/>
      <c r="D142" s="23"/>
      <c r="E142" s="23"/>
      <c r="F142" s="23"/>
      <c r="G142" s="19"/>
      <c r="H142" s="19"/>
      <c r="I142" s="19"/>
      <c r="J142" s="19"/>
      <c r="K142" s="19"/>
      <c r="L142" s="19"/>
      <c r="M142" s="19"/>
      <c r="N142" s="19"/>
      <c r="O142" s="19"/>
      <c r="P142" s="23"/>
      <c r="Q142" s="23"/>
      <c r="R142" s="23"/>
    </row>
    <row r="143" spans="1:18" ht="18" customHeight="1">
      <c r="A143" s="194"/>
      <c r="B143" s="195"/>
      <c r="C143" s="195"/>
      <c r="D143" s="195"/>
      <c r="E143" s="195"/>
      <c r="F143" s="195"/>
      <c r="G143" s="196"/>
      <c r="H143" s="196"/>
      <c r="I143" s="196"/>
      <c r="J143" s="196"/>
      <c r="K143" s="196"/>
      <c r="L143" s="196"/>
      <c r="M143" s="196"/>
      <c r="N143" s="196"/>
      <c r="O143" s="196"/>
      <c r="P143" s="195"/>
      <c r="Q143" s="195"/>
      <c r="R143" s="195"/>
    </row>
    <row r="144" spans="1:18" ht="18" customHeight="1">
      <c r="A144" s="193"/>
      <c r="B144" s="23"/>
      <c r="C144" s="23"/>
      <c r="D144" s="23"/>
      <c r="E144" s="23"/>
      <c r="F144" s="23"/>
      <c r="G144" s="19"/>
      <c r="H144" s="19"/>
      <c r="I144" s="19"/>
      <c r="J144" s="19"/>
      <c r="K144" s="19"/>
      <c r="L144" s="19"/>
      <c r="M144" s="19"/>
      <c r="N144" s="19"/>
      <c r="O144" s="19"/>
      <c r="P144" s="23"/>
      <c r="Q144" s="23"/>
      <c r="R144" s="23"/>
    </row>
    <row r="145" spans="1:18" ht="18" customHeight="1">
      <c r="A145" s="194"/>
      <c r="B145" s="195"/>
      <c r="C145" s="195"/>
      <c r="D145" s="195"/>
      <c r="E145" s="195"/>
      <c r="F145" s="195"/>
      <c r="G145" s="196"/>
      <c r="H145" s="196"/>
      <c r="I145" s="196"/>
      <c r="J145" s="196"/>
      <c r="K145" s="196"/>
      <c r="L145" s="196"/>
      <c r="M145" s="196"/>
      <c r="N145" s="196"/>
      <c r="O145" s="196"/>
      <c r="P145" s="195"/>
      <c r="Q145" s="195"/>
      <c r="R145" s="195"/>
    </row>
    <row r="146" spans="1:18" ht="18" customHeight="1">
      <c r="A146" s="193"/>
      <c r="B146" s="23"/>
      <c r="C146" s="23"/>
      <c r="D146" s="23"/>
      <c r="E146" s="23"/>
      <c r="F146" s="23"/>
      <c r="G146" s="19"/>
      <c r="H146" s="19"/>
      <c r="I146" s="19"/>
      <c r="J146" s="19"/>
      <c r="K146" s="19"/>
      <c r="L146" s="19"/>
      <c r="M146" s="19"/>
      <c r="N146" s="19"/>
      <c r="O146" s="19"/>
      <c r="P146" s="23"/>
      <c r="Q146" s="23"/>
      <c r="R146" s="23"/>
    </row>
    <row r="147" spans="1:18" ht="18" customHeight="1">
      <c r="A147" s="194"/>
      <c r="B147" s="195"/>
      <c r="C147" s="195"/>
      <c r="D147" s="195"/>
      <c r="E147" s="195"/>
      <c r="F147" s="195"/>
      <c r="G147" s="196"/>
      <c r="H147" s="196"/>
      <c r="I147" s="196"/>
      <c r="J147" s="196"/>
      <c r="K147" s="196"/>
      <c r="L147" s="196"/>
      <c r="M147" s="196"/>
      <c r="N147" s="196"/>
      <c r="O147" s="196"/>
      <c r="P147" s="195"/>
      <c r="Q147" s="195"/>
      <c r="R147" s="195"/>
    </row>
    <row r="148" spans="1:18" ht="18" customHeight="1">
      <c r="A148" s="193"/>
      <c r="B148" s="23"/>
      <c r="C148" s="23"/>
      <c r="D148" s="23"/>
      <c r="E148" s="23"/>
      <c r="F148" s="23"/>
      <c r="G148" s="19"/>
      <c r="H148" s="19"/>
      <c r="I148" s="19"/>
      <c r="J148" s="19"/>
      <c r="K148" s="19"/>
      <c r="L148" s="19"/>
      <c r="M148" s="19"/>
      <c r="N148" s="19"/>
      <c r="O148" s="19"/>
      <c r="P148" s="23"/>
      <c r="Q148" s="23"/>
      <c r="R148" s="23"/>
    </row>
    <row r="149" spans="1:18" ht="18" customHeight="1">
      <c r="A149" s="194"/>
      <c r="B149" s="195"/>
      <c r="C149" s="195"/>
      <c r="D149" s="195"/>
      <c r="E149" s="195"/>
      <c r="F149" s="195"/>
      <c r="G149" s="196"/>
      <c r="H149" s="196"/>
      <c r="I149" s="196"/>
      <c r="J149" s="196"/>
      <c r="K149" s="196"/>
      <c r="L149" s="196"/>
      <c r="M149" s="196"/>
      <c r="N149" s="196"/>
      <c r="O149" s="196"/>
      <c r="P149" s="195"/>
      <c r="Q149" s="195"/>
      <c r="R149" s="195"/>
    </row>
    <row r="150" spans="1:18" ht="18" customHeight="1">
      <c r="A150" s="193"/>
      <c r="B150" s="23"/>
      <c r="C150" s="23"/>
      <c r="D150" s="23"/>
      <c r="E150" s="23"/>
      <c r="F150" s="23"/>
      <c r="G150" s="19"/>
      <c r="H150" s="19"/>
      <c r="I150" s="19"/>
      <c r="J150" s="19"/>
      <c r="K150" s="19"/>
      <c r="L150" s="19"/>
      <c r="M150" s="19"/>
      <c r="N150" s="19"/>
      <c r="O150" s="19"/>
      <c r="P150" s="23"/>
      <c r="Q150" s="23"/>
      <c r="R150" s="23"/>
    </row>
    <row r="151" spans="1:18" ht="18" customHeight="1">
      <c r="A151" s="194"/>
      <c r="B151" s="195"/>
      <c r="C151" s="195"/>
      <c r="D151" s="195"/>
      <c r="E151" s="195"/>
      <c r="F151" s="195"/>
      <c r="G151" s="196"/>
      <c r="H151" s="196"/>
      <c r="I151" s="196"/>
      <c r="J151" s="196"/>
      <c r="K151" s="196"/>
      <c r="L151" s="196"/>
      <c r="M151" s="196"/>
      <c r="N151" s="196"/>
      <c r="O151" s="196"/>
      <c r="P151" s="195"/>
      <c r="Q151" s="195"/>
      <c r="R151" s="195"/>
    </row>
    <row r="152" spans="1:18" ht="18" customHeight="1">
      <c r="A152" s="193"/>
      <c r="B152" s="23"/>
      <c r="C152" s="23"/>
      <c r="D152" s="23"/>
      <c r="E152" s="23"/>
      <c r="F152" s="23"/>
      <c r="G152" s="19"/>
      <c r="H152" s="19"/>
      <c r="I152" s="19"/>
      <c r="J152" s="19"/>
      <c r="K152" s="19"/>
      <c r="L152" s="19"/>
      <c r="M152" s="19"/>
      <c r="N152" s="19"/>
      <c r="O152" s="19"/>
      <c r="P152" s="23"/>
      <c r="Q152" s="23"/>
      <c r="R152" s="23"/>
    </row>
    <row r="153" spans="1:18" ht="18" customHeight="1">
      <c r="A153" s="194"/>
      <c r="B153" s="195"/>
      <c r="C153" s="195"/>
      <c r="D153" s="195"/>
      <c r="E153" s="195"/>
      <c r="F153" s="195"/>
      <c r="G153" s="196"/>
      <c r="H153" s="196"/>
      <c r="I153" s="196"/>
      <c r="J153" s="196"/>
      <c r="K153" s="196"/>
      <c r="L153" s="196"/>
      <c r="M153" s="196"/>
      <c r="N153" s="196"/>
      <c r="O153" s="196"/>
      <c r="P153" s="195"/>
      <c r="Q153" s="195"/>
      <c r="R153" s="195"/>
    </row>
    <row r="154" spans="1:18" ht="18" customHeight="1">
      <c r="A154" s="193"/>
      <c r="B154" s="23"/>
      <c r="C154" s="23"/>
      <c r="D154" s="23"/>
      <c r="E154" s="23"/>
      <c r="F154" s="23"/>
      <c r="G154" s="19"/>
      <c r="H154" s="19"/>
      <c r="I154" s="19"/>
      <c r="J154" s="19"/>
      <c r="K154" s="19"/>
      <c r="L154" s="19"/>
      <c r="M154" s="19"/>
      <c r="N154" s="19"/>
      <c r="O154" s="19"/>
      <c r="P154" s="23"/>
      <c r="Q154" s="23"/>
      <c r="R154" s="23"/>
    </row>
    <row r="155" spans="1:18" ht="18" customHeight="1">
      <c r="A155" s="194"/>
      <c r="B155" s="195"/>
      <c r="C155" s="195"/>
      <c r="D155" s="195"/>
      <c r="E155" s="195"/>
      <c r="F155" s="195"/>
      <c r="G155" s="196"/>
      <c r="H155" s="196"/>
      <c r="I155" s="196"/>
      <c r="J155" s="196"/>
      <c r="K155" s="196"/>
      <c r="L155" s="196"/>
      <c r="M155" s="196"/>
      <c r="N155" s="196"/>
      <c r="O155" s="196"/>
      <c r="P155" s="195"/>
      <c r="Q155" s="195"/>
      <c r="R155" s="195"/>
    </row>
    <row r="156" spans="1:18" ht="18" customHeight="1">
      <c r="A156" s="193"/>
      <c r="B156" s="23"/>
      <c r="C156" s="23"/>
      <c r="D156" s="23"/>
      <c r="E156" s="23"/>
      <c r="F156" s="23"/>
      <c r="G156" s="19"/>
      <c r="H156" s="19"/>
      <c r="I156" s="19"/>
      <c r="J156" s="19"/>
      <c r="K156" s="19"/>
      <c r="L156" s="19"/>
      <c r="M156" s="19"/>
      <c r="N156" s="19"/>
      <c r="O156" s="19"/>
      <c r="P156" s="23"/>
      <c r="Q156" s="23"/>
      <c r="R156" s="23"/>
    </row>
    <row r="157" spans="1:18" ht="18" customHeight="1">
      <c r="A157" s="194"/>
      <c r="B157" s="195"/>
      <c r="C157" s="195"/>
      <c r="D157" s="195"/>
      <c r="E157" s="195"/>
      <c r="F157" s="195"/>
      <c r="G157" s="196"/>
      <c r="H157" s="196"/>
      <c r="I157" s="196"/>
      <c r="J157" s="196"/>
      <c r="K157" s="196"/>
      <c r="L157" s="196"/>
      <c r="M157" s="196"/>
      <c r="N157" s="196"/>
      <c r="O157" s="196"/>
      <c r="P157" s="195"/>
      <c r="Q157" s="195"/>
      <c r="R157" s="195"/>
    </row>
    <row r="158" spans="1:18" ht="18" customHeight="1">
      <c r="A158" s="193"/>
      <c r="B158" s="23"/>
      <c r="C158" s="23"/>
      <c r="D158" s="23"/>
      <c r="E158" s="23"/>
      <c r="F158" s="23"/>
      <c r="G158" s="19"/>
      <c r="H158" s="19"/>
      <c r="I158" s="19"/>
      <c r="J158" s="19"/>
      <c r="K158" s="19"/>
      <c r="L158" s="19"/>
      <c r="M158" s="19"/>
      <c r="N158" s="19"/>
      <c r="O158" s="19"/>
      <c r="P158" s="23"/>
      <c r="Q158" s="23"/>
      <c r="R158" s="23"/>
    </row>
    <row r="159" spans="1:18" ht="18" customHeight="1">
      <c r="A159" s="194"/>
      <c r="B159" s="195"/>
      <c r="C159" s="195"/>
      <c r="D159" s="195"/>
      <c r="E159" s="195"/>
      <c r="F159" s="195"/>
      <c r="G159" s="196"/>
      <c r="H159" s="196"/>
      <c r="I159" s="196"/>
      <c r="J159" s="196"/>
      <c r="K159" s="196"/>
      <c r="L159" s="196"/>
      <c r="M159" s="196"/>
      <c r="N159" s="196"/>
      <c r="O159" s="196"/>
      <c r="P159" s="195"/>
      <c r="Q159" s="195"/>
      <c r="R159" s="195"/>
    </row>
    <row r="160" spans="1:18" ht="18" customHeight="1">
      <c r="A160" s="193"/>
      <c r="B160" s="23"/>
      <c r="C160" s="23"/>
      <c r="D160" s="23"/>
      <c r="E160" s="23"/>
      <c r="F160" s="23"/>
      <c r="G160" s="19"/>
      <c r="H160" s="19"/>
      <c r="I160" s="19"/>
      <c r="J160" s="19"/>
      <c r="K160" s="19"/>
      <c r="L160" s="19"/>
      <c r="M160" s="19"/>
      <c r="N160" s="19"/>
      <c r="O160" s="19"/>
      <c r="P160" s="23"/>
      <c r="Q160" s="23"/>
      <c r="R160" s="23"/>
    </row>
    <row r="161" spans="1:18" ht="18" customHeight="1">
      <c r="A161" s="194"/>
      <c r="B161" s="195"/>
      <c r="C161" s="195"/>
      <c r="D161" s="195"/>
      <c r="E161" s="195"/>
      <c r="F161" s="195"/>
      <c r="G161" s="196"/>
      <c r="H161" s="196"/>
      <c r="I161" s="196"/>
      <c r="J161" s="196"/>
      <c r="K161" s="196"/>
      <c r="L161" s="196"/>
      <c r="M161" s="196"/>
      <c r="N161" s="196"/>
      <c r="O161" s="196"/>
      <c r="P161" s="195"/>
      <c r="Q161" s="195"/>
      <c r="R161" s="195"/>
    </row>
    <row r="162" spans="1:18" ht="18" customHeight="1">
      <c r="A162" s="193"/>
      <c r="B162" s="23"/>
      <c r="C162" s="23"/>
      <c r="D162" s="23"/>
      <c r="E162" s="23"/>
      <c r="F162" s="23"/>
      <c r="G162" s="19"/>
      <c r="H162" s="19"/>
      <c r="I162" s="19"/>
      <c r="J162" s="19"/>
      <c r="K162" s="19"/>
      <c r="L162" s="19"/>
      <c r="M162" s="19"/>
      <c r="N162" s="19"/>
      <c r="O162" s="19"/>
      <c r="P162" s="23"/>
      <c r="Q162" s="23"/>
      <c r="R162" s="23"/>
    </row>
    <row r="163" spans="1:18" ht="18" customHeight="1">
      <c r="A163" s="194"/>
      <c r="B163" s="195"/>
      <c r="C163" s="195"/>
      <c r="D163" s="195"/>
      <c r="E163" s="195"/>
      <c r="F163" s="195"/>
      <c r="G163" s="196"/>
      <c r="H163" s="196"/>
      <c r="I163" s="196"/>
      <c r="J163" s="196"/>
      <c r="K163" s="196"/>
      <c r="L163" s="196"/>
      <c r="M163" s="196"/>
      <c r="N163" s="196"/>
      <c r="O163" s="196"/>
      <c r="P163" s="195"/>
      <c r="Q163" s="195"/>
      <c r="R163" s="195"/>
    </row>
    <row r="164" spans="1:18" ht="18" customHeight="1">
      <c r="A164" s="193"/>
      <c r="B164" s="23"/>
      <c r="C164" s="23"/>
      <c r="D164" s="23"/>
      <c r="E164" s="23"/>
      <c r="F164" s="23"/>
      <c r="G164" s="19"/>
      <c r="H164" s="19"/>
      <c r="I164" s="19"/>
      <c r="J164" s="19"/>
      <c r="K164" s="19"/>
      <c r="L164" s="19"/>
      <c r="M164" s="19"/>
      <c r="N164" s="19"/>
      <c r="O164" s="19"/>
      <c r="P164" s="23"/>
      <c r="Q164" s="23"/>
      <c r="R164" s="23"/>
    </row>
    <row r="165" spans="1:18" ht="18" customHeight="1">
      <c r="A165" s="194"/>
      <c r="B165" s="195"/>
      <c r="C165" s="195"/>
      <c r="D165" s="195"/>
      <c r="E165" s="195"/>
      <c r="F165" s="195"/>
      <c r="G165" s="196"/>
      <c r="H165" s="196"/>
      <c r="I165" s="196"/>
      <c r="J165" s="196"/>
      <c r="K165" s="196"/>
      <c r="L165" s="196"/>
      <c r="M165" s="196"/>
      <c r="N165" s="196"/>
      <c r="O165" s="196"/>
      <c r="P165" s="195"/>
      <c r="Q165" s="195"/>
      <c r="R165" s="195"/>
    </row>
    <row r="166" spans="1:18" ht="18" customHeight="1">
      <c r="A166" s="193"/>
      <c r="B166" s="23"/>
      <c r="C166" s="23"/>
      <c r="D166" s="23"/>
      <c r="E166" s="23"/>
      <c r="F166" s="23"/>
      <c r="G166" s="19"/>
      <c r="H166" s="19"/>
      <c r="I166" s="19"/>
      <c r="J166" s="19"/>
      <c r="K166" s="19"/>
      <c r="L166" s="19"/>
      <c r="M166" s="19"/>
      <c r="N166" s="19"/>
      <c r="O166" s="19"/>
      <c r="P166" s="23"/>
      <c r="Q166" s="23"/>
      <c r="R166" s="23"/>
    </row>
    <row r="167" spans="1:18" ht="18" customHeight="1">
      <c r="A167" s="194"/>
      <c r="B167" s="195"/>
      <c r="C167" s="195"/>
      <c r="D167" s="195"/>
      <c r="E167" s="195"/>
      <c r="F167" s="195"/>
      <c r="G167" s="196"/>
      <c r="H167" s="196"/>
      <c r="I167" s="196"/>
      <c r="J167" s="196"/>
      <c r="K167" s="196"/>
      <c r="L167" s="196"/>
      <c r="M167" s="196"/>
      <c r="N167" s="196"/>
      <c r="O167" s="196"/>
      <c r="P167" s="195"/>
      <c r="Q167" s="195"/>
      <c r="R167" s="195"/>
    </row>
    <row r="168" spans="1:18" ht="18" customHeight="1">
      <c r="A168" s="193"/>
      <c r="B168" s="23"/>
      <c r="C168" s="23"/>
      <c r="D168" s="23"/>
      <c r="E168" s="23"/>
      <c r="F168" s="23"/>
      <c r="G168" s="19"/>
      <c r="H168" s="19"/>
      <c r="I168" s="19"/>
      <c r="J168" s="19"/>
      <c r="K168" s="19"/>
      <c r="L168" s="19"/>
      <c r="M168" s="19"/>
      <c r="N168" s="19"/>
      <c r="O168" s="19"/>
      <c r="P168" s="23"/>
      <c r="Q168" s="23"/>
      <c r="R168" s="23"/>
    </row>
    <row r="169" spans="1:18" ht="18" customHeight="1">
      <c r="A169" s="194"/>
      <c r="B169" s="195"/>
      <c r="C169" s="195"/>
      <c r="D169" s="195"/>
      <c r="E169" s="195"/>
      <c r="F169" s="195"/>
      <c r="G169" s="196"/>
      <c r="H169" s="196"/>
      <c r="I169" s="196"/>
      <c r="J169" s="196"/>
      <c r="K169" s="196"/>
      <c r="L169" s="196"/>
      <c r="M169" s="196"/>
      <c r="N169" s="196"/>
      <c r="O169" s="196"/>
      <c r="P169" s="195"/>
      <c r="Q169" s="195"/>
      <c r="R169" s="195"/>
    </row>
    <row r="170" spans="1:18" ht="18" customHeight="1">
      <c r="A170" s="193"/>
      <c r="B170" s="23"/>
      <c r="C170" s="23"/>
      <c r="D170" s="23"/>
      <c r="E170" s="23"/>
      <c r="F170" s="23"/>
      <c r="G170" s="19"/>
      <c r="H170" s="19"/>
      <c r="I170" s="19"/>
      <c r="J170" s="19"/>
      <c r="K170" s="19"/>
      <c r="L170" s="19"/>
      <c r="M170" s="19"/>
      <c r="N170" s="19"/>
      <c r="O170" s="19"/>
      <c r="P170" s="23"/>
      <c r="Q170" s="23"/>
      <c r="R170" s="23"/>
    </row>
    <row r="171" spans="1:18" ht="18" customHeight="1">
      <c r="A171" s="194"/>
      <c r="B171" s="195"/>
      <c r="C171" s="195"/>
      <c r="D171" s="195"/>
      <c r="E171" s="195"/>
      <c r="F171" s="195"/>
      <c r="G171" s="196"/>
      <c r="H171" s="196"/>
      <c r="I171" s="196"/>
      <c r="J171" s="196"/>
      <c r="K171" s="196"/>
      <c r="L171" s="196"/>
      <c r="M171" s="196"/>
      <c r="N171" s="196"/>
      <c r="O171" s="196"/>
      <c r="P171" s="195"/>
      <c r="Q171" s="195"/>
      <c r="R171" s="195"/>
    </row>
    <row r="172" spans="1:18" ht="18" customHeight="1">
      <c r="A172" s="193"/>
      <c r="B172" s="23"/>
      <c r="C172" s="23"/>
      <c r="D172" s="23"/>
      <c r="E172" s="23"/>
      <c r="F172" s="23"/>
      <c r="G172" s="19"/>
      <c r="H172" s="19"/>
      <c r="I172" s="19"/>
      <c r="J172" s="19"/>
      <c r="K172" s="19"/>
      <c r="L172" s="19"/>
      <c r="M172" s="19"/>
      <c r="N172" s="19"/>
      <c r="O172" s="19"/>
      <c r="P172" s="23"/>
      <c r="Q172" s="23"/>
      <c r="R172" s="23"/>
    </row>
    <row r="173" spans="1:18" ht="18" customHeight="1">
      <c r="A173" s="194"/>
      <c r="B173" s="195"/>
      <c r="C173" s="195"/>
      <c r="D173" s="195"/>
      <c r="E173" s="195"/>
      <c r="F173" s="195"/>
      <c r="G173" s="196"/>
      <c r="H173" s="196"/>
      <c r="I173" s="196"/>
      <c r="J173" s="196"/>
      <c r="K173" s="196"/>
      <c r="L173" s="196"/>
      <c r="M173" s="196"/>
      <c r="N173" s="196"/>
      <c r="O173" s="196"/>
      <c r="P173" s="195"/>
      <c r="Q173" s="195"/>
      <c r="R173" s="195"/>
    </row>
    <row r="174" spans="1:18" ht="18" customHeight="1">
      <c r="A174" s="193"/>
      <c r="B174" s="23"/>
      <c r="C174" s="23"/>
      <c r="D174" s="23"/>
      <c r="E174" s="23"/>
      <c r="F174" s="23"/>
      <c r="G174" s="19"/>
      <c r="H174" s="19"/>
      <c r="I174" s="19"/>
      <c r="J174" s="19"/>
      <c r="K174" s="19"/>
      <c r="L174" s="19"/>
      <c r="M174" s="19"/>
      <c r="N174" s="19"/>
      <c r="O174" s="19"/>
      <c r="P174" s="23"/>
      <c r="Q174" s="23"/>
      <c r="R174" s="23"/>
    </row>
    <row r="175" spans="1:18" ht="18" customHeight="1">
      <c r="A175" s="194"/>
      <c r="B175" s="195"/>
      <c r="C175" s="195"/>
      <c r="D175" s="195"/>
      <c r="E175" s="195"/>
      <c r="F175" s="195"/>
      <c r="G175" s="196"/>
      <c r="H175" s="196"/>
      <c r="I175" s="196"/>
      <c r="J175" s="196"/>
      <c r="K175" s="196"/>
      <c r="L175" s="196"/>
      <c r="M175" s="196"/>
      <c r="N175" s="196"/>
      <c r="O175" s="196"/>
      <c r="P175" s="195"/>
      <c r="Q175" s="195"/>
      <c r="R175" s="195"/>
    </row>
    <row r="176" spans="1:18" ht="18" customHeight="1">
      <c r="A176" s="193"/>
      <c r="B176" s="23"/>
      <c r="C176" s="23"/>
      <c r="D176" s="23"/>
      <c r="E176" s="23"/>
      <c r="F176" s="23"/>
      <c r="G176" s="19"/>
      <c r="H176" s="19"/>
      <c r="I176" s="19"/>
      <c r="J176" s="19"/>
      <c r="K176" s="19"/>
      <c r="L176" s="19"/>
      <c r="M176" s="19"/>
      <c r="N176" s="19"/>
      <c r="O176" s="19"/>
      <c r="P176" s="23"/>
      <c r="Q176" s="23"/>
      <c r="R176" s="23"/>
    </row>
    <row r="177" spans="1:18" ht="18" customHeight="1">
      <c r="A177" s="194"/>
      <c r="B177" s="195"/>
      <c r="C177" s="195"/>
      <c r="D177" s="195"/>
      <c r="E177" s="195"/>
      <c r="F177" s="195"/>
      <c r="G177" s="196"/>
      <c r="H177" s="196"/>
      <c r="I177" s="196"/>
      <c r="J177" s="196"/>
      <c r="K177" s="196"/>
      <c r="L177" s="196"/>
      <c r="M177" s="196"/>
      <c r="N177" s="196"/>
      <c r="O177" s="196"/>
      <c r="P177" s="195"/>
      <c r="Q177" s="195"/>
      <c r="R177" s="195"/>
    </row>
    <row r="178" spans="1:18" ht="18" customHeight="1">
      <c r="A178" s="193"/>
      <c r="B178" s="23"/>
      <c r="C178" s="23"/>
      <c r="D178" s="23"/>
      <c r="E178" s="23"/>
      <c r="F178" s="23"/>
      <c r="G178" s="19"/>
      <c r="H178" s="19"/>
      <c r="I178" s="19"/>
      <c r="J178" s="19"/>
      <c r="K178" s="19"/>
      <c r="L178" s="19"/>
      <c r="M178" s="19"/>
      <c r="N178" s="19"/>
      <c r="O178" s="19"/>
      <c r="P178" s="23"/>
      <c r="Q178" s="23"/>
      <c r="R178" s="23"/>
    </row>
    <row r="179" spans="1:18" ht="18" customHeight="1">
      <c r="A179" s="194"/>
      <c r="B179" s="195"/>
      <c r="C179" s="195"/>
      <c r="D179" s="195"/>
      <c r="E179" s="195"/>
      <c r="F179" s="195"/>
      <c r="G179" s="196"/>
      <c r="H179" s="196"/>
      <c r="I179" s="196"/>
      <c r="J179" s="196"/>
      <c r="K179" s="196"/>
      <c r="L179" s="196"/>
      <c r="M179" s="196"/>
      <c r="N179" s="196"/>
      <c r="O179" s="196"/>
      <c r="P179" s="195"/>
      <c r="Q179" s="195"/>
      <c r="R179" s="195"/>
    </row>
    <row r="180" spans="1:18" ht="18" customHeight="1">
      <c r="A180" s="193"/>
      <c r="B180" s="23"/>
      <c r="C180" s="23"/>
      <c r="D180" s="23"/>
      <c r="E180" s="23"/>
      <c r="F180" s="23"/>
      <c r="G180" s="19"/>
      <c r="H180" s="19"/>
      <c r="I180" s="19"/>
      <c r="J180" s="19"/>
      <c r="K180" s="19"/>
      <c r="L180" s="19"/>
      <c r="M180" s="19"/>
      <c r="N180" s="19"/>
      <c r="O180" s="19"/>
      <c r="P180" s="23"/>
      <c r="Q180" s="23"/>
      <c r="R180" s="23"/>
    </row>
    <row r="181" spans="1:18" ht="18" customHeight="1">
      <c r="A181" s="194"/>
      <c r="B181" s="195"/>
      <c r="C181" s="195"/>
      <c r="D181" s="195"/>
      <c r="E181" s="195"/>
      <c r="F181" s="195"/>
      <c r="G181" s="196"/>
      <c r="H181" s="196"/>
      <c r="I181" s="196"/>
      <c r="J181" s="196"/>
      <c r="K181" s="196"/>
      <c r="L181" s="196"/>
      <c r="M181" s="196"/>
      <c r="N181" s="196"/>
      <c r="O181" s="196"/>
      <c r="P181" s="195"/>
      <c r="Q181" s="195"/>
      <c r="R181" s="195"/>
    </row>
    <row r="182" spans="1:18" ht="18" customHeight="1">
      <c r="A182" s="193"/>
      <c r="B182" s="23"/>
      <c r="C182" s="23"/>
      <c r="D182" s="23"/>
      <c r="E182" s="23"/>
      <c r="F182" s="23"/>
      <c r="G182" s="19"/>
      <c r="H182" s="19"/>
      <c r="I182" s="19"/>
      <c r="J182" s="19"/>
      <c r="K182" s="19"/>
      <c r="L182" s="19"/>
      <c r="M182" s="19"/>
      <c r="N182" s="19"/>
      <c r="O182" s="19"/>
      <c r="P182" s="23"/>
      <c r="Q182" s="23"/>
      <c r="R182" s="23"/>
    </row>
    <row r="183" spans="1:18" ht="18" customHeight="1">
      <c r="A183" s="194"/>
      <c r="B183" s="195"/>
      <c r="C183" s="195"/>
      <c r="D183" s="195"/>
      <c r="E183" s="195"/>
      <c r="F183" s="195"/>
      <c r="G183" s="196"/>
      <c r="H183" s="196"/>
      <c r="I183" s="196"/>
      <c r="J183" s="196"/>
      <c r="K183" s="196"/>
      <c r="L183" s="196"/>
      <c r="M183" s="196"/>
      <c r="N183" s="196"/>
      <c r="O183" s="196"/>
      <c r="P183" s="195"/>
      <c r="Q183" s="195"/>
      <c r="R183" s="195"/>
    </row>
    <row r="184" spans="1:18" ht="18" customHeight="1">
      <c r="A184" s="193"/>
      <c r="B184" s="23"/>
      <c r="C184" s="23"/>
      <c r="D184" s="23"/>
      <c r="E184" s="23"/>
      <c r="F184" s="23"/>
      <c r="G184" s="19"/>
      <c r="H184" s="19"/>
      <c r="I184" s="19"/>
      <c r="J184" s="19"/>
      <c r="K184" s="19"/>
      <c r="L184" s="19"/>
      <c r="M184" s="19"/>
      <c r="N184" s="19"/>
      <c r="O184" s="19"/>
      <c r="P184" s="23"/>
      <c r="Q184" s="23"/>
      <c r="R184" s="23"/>
    </row>
    <row r="185" spans="1:18" ht="18" customHeight="1">
      <c r="A185" s="194"/>
      <c r="B185" s="195"/>
      <c r="C185" s="195"/>
      <c r="D185" s="195"/>
      <c r="E185" s="195"/>
      <c r="F185" s="195"/>
      <c r="G185" s="196"/>
      <c r="H185" s="196"/>
      <c r="I185" s="196"/>
      <c r="J185" s="196"/>
      <c r="K185" s="196"/>
      <c r="L185" s="196"/>
      <c r="M185" s="196"/>
      <c r="N185" s="196"/>
      <c r="O185" s="196"/>
      <c r="P185" s="195"/>
      <c r="Q185" s="195"/>
      <c r="R185" s="195"/>
    </row>
    <row r="186" spans="1:18" ht="18" customHeight="1">
      <c r="A186" s="193"/>
      <c r="B186" s="23"/>
      <c r="C186" s="23"/>
      <c r="D186" s="23"/>
      <c r="E186" s="23"/>
      <c r="F186" s="23"/>
      <c r="G186" s="19"/>
      <c r="H186" s="19"/>
      <c r="I186" s="19"/>
      <c r="J186" s="19"/>
      <c r="K186" s="19"/>
      <c r="L186" s="19"/>
      <c r="M186" s="19"/>
      <c r="N186" s="19"/>
      <c r="O186" s="19"/>
      <c r="P186" s="23"/>
      <c r="Q186" s="23"/>
      <c r="R186" s="23"/>
    </row>
    <row r="187" spans="1:18" ht="18" customHeight="1">
      <c r="A187" s="194"/>
      <c r="B187" s="195"/>
      <c r="C187" s="195"/>
      <c r="D187" s="195"/>
      <c r="E187" s="195"/>
      <c r="F187" s="195"/>
      <c r="G187" s="196"/>
      <c r="H187" s="196"/>
      <c r="I187" s="196"/>
      <c r="J187" s="196"/>
      <c r="K187" s="196"/>
      <c r="L187" s="196"/>
      <c r="M187" s="196"/>
      <c r="N187" s="196"/>
      <c r="O187" s="196"/>
      <c r="P187" s="195"/>
      <c r="Q187" s="195"/>
      <c r="R187" s="195"/>
    </row>
    <row r="188" spans="1:18" ht="18" customHeight="1">
      <c r="A188" s="193"/>
      <c r="B188" s="23"/>
      <c r="C188" s="23"/>
      <c r="D188" s="23"/>
      <c r="E188" s="23"/>
      <c r="F188" s="23"/>
      <c r="G188" s="19"/>
      <c r="H188" s="19"/>
      <c r="I188" s="19"/>
      <c r="J188" s="19"/>
      <c r="K188" s="19"/>
      <c r="L188" s="19"/>
      <c r="M188" s="19"/>
      <c r="N188" s="19"/>
      <c r="O188" s="19"/>
      <c r="P188" s="23"/>
      <c r="Q188" s="23"/>
      <c r="R188" s="23"/>
    </row>
    <row r="189" spans="1:18" ht="18" customHeight="1">
      <c r="A189" s="194"/>
      <c r="B189" s="195"/>
      <c r="C189" s="195"/>
      <c r="D189" s="195"/>
      <c r="E189" s="195"/>
      <c r="F189" s="195"/>
      <c r="G189" s="196"/>
      <c r="H189" s="196"/>
      <c r="I189" s="196"/>
      <c r="J189" s="196"/>
      <c r="K189" s="196"/>
      <c r="L189" s="196"/>
      <c r="M189" s="196"/>
      <c r="N189" s="196"/>
      <c r="O189" s="196"/>
      <c r="P189" s="195"/>
      <c r="Q189" s="195"/>
      <c r="R189" s="195"/>
    </row>
    <row r="190" spans="1:18" ht="18" customHeight="1">
      <c r="A190" s="193"/>
      <c r="B190" s="23"/>
      <c r="C190" s="23"/>
      <c r="D190" s="23"/>
      <c r="E190" s="23"/>
      <c r="F190" s="23"/>
      <c r="G190" s="19"/>
      <c r="H190" s="19"/>
      <c r="I190" s="19"/>
      <c r="J190" s="19"/>
      <c r="K190" s="19"/>
      <c r="L190" s="19"/>
      <c r="M190" s="19"/>
      <c r="N190" s="19"/>
      <c r="O190" s="19"/>
      <c r="P190" s="23"/>
      <c r="Q190" s="23"/>
      <c r="R190" s="23"/>
    </row>
    <row r="191" spans="1:18" ht="18" customHeight="1">
      <c r="A191" s="194"/>
      <c r="B191" s="195"/>
      <c r="C191" s="195"/>
      <c r="D191" s="195"/>
      <c r="E191" s="195"/>
      <c r="F191" s="195"/>
      <c r="G191" s="196"/>
      <c r="H191" s="196"/>
      <c r="I191" s="196"/>
      <c r="J191" s="196"/>
      <c r="K191" s="196"/>
      <c r="L191" s="196"/>
      <c r="M191" s="196"/>
      <c r="N191" s="196"/>
      <c r="O191" s="196"/>
      <c r="P191" s="195"/>
      <c r="Q191" s="195"/>
      <c r="R191" s="195"/>
    </row>
    <row r="192" spans="1:18" ht="18" customHeight="1">
      <c r="A192" s="193"/>
      <c r="B192" s="23"/>
      <c r="C192" s="23"/>
      <c r="D192" s="23"/>
      <c r="E192" s="23"/>
      <c r="F192" s="23"/>
      <c r="G192" s="19"/>
      <c r="H192" s="19"/>
      <c r="I192" s="19"/>
      <c r="J192" s="19"/>
      <c r="K192" s="19"/>
      <c r="L192" s="19"/>
      <c r="M192" s="19"/>
      <c r="N192" s="19"/>
      <c r="O192" s="19"/>
      <c r="P192" s="23"/>
      <c r="Q192" s="23"/>
      <c r="R192" s="23"/>
    </row>
    <row r="193" spans="1:18" ht="18" customHeight="1">
      <c r="A193" s="194"/>
      <c r="B193" s="195"/>
      <c r="C193" s="195"/>
      <c r="D193" s="195"/>
      <c r="E193" s="195"/>
      <c r="F193" s="195"/>
      <c r="G193" s="196"/>
      <c r="H193" s="196"/>
      <c r="I193" s="196"/>
      <c r="J193" s="196"/>
      <c r="K193" s="196"/>
      <c r="L193" s="196"/>
      <c r="M193" s="196"/>
      <c r="N193" s="196"/>
      <c r="O193" s="196"/>
      <c r="P193" s="195"/>
      <c r="Q193" s="195"/>
      <c r="R193" s="195"/>
    </row>
    <row r="194" spans="1:18" ht="18" customHeight="1">
      <c r="A194" s="193"/>
      <c r="B194" s="23"/>
      <c r="C194" s="23"/>
      <c r="D194" s="23"/>
      <c r="E194" s="23"/>
      <c r="F194" s="23"/>
      <c r="G194" s="19"/>
      <c r="H194" s="19"/>
      <c r="I194" s="19"/>
      <c r="J194" s="19"/>
      <c r="K194" s="19"/>
      <c r="L194" s="19"/>
      <c r="M194" s="19"/>
      <c r="N194" s="19"/>
      <c r="O194" s="19"/>
      <c r="P194" s="23"/>
      <c r="Q194" s="23"/>
      <c r="R194" s="23"/>
    </row>
    <row r="195" spans="1:18" ht="18" customHeight="1">
      <c r="A195" s="194"/>
      <c r="B195" s="195"/>
      <c r="C195" s="195"/>
      <c r="D195" s="195"/>
      <c r="E195" s="195"/>
      <c r="F195" s="195"/>
      <c r="G195" s="196"/>
      <c r="H195" s="196"/>
      <c r="I195" s="196"/>
      <c r="J195" s="196"/>
      <c r="K195" s="196"/>
      <c r="L195" s="196"/>
      <c r="M195" s="196"/>
      <c r="N195" s="196"/>
      <c r="O195" s="196"/>
      <c r="P195" s="195"/>
      <c r="Q195" s="195"/>
      <c r="R195" s="195"/>
    </row>
    <row r="196" spans="1:18" ht="18" customHeight="1">
      <c r="A196" s="193"/>
      <c r="B196" s="23"/>
      <c r="C196" s="23"/>
      <c r="D196" s="23"/>
      <c r="E196" s="23"/>
      <c r="F196" s="23"/>
      <c r="G196" s="19"/>
      <c r="H196" s="19"/>
      <c r="I196" s="19"/>
      <c r="J196" s="19"/>
      <c r="K196" s="19"/>
      <c r="L196" s="19"/>
      <c r="M196" s="19"/>
      <c r="N196" s="19"/>
      <c r="O196" s="19"/>
      <c r="P196" s="23"/>
      <c r="Q196" s="23"/>
      <c r="R196" s="23"/>
    </row>
    <row r="197" spans="1:18" ht="18" customHeight="1">
      <c r="A197" s="194"/>
      <c r="B197" s="195"/>
      <c r="C197" s="195"/>
      <c r="D197" s="195"/>
      <c r="E197" s="195"/>
      <c r="F197" s="195"/>
      <c r="G197" s="196"/>
      <c r="H197" s="196"/>
      <c r="I197" s="196"/>
      <c r="J197" s="196"/>
      <c r="K197" s="196"/>
      <c r="L197" s="196"/>
      <c r="M197" s="196"/>
      <c r="N197" s="196"/>
      <c r="O197" s="196"/>
      <c r="P197" s="195"/>
      <c r="Q197" s="195"/>
      <c r="R197" s="195"/>
    </row>
    <row r="198" spans="1:18" ht="18" customHeight="1">
      <c r="A198" s="193"/>
      <c r="B198" s="23"/>
      <c r="C198" s="23"/>
      <c r="D198" s="23"/>
      <c r="E198" s="23"/>
      <c r="F198" s="23"/>
      <c r="G198" s="19"/>
      <c r="H198" s="19"/>
      <c r="I198" s="19"/>
      <c r="J198" s="19"/>
      <c r="K198" s="19"/>
      <c r="L198" s="19"/>
      <c r="M198" s="19"/>
      <c r="N198" s="19"/>
      <c r="O198" s="19"/>
      <c r="P198" s="23"/>
      <c r="Q198" s="23"/>
      <c r="R198" s="23"/>
    </row>
    <row r="199" spans="1:18" ht="18" customHeight="1">
      <c r="A199" s="194"/>
      <c r="B199" s="195"/>
      <c r="C199" s="195"/>
      <c r="D199" s="195"/>
      <c r="E199" s="195"/>
      <c r="F199" s="195"/>
      <c r="G199" s="196"/>
      <c r="H199" s="196"/>
      <c r="I199" s="196"/>
      <c r="J199" s="196"/>
      <c r="K199" s="196"/>
      <c r="L199" s="196"/>
      <c r="M199" s="196"/>
      <c r="N199" s="196"/>
      <c r="O199" s="196"/>
      <c r="P199" s="195"/>
      <c r="Q199" s="195"/>
      <c r="R199" s="195"/>
    </row>
    <row r="200" spans="1:18" ht="18" customHeight="1">
      <c r="A200" s="193"/>
      <c r="B200" s="23"/>
      <c r="C200" s="23"/>
      <c r="D200" s="23"/>
      <c r="E200" s="23"/>
      <c r="F200" s="23"/>
      <c r="G200" s="19"/>
      <c r="H200" s="19"/>
      <c r="I200" s="19"/>
      <c r="J200" s="19"/>
      <c r="K200" s="19"/>
      <c r="L200" s="19"/>
      <c r="M200" s="19"/>
      <c r="N200" s="19"/>
      <c r="O200" s="19"/>
      <c r="P200" s="23"/>
      <c r="Q200" s="23"/>
      <c r="R200" s="23"/>
    </row>
    <row r="201" spans="1:18" ht="18" customHeight="1">
      <c r="A201" s="194"/>
      <c r="B201" s="195"/>
      <c r="C201" s="195"/>
      <c r="D201" s="195"/>
      <c r="E201" s="195"/>
      <c r="F201" s="195"/>
      <c r="G201" s="196"/>
      <c r="H201" s="196"/>
      <c r="I201" s="196"/>
      <c r="J201" s="196"/>
      <c r="K201" s="196"/>
      <c r="L201" s="196"/>
      <c r="M201" s="196"/>
      <c r="N201" s="196"/>
      <c r="O201" s="196"/>
      <c r="P201" s="195"/>
      <c r="Q201" s="195"/>
      <c r="R201" s="195"/>
    </row>
    <row r="202" spans="1:18" ht="18" customHeight="1">
      <c r="A202" s="193"/>
      <c r="B202" s="23"/>
      <c r="C202" s="23"/>
      <c r="D202" s="23"/>
      <c r="E202" s="23"/>
      <c r="F202" s="23"/>
      <c r="G202" s="19"/>
      <c r="H202" s="19"/>
      <c r="I202" s="19"/>
      <c r="J202" s="19"/>
      <c r="K202" s="19"/>
      <c r="L202" s="19"/>
      <c r="M202" s="19"/>
      <c r="N202" s="19"/>
      <c r="O202" s="19"/>
      <c r="P202" s="23"/>
      <c r="Q202" s="23"/>
      <c r="R202" s="23"/>
    </row>
    <row r="203" spans="1:18" ht="18" customHeight="1">
      <c r="A203" s="194"/>
      <c r="B203" s="195"/>
      <c r="C203" s="195"/>
      <c r="D203" s="195"/>
      <c r="E203" s="195"/>
      <c r="F203" s="195"/>
      <c r="G203" s="196"/>
      <c r="H203" s="196"/>
      <c r="I203" s="196"/>
      <c r="J203" s="196"/>
      <c r="K203" s="196"/>
      <c r="L203" s="196"/>
      <c r="M203" s="196"/>
      <c r="N203" s="196"/>
      <c r="O203" s="196"/>
      <c r="P203" s="195"/>
      <c r="Q203" s="195"/>
      <c r="R203" s="195"/>
    </row>
    <row r="204" spans="1:18" ht="18" customHeight="1">
      <c r="A204" s="193"/>
      <c r="B204" s="23"/>
      <c r="C204" s="23"/>
      <c r="D204" s="23"/>
      <c r="E204" s="23"/>
      <c r="F204" s="23"/>
      <c r="G204" s="19"/>
      <c r="H204" s="19"/>
      <c r="I204" s="19"/>
      <c r="J204" s="19"/>
      <c r="K204" s="19"/>
      <c r="L204" s="19"/>
      <c r="M204" s="19"/>
      <c r="N204" s="19"/>
      <c r="O204" s="19"/>
      <c r="P204" s="23"/>
      <c r="Q204" s="23"/>
      <c r="R204" s="23"/>
    </row>
    <row r="205" spans="1:18" ht="18" customHeight="1">
      <c r="A205" s="194"/>
      <c r="B205" s="195"/>
      <c r="C205" s="195"/>
      <c r="D205" s="195"/>
      <c r="E205" s="195"/>
      <c r="F205" s="195"/>
      <c r="G205" s="196"/>
      <c r="H205" s="196"/>
      <c r="I205" s="196"/>
      <c r="J205" s="196"/>
      <c r="K205" s="196"/>
      <c r="L205" s="196"/>
      <c r="M205" s="196"/>
      <c r="N205" s="196"/>
      <c r="O205" s="196"/>
      <c r="P205" s="195"/>
      <c r="Q205" s="195"/>
      <c r="R205" s="195"/>
    </row>
    <row r="206" spans="1:18" ht="18" customHeight="1">
      <c r="A206" s="193"/>
      <c r="B206" s="23"/>
      <c r="C206" s="23"/>
      <c r="D206" s="23"/>
      <c r="E206" s="23"/>
      <c r="F206" s="23"/>
      <c r="G206" s="19"/>
      <c r="H206" s="19"/>
      <c r="I206" s="19"/>
      <c r="J206" s="19"/>
      <c r="K206" s="19"/>
      <c r="L206" s="19"/>
      <c r="M206" s="19"/>
      <c r="N206" s="19"/>
      <c r="O206" s="19"/>
      <c r="P206" s="23"/>
      <c r="Q206" s="23"/>
      <c r="R206" s="23"/>
    </row>
    <row r="207" spans="1:18" ht="18" customHeight="1">
      <c r="A207" s="194"/>
      <c r="B207" s="195"/>
      <c r="C207" s="195"/>
      <c r="D207" s="195"/>
      <c r="E207" s="195"/>
      <c r="F207" s="195"/>
      <c r="G207" s="196"/>
      <c r="H207" s="196"/>
      <c r="I207" s="196"/>
      <c r="J207" s="196"/>
      <c r="K207" s="196"/>
      <c r="L207" s="196"/>
      <c r="M207" s="196"/>
      <c r="N207" s="196"/>
      <c r="O207" s="196"/>
      <c r="P207" s="195"/>
      <c r="Q207" s="195"/>
      <c r="R207" s="195"/>
    </row>
    <row r="208" spans="1:18" ht="18" customHeight="1">
      <c r="A208" s="193"/>
      <c r="B208" s="23"/>
      <c r="C208" s="23"/>
      <c r="D208" s="23"/>
      <c r="E208" s="23"/>
      <c r="F208" s="23"/>
      <c r="G208" s="19"/>
      <c r="H208" s="19"/>
      <c r="I208" s="19"/>
      <c r="J208" s="19"/>
      <c r="K208" s="19"/>
      <c r="L208" s="19"/>
      <c r="M208" s="19"/>
      <c r="N208" s="19"/>
      <c r="O208" s="19"/>
      <c r="P208" s="23"/>
      <c r="Q208" s="23"/>
      <c r="R208" s="23"/>
    </row>
    <row r="209" spans="1:18" ht="18" customHeight="1">
      <c r="A209" s="194"/>
      <c r="B209" s="195"/>
      <c r="C209" s="195"/>
      <c r="D209" s="195"/>
      <c r="E209" s="195"/>
      <c r="F209" s="195"/>
      <c r="G209" s="196"/>
      <c r="H209" s="196"/>
      <c r="I209" s="196"/>
      <c r="J209" s="196"/>
      <c r="K209" s="196"/>
      <c r="L209" s="196"/>
      <c r="M209" s="196"/>
      <c r="N209" s="196"/>
      <c r="O209" s="196"/>
      <c r="P209" s="195"/>
      <c r="Q209" s="195"/>
      <c r="R209" s="195"/>
    </row>
    <row r="210" spans="1:18" ht="18" customHeight="1">
      <c r="A210" s="193"/>
      <c r="B210" s="23"/>
      <c r="C210" s="23"/>
      <c r="D210" s="23"/>
      <c r="E210" s="23"/>
      <c r="F210" s="23"/>
      <c r="G210" s="19"/>
      <c r="H210" s="19"/>
      <c r="I210" s="19"/>
      <c r="J210" s="19"/>
      <c r="K210" s="19"/>
      <c r="L210" s="19"/>
      <c r="M210" s="19"/>
      <c r="N210" s="19"/>
      <c r="O210" s="19"/>
      <c r="P210" s="23"/>
      <c r="Q210" s="23"/>
      <c r="R210" s="23"/>
    </row>
    <row r="211" spans="1:18" ht="18" customHeight="1">
      <c r="A211" s="194"/>
      <c r="B211" s="195"/>
      <c r="C211" s="195"/>
      <c r="D211" s="195"/>
      <c r="E211" s="195"/>
      <c r="F211" s="195"/>
      <c r="G211" s="196"/>
      <c r="H211" s="196"/>
      <c r="I211" s="196"/>
      <c r="J211" s="196"/>
      <c r="K211" s="196"/>
      <c r="L211" s="196"/>
      <c r="M211" s="196"/>
      <c r="N211" s="196"/>
      <c r="O211" s="196"/>
      <c r="P211" s="195"/>
      <c r="Q211" s="195"/>
      <c r="R211" s="195"/>
    </row>
    <row r="212" spans="1:18" ht="18" customHeight="1">
      <c r="A212" s="193"/>
      <c r="B212" s="23"/>
      <c r="C212" s="23"/>
      <c r="D212" s="23"/>
      <c r="E212" s="23"/>
      <c r="F212" s="23"/>
      <c r="G212" s="19"/>
      <c r="H212" s="19"/>
      <c r="I212" s="19"/>
      <c r="J212" s="19"/>
      <c r="K212" s="19"/>
      <c r="L212" s="19"/>
      <c r="M212" s="19"/>
      <c r="N212" s="19"/>
      <c r="O212" s="19"/>
      <c r="P212" s="23"/>
      <c r="Q212" s="23"/>
      <c r="R212" s="23"/>
    </row>
    <row r="213" spans="1:18" ht="18" customHeight="1">
      <c r="A213" s="194"/>
      <c r="B213" s="195"/>
      <c r="C213" s="195"/>
      <c r="D213" s="195"/>
      <c r="E213" s="195"/>
      <c r="F213" s="195"/>
      <c r="G213" s="196"/>
      <c r="H213" s="196"/>
      <c r="I213" s="196"/>
      <c r="J213" s="196"/>
      <c r="K213" s="196"/>
      <c r="L213" s="196"/>
      <c r="M213" s="196"/>
      <c r="N213" s="196"/>
      <c r="O213" s="196"/>
      <c r="P213" s="195"/>
      <c r="Q213" s="195"/>
      <c r="R213" s="195"/>
    </row>
    <row r="214" spans="1:18" ht="18" customHeight="1">
      <c r="A214" s="193"/>
      <c r="B214" s="23"/>
      <c r="C214" s="23"/>
      <c r="D214" s="23"/>
      <c r="E214" s="23"/>
      <c r="F214" s="23"/>
      <c r="G214" s="19"/>
      <c r="H214" s="19"/>
      <c r="I214" s="19"/>
      <c r="J214" s="19"/>
      <c r="K214" s="19"/>
      <c r="L214" s="19"/>
      <c r="M214" s="19"/>
      <c r="N214" s="19"/>
      <c r="O214" s="19"/>
      <c r="P214" s="23"/>
      <c r="Q214" s="23"/>
      <c r="R214" s="23"/>
    </row>
    <row r="215" spans="1:18" ht="18" customHeight="1">
      <c r="A215" s="194"/>
      <c r="B215" s="195"/>
      <c r="C215" s="195"/>
      <c r="D215" s="195"/>
      <c r="E215" s="195"/>
      <c r="F215" s="195"/>
      <c r="G215" s="196"/>
      <c r="H215" s="196"/>
      <c r="I215" s="196"/>
      <c r="J215" s="196"/>
      <c r="K215" s="196"/>
      <c r="L215" s="196"/>
      <c r="M215" s="196"/>
      <c r="N215" s="196"/>
      <c r="O215" s="196"/>
      <c r="P215" s="195"/>
      <c r="Q215" s="195"/>
      <c r="R215" s="195"/>
    </row>
    <row r="216" spans="1:18" ht="18" customHeight="1">
      <c r="A216" s="193"/>
      <c r="B216" s="23"/>
      <c r="C216" s="23"/>
      <c r="D216" s="23"/>
      <c r="E216" s="23"/>
      <c r="F216" s="23"/>
      <c r="G216" s="19"/>
      <c r="H216" s="19"/>
      <c r="I216" s="19"/>
      <c r="J216" s="19"/>
      <c r="K216" s="19"/>
      <c r="L216" s="19"/>
      <c r="M216" s="19"/>
      <c r="N216" s="19"/>
      <c r="O216" s="19"/>
      <c r="P216" s="23"/>
      <c r="Q216" s="23"/>
      <c r="R216" s="23"/>
    </row>
    <row r="217" spans="1:18" ht="18" customHeight="1">
      <c r="A217" s="194"/>
      <c r="B217" s="195"/>
      <c r="C217" s="195"/>
      <c r="D217" s="195"/>
      <c r="E217" s="195"/>
      <c r="F217" s="195"/>
      <c r="G217" s="196"/>
      <c r="H217" s="196"/>
      <c r="I217" s="196"/>
      <c r="J217" s="196"/>
      <c r="K217" s="196"/>
      <c r="L217" s="196"/>
      <c r="M217" s="196"/>
      <c r="N217" s="196"/>
      <c r="O217" s="196"/>
      <c r="P217" s="195"/>
      <c r="Q217" s="195"/>
      <c r="R217" s="195"/>
    </row>
    <row r="218" spans="1:18" ht="18" customHeight="1">
      <c r="A218" s="193"/>
      <c r="B218" s="23"/>
      <c r="C218" s="23"/>
      <c r="D218" s="23"/>
      <c r="E218" s="23"/>
      <c r="F218" s="23"/>
      <c r="G218" s="19"/>
      <c r="H218" s="19"/>
      <c r="I218" s="19"/>
      <c r="J218" s="19"/>
      <c r="K218" s="19"/>
      <c r="L218" s="19"/>
      <c r="M218" s="19"/>
      <c r="N218" s="19"/>
      <c r="O218" s="19"/>
      <c r="P218" s="23"/>
      <c r="Q218" s="23"/>
      <c r="R218" s="23"/>
    </row>
    <row r="219" spans="1:18" ht="18" customHeight="1">
      <c r="A219" s="194"/>
      <c r="B219" s="195"/>
      <c r="C219" s="195"/>
      <c r="D219" s="195"/>
      <c r="E219" s="195"/>
      <c r="F219" s="195"/>
      <c r="G219" s="196"/>
      <c r="H219" s="196"/>
      <c r="I219" s="196"/>
      <c r="J219" s="196"/>
      <c r="K219" s="196"/>
      <c r="L219" s="196"/>
      <c r="M219" s="196"/>
      <c r="N219" s="196"/>
      <c r="O219" s="196"/>
      <c r="P219" s="195"/>
      <c r="Q219" s="195"/>
      <c r="R219" s="195"/>
    </row>
    <row r="220" spans="1:18" ht="18" customHeight="1">
      <c r="A220" s="193"/>
      <c r="B220" s="23"/>
      <c r="C220" s="23"/>
      <c r="D220" s="23"/>
      <c r="E220" s="23"/>
      <c r="F220" s="23"/>
      <c r="G220" s="19"/>
      <c r="H220" s="19"/>
      <c r="I220" s="19"/>
      <c r="J220" s="19"/>
      <c r="K220" s="19"/>
      <c r="L220" s="19"/>
      <c r="M220" s="19"/>
      <c r="N220" s="19"/>
      <c r="O220" s="19"/>
      <c r="P220" s="23"/>
      <c r="Q220" s="23"/>
      <c r="R220" s="23"/>
    </row>
    <row r="221" spans="1:18" ht="18" customHeight="1">
      <c r="A221" s="194"/>
      <c r="B221" s="195"/>
      <c r="C221" s="195"/>
      <c r="D221" s="195"/>
      <c r="E221" s="195"/>
      <c r="F221" s="195"/>
      <c r="G221" s="196"/>
      <c r="H221" s="196"/>
      <c r="I221" s="196"/>
      <c r="J221" s="196"/>
      <c r="K221" s="196"/>
      <c r="L221" s="196"/>
      <c r="M221" s="196"/>
      <c r="N221" s="196"/>
      <c r="O221" s="196"/>
      <c r="P221" s="195"/>
      <c r="Q221" s="195"/>
      <c r="R221" s="195"/>
    </row>
    <row r="222" spans="1:18" ht="18" customHeight="1">
      <c r="A222" s="193"/>
      <c r="B222" s="23"/>
      <c r="C222" s="23"/>
      <c r="D222" s="23"/>
      <c r="E222" s="23"/>
      <c r="F222" s="23"/>
      <c r="G222" s="19"/>
      <c r="H222" s="19"/>
      <c r="I222" s="19"/>
      <c r="J222" s="19"/>
      <c r="K222" s="19"/>
      <c r="L222" s="19"/>
      <c r="M222" s="19"/>
      <c r="N222" s="19"/>
      <c r="O222" s="19"/>
      <c r="P222" s="23"/>
      <c r="Q222" s="23"/>
      <c r="R222" s="23"/>
    </row>
    <row r="223" spans="1:18" ht="18" customHeight="1">
      <c r="A223" s="194"/>
      <c r="B223" s="195"/>
      <c r="C223" s="195"/>
      <c r="D223" s="195"/>
      <c r="E223" s="195"/>
      <c r="F223" s="195"/>
      <c r="G223" s="196"/>
      <c r="H223" s="196"/>
      <c r="I223" s="196"/>
      <c r="J223" s="196"/>
      <c r="K223" s="196"/>
      <c r="L223" s="196"/>
      <c r="M223" s="196"/>
      <c r="N223" s="196"/>
      <c r="O223" s="196"/>
      <c r="P223" s="195"/>
      <c r="Q223" s="195"/>
      <c r="R223" s="195"/>
    </row>
    <row r="224" spans="1:18" ht="18" customHeight="1">
      <c r="A224" s="193"/>
      <c r="B224" s="23"/>
      <c r="C224" s="23"/>
      <c r="D224" s="23"/>
      <c r="E224" s="23"/>
      <c r="F224" s="23"/>
      <c r="G224" s="19"/>
      <c r="H224" s="19"/>
      <c r="I224" s="19"/>
      <c r="J224" s="19"/>
      <c r="K224" s="19"/>
      <c r="L224" s="19"/>
      <c r="M224" s="19"/>
      <c r="N224" s="19"/>
      <c r="O224" s="19"/>
      <c r="P224" s="23"/>
      <c r="Q224" s="23"/>
      <c r="R224" s="23"/>
    </row>
    <row r="225" spans="1:18" ht="18" customHeight="1">
      <c r="A225" s="194"/>
      <c r="B225" s="195"/>
      <c r="C225" s="195"/>
      <c r="D225" s="195"/>
      <c r="E225" s="195"/>
      <c r="F225" s="195"/>
      <c r="G225" s="196"/>
      <c r="H225" s="196"/>
      <c r="I225" s="196"/>
      <c r="J225" s="196"/>
      <c r="K225" s="196"/>
      <c r="L225" s="196"/>
      <c r="M225" s="196"/>
      <c r="N225" s="196"/>
      <c r="O225" s="196"/>
      <c r="P225" s="195"/>
      <c r="Q225" s="195"/>
      <c r="R225" s="195"/>
    </row>
    <row r="226" spans="1:18" ht="18" customHeight="1">
      <c r="A226" s="193"/>
      <c r="B226" s="23"/>
      <c r="C226" s="23"/>
      <c r="D226" s="23"/>
      <c r="E226" s="23"/>
      <c r="F226" s="23"/>
      <c r="G226" s="19"/>
      <c r="H226" s="19"/>
      <c r="I226" s="19"/>
      <c r="J226" s="19"/>
      <c r="K226" s="19"/>
      <c r="L226" s="19"/>
      <c r="M226" s="19"/>
      <c r="N226" s="19"/>
      <c r="O226" s="19"/>
      <c r="P226" s="23"/>
      <c r="Q226" s="23"/>
      <c r="R226" s="23"/>
    </row>
    <row r="227" spans="1:18" ht="18" customHeight="1">
      <c r="A227" s="194"/>
      <c r="B227" s="195"/>
      <c r="C227" s="195"/>
      <c r="D227" s="195"/>
      <c r="E227" s="195"/>
      <c r="F227" s="195"/>
      <c r="G227" s="196"/>
      <c r="H227" s="196"/>
      <c r="I227" s="196"/>
      <c r="J227" s="196"/>
      <c r="K227" s="196"/>
      <c r="L227" s="196"/>
      <c r="M227" s="196"/>
      <c r="N227" s="196"/>
      <c r="O227" s="196"/>
      <c r="P227" s="195"/>
      <c r="Q227" s="195"/>
      <c r="R227" s="195"/>
    </row>
    <row r="228" spans="1:18" ht="18" customHeight="1">
      <c r="A228" s="193"/>
      <c r="B228" s="23"/>
      <c r="C228" s="23"/>
      <c r="D228" s="23"/>
      <c r="E228" s="23"/>
      <c r="F228" s="23"/>
      <c r="G228" s="19"/>
      <c r="H228" s="19"/>
      <c r="I228" s="19"/>
      <c r="J228" s="19"/>
      <c r="K228" s="19"/>
      <c r="L228" s="19"/>
      <c r="M228" s="19"/>
      <c r="N228" s="19"/>
      <c r="O228" s="19"/>
      <c r="P228" s="23"/>
      <c r="Q228" s="23"/>
      <c r="R228" s="23"/>
    </row>
    <row r="229" spans="1:18" ht="18" customHeight="1">
      <c r="A229" s="194"/>
      <c r="B229" s="195"/>
      <c r="C229" s="195"/>
      <c r="D229" s="195"/>
      <c r="E229" s="195"/>
      <c r="F229" s="195"/>
      <c r="G229" s="196"/>
      <c r="H229" s="196"/>
      <c r="I229" s="196"/>
      <c r="J229" s="196"/>
      <c r="K229" s="196"/>
      <c r="L229" s="196"/>
      <c r="M229" s="196"/>
      <c r="N229" s="196"/>
      <c r="O229" s="196"/>
      <c r="P229" s="195"/>
      <c r="Q229" s="195"/>
      <c r="R229" s="195"/>
    </row>
    <row r="230" spans="1:18" ht="18" customHeight="1">
      <c r="A230" s="193"/>
      <c r="B230" s="23"/>
      <c r="C230" s="23"/>
      <c r="D230" s="23"/>
      <c r="E230" s="23"/>
      <c r="F230" s="23"/>
      <c r="G230" s="19"/>
      <c r="H230" s="19"/>
      <c r="I230" s="19"/>
      <c r="J230" s="19"/>
      <c r="K230" s="19"/>
      <c r="L230" s="19"/>
      <c r="M230" s="19"/>
      <c r="N230" s="19"/>
      <c r="O230" s="19"/>
      <c r="P230" s="23"/>
      <c r="Q230" s="23"/>
      <c r="R230" s="23"/>
    </row>
    <row r="231" spans="1:18" ht="18" customHeight="1">
      <c r="A231" s="194"/>
      <c r="B231" s="195"/>
      <c r="C231" s="195"/>
      <c r="D231" s="195"/>
      <c r="E231" s="195"/>
      <c r="F231" s="195"/>
      <c r="G231" s="196"/>
      <c r="H231" s="196"/>
      <c r="I231" s="196"/>
      <c r="J231" s="196"/>
      <c r="K231" s="196"/>
      <c r="L231" s="196"/>
      <c r="M231" s="196"/>
      <c r="N231" s="196"/>
      <c r="O231" s="196"/>
      <c r="P231" s="195"/>
      <c r="Q231" s="195"/>
      <c r="R231" s="195"/>
    </row>
    <row r="232" spans="1:18" ht="18" customHeight="1">
      <c r="A232" s="193"/>
      <c r="B232" s="23"/>
      <c r="C232" s="23"/>
      <c r="D232" s="23"/>
      <c r="E232" s="23"/>
      <c r="F232" s="23"/>
      <c r="G232" s="19"/>
      <c r="H232" s="19"/>
      <c r="I232" s="19"/>
      <c r="J232" s="19"/>
      <c r="K232" s="19"/>
      <c r="L232" s="19"/>
      <c r="M232" s="19"/>
      <c r="N232" s="19"/>
      <c r="O232" s="19"/>
      <c r="P232" s="23"/>
      <c r="Q232" s="23"/>
      <c r="R232" s="23"/>
    </row>
    <row r="233" spans="1:18" ht="18" customHeight="1">
      <c r="A233" s="194"/>
      <c r="B233" s="195"/>
      <c r="C233" s="195"/>
      <c r="D233" s="195"/>
      <c r="E233" s="195"/>
      <c r="F233" s="195"/>
      <c r="G233" s="196"/>
      <c r="H233" s="196"/>
      <c r="I233" s="196"/>
      <c r="J233" s="196"/>
      <c r="K233" s="196"/>
      <c r="L233" s="196"/>
      <c r="M233" s="196"/>
      <c r="N233" s="196"/>
      <c r="O233" s="196"/>
      <c r="P233" s="195"/>
      <c r="Q233" s="195"/>
      <c r="R233" s="195"/>
    </row>
    <row r="234" spans="1:18" ht="18" customHeight="1">
      <c r="A234" s="193"/>
      <c r="B234" s="23"/>
      <c r="C234" s="23"/>
      <c r="D234" s="23"/>
      <c r="E234" s="23"/>
      <c r="F234" s="23"/>
      <c r="G234" s="19"/>
      <c r="H234" s="19"/>
      <c r="I234" s="19"/>
      <c r="J234" s="19"/>
      <c r="K234" s="19"/>
      <c r="L234" s="19"/>
      <c r="M234" s="19"/>
      <c r="N234" s="19"/>
      <c r="O234" s="19"/>
      <c r="P234" s="23"/>
      <c r="Q234" s="23"/>
      <c r="R234" s="23"/>
    </row>
    <row r="235" spans="1:18" ht="18" customHeight="1">
      <c r="A235" s="194"/>
      <c r="B235" s="195"/>
      <c r="C235" s="195"/>
      <c r="D235" s="195"/>
      <c r="E235" s="195"/>
      <c r="F235" s="195"/>
      <c r="G235" s="196"/>
      <c r="H235" s="196"/>
      <c r="I235" s="196"/>
      <c r="J235" s="196"/>
      <c r="K235" s="196"/>
      <c r="L235" s="196"/>
      <c r="M235" s="196"/>
      <c r="N235" s="196"/>
      <c r="O235" s="196"/>
      <c r="P235" s="195"/>
      <c r="Q235" s="195"/>
      <c r="R235" s="195"/>
    </row>
    <row r="236" spans="1:18" ht="18" customHeight="1">
      <c r="A236" s="193"/>
      <c r="B236" s="23"/>
      <c r="C236" s="23"/>
      <c r="D236" s="23"/>
      <c r="E236" s="23"/>
      <c r="F236" s="23"/>
      <c r="G236" s="19"/>
      <c r="H236" s="19"/>
      <c r="I236" s="19"/>
      <c r="J236" s="19"/>
      <c r="K236" s="19"/>
      <c r="L236" s="19"/>
      <c r="M236" s="19"/>
      <c r="N236" s="19"/>
      <c r="O236" s="19"/>
      <c r="P236" s="23"/>
      <c r="Q236" s="23"/>
      <c r="R236" s="23"/>
    </row>
    <row r="237" spans="1:18" ht="18" customHeight="1">
      <c r="A237" s="194"/>
      <c r="B237" s="195"/>
      <c r="C237" s="195"/>
      <c r="D237" s="195"/>
      <c r="E237" s="195"/>
      <c r="F237" s="195"/>
      <c r="G237" s="196"/>
      <c r="H237" s="196"/>
      <c r="I237" s="196"/>
      <c r="J237" s="196"/>
      <c r="K237" s="196"/>
      <c r="L237" s="196"/>
      <c r="M237" s="196"/>
      <c r="N237" s="196"/>
      <c r="O237" s="196"/>
      <c r="P237" s="195"/>
      <c r="Q237" s="195"/>
      <c r="R237" s="195"/>
    </row>
    <row r="238" spans="1:18" ht="18" customHeight="1">
      <c r="A238" s="193"/>
      <c r="B238" s="23"/>
      <c r="C238" s="23"/>
      <c r="D238" s="23"/>
      <c r="E238" s="23"/>
      <c r="F238" s="23"/>
      <c r="G238" s="19"/>
      <c r="H238" s="19"/>
      <c r="I238" s="19"/>
      <c r="J238" s="19"/>
      <c r="K238" s="19"/>
      <c r="L238" s="19"/>
      <c r="M238" s="19"/>
      <c r="N238" s="19"/>
      <c r="O238" s="19"/>
      <c r="P238" s="23"/>
      <c r="Q238" s="23"/>
      <c r="R238" s="23"/>
    </row>
    <row r="239" spans="1:18" ht="18" customHeight="1">
      <c r="A239" s="194"/>
      <c r="B239" s="195"/>
      <c r="C239" s="195"/>
      <c r="D239" s="195"/>
      <c r="E239" s="195"/>
      <c r="F239" s="195"/>
      <c r="G239" s="196"/>
      <c r="H239" s="196"/>
      <c r="I239" s="196"/>
      <c r="J239" s="196"/>
      <c r="K239" s="196"/>
      <c r="L239" s="196"/>
      <c r="M239" s="196"/>
      <c r="N239" s="196"/>
      <c r="O239" s="196"/>
      <c r="P239" s="195"/>
      <c r="Q239" s="195"/>
      <c r="R239" s="195"/>
    </row>
    <row r="240" spans="1:18" ht="18" customHeight="1">
      <c r="A240" s="193"/>
      <c r="B240" s="23"/>
      <c r="C240" s="23"/>
      <c r="D240" s="23"/>
      <c r="E240" s="23"/>
      <c r="F240" s="23"/>
      <c r="G240" s="19"/>
      <c r="H240" s="19"/>
      <c r="I240" s="19"/>
      <c r="J240" s="19"/>
      <c r="K240" s="19"/>
      <c r="L240" s="19"/>
      <c r="M240" s="19"/>
      <c r="N240" s="19"/>
      <c r="O240" s="19"/>
      <c r="P240" s="23"/>
      <c r="Q240" s="23"/>
      <c r="R240" s="23"/>
    </row>
    <row r="241" spans="1:18" ht="18" customHeight="1">
      <c r="A241" s="194"/>
      <c r="B241" s="195"/>
      <c r="C241" s="195"/>
      <c r="D241" s="195"/>
      <c r="E241" s="195"/>
      <c r="F241" s="195"/>
      <c r="G241" s="196"/>
      <c r="H241" s="196"/>
      <c r="I241" s="196"/>
      <c r="J241" s="196"/>
      <c r="K241" s="196"/>
      <c r="L241" s="196"/>
      <c r="M241" s="196"/>
      <c r="N241" s="196"/>
      <c r="O241" s="196"/>
      <c r="P241" s="195"/>
      <c r="Q241" s="195"/>
      <c r="R241" s="195"/>
    </row>
    <row r="242" spans="1:18" ht="18" customHeight="1">
      <c r="A242" s="193"/>
      <c r="B242" s="23"/>
      <c r="C242" s="23"/>
      <c r="D242" s="23"/>
      <c r="E242" s="23"/>
      <c r="F242" s="23"/>
      <c r="G242" s="19"/>
      <c r="H242" s="19"/>
      <c r="I242" s="19"/>
      <c r="J242" s="19"/>
      <c r="K242" s="19"/>
      <c r="L242" s="19"/>
      <c r="M242" s="19"/>
      <c r="N242" s="19"/>
      <c r="O242" s="19"/>
      <c r="P242" s="23"/>
      <c r="Q242" s="23"/>
      <c r="R242" s="23"/>
    </row>
    <row r="243" spans="1:18" ht="18" customHeight="1">
      <c r="A243" s="194"/>
      <c r="B243" s="195"/>
      <c r="C243" s="195"/>
      <c r="D243" s="195"/>
      <c r="E243" s="195"/>
      <c r="F243" s="195"/>
      <c r="G243" s="196"/>
      <c r="H243" s="196"/>
      <c r="I243" s="196"/>
      <c r="J243" s="196"/>
      <c r="K243" s="196"/>
      <c r="L243" s="196"/>
      <c r="M243" s="196"/>
      <c r="N243" s="196"/>
      <c r="O243" s="196"/>
      <c r="P243" s="195"/>
      <c r="Q243" s="195"/>
      <c r="R243" s="195"/>
    </row>
    <row r="244" spans="1:18" ht="18" customHeight="1">
      <c r="A244" s="193"/>
      <c r="B244" s="23"/>
      <c r="C244" s="23"/>
      <c r="D244" s="23"/>
      <c r="E244" s="23"/>
      <c r="F244" s="23"/>
      <c r="G244" s="19"/>
      <c r="H244" s="19"/>
      <c r="I244" s="19"/>
      <c r="J244" s="19"/>
      <c r="K244" s="19"/>
      <c r="L244" s="19"/>
      <c r="M244" s="19"/>
      <c r="N244" s="19"/>
      <c r="O244" s="19"/>
      <c r="P244" s="23"/>
      <c r="Q244" s="23"/>
      <c r="R244" s="23"/>
    </row>
    <row r="245" spans="1:18" ht="18" customHeight="1">
      <c r="A245" s="194"/>
      <c r="B245" s="195"/>
      <c r="C245" s="195"/>
      <c r="D245" s="195"/>
      <c r="E245" s="195"/>
      <c r="F245" s="195"/>
      <c r="G245" s="196"/>
      <c r="H245" s="196"/>
      <c r="I245" s="196"/>
      <c r="J245" s="196"/>
      <c r="K245" s="196"/>
      <c r="L245" s="196"/>
      <c r="M245" s="196"/>
      <c r="N245" s="196"/>
      <c r="O245" s="196"/>
      <c r="P245" s="195"/>
      <c r="Q245" s="195"/>
      <c r="R245" s="195"/>
    </row>
    <row r="246" spans="1:18" ht="18" customHeight="1">
      <c r="A246" s="193"/>
      <c r="B246" s="23"/>
      <c r="C246" s="23"/>
      <c r="D246" s="23"/>
      <c r="E246" s="23"/>
      <c r="F246" s="23"/>
      <c r="G246" s="19"/>
      <c r="H246" s="19"/>
      <c r="I246" s="19"/>
      <c r="J246" s="19"/>
      <c r="K246" s="19"/>
      <c r="L246" s="19"/>
      <c r="M246" s="19"/>
      <c r="N246" s="19"/>
      <c r="O246" s="19"/>
      <c r="P246" s="23"/>
      <c r="Q246" s="23"/>
      <c r="R246" s="23"/>
    </row>
    <row r="247" spans="1:18" ht="18" customHeight="1">
      <c r="A247" s="194"/>
      <c r="B247" s="195"/>
      <c r="C247" s="195"/>
      <c r="D247" s="195"/>
      <c r="E247" s="195"/>
      <c r="F247" s="195"/>
      <c r="G247" s="196"/>
      <c r="H247" s="196"/>
      <c r="I247" s="196"/>
      <c r="J247" s="196"/>
      <c r="K247" s="196"/>
      <c r="L247" s="196"/>
      <c r="M247" s="196"/>
      <c r="N247" s="196"/>
      <c r="O247" s="196"/>
      <c r="P247" s="195"/>
      <c r="Q247" s="195"/>
      <c r="R247" s="195"/>
    </row>
    <row r="248" spans="1:18" ht="18" customHeight="1">
      <c r="A248" s="193"/>
      <c r="B248" s="23"/>
      <c r="C248" s="23"/>
      <c r="D248" s="23"/>
      <c r="E248" s="23"/>
      <c r="F248" s="23"/>
      <c r="G248" s="19"/>
      <c r="H248" s="19"/>
      <c r="I248" s="19"/>
      <c r="J248" s="19"/>
      <c r="K248" s="19"/>
      <c r="L248" s="19"/>
      <c r="M248" s="19"/>
      <c r="N248" s="19"/>
      <c r="O248" s="19"/>
      <c r="P248" s="23"/>
      <c r="Q248" s="23"/>
      <c r="R248" s="23"/>
    </row>
    <row r="249" spans="1:18" ht="18" customHeight="1">
      <c r="A249" s="194"/>
      <c r="B249" s="195"/>
      <c r="C249" s="195"/>
      <c r="D249" s="195"/>
      <c r="E249" s="195"/>
      <c r="F249" s="195"/>
      <c r="G249" s="196"/>
      <c r="H249" s="196"/>
      <c r="I249" s="196"/>
      <c r="J249" s="196"/>
      <c r="K249" s="196"/>
      <c r="L249" s="196"/>
      <c r="M249" s="196"/>
      <c r="N249" s="196"/>
      <c r="O249" s="196"/>
      <c r="P249" s="195"/>
      <c r="Q249" s="195"/>
      <c r="R249" s="195"/>
    </row>
    <row r="250" spans="1:18" ht="18" customHeight="1">
      <c r="A250" s="193"/>
      <c r="B250" s="23"/>
      <c r="C250" s="23"/>
      <c r="D250" s="23"/>
      <c r="E250" s="23"/>
      <c r="F250" s="23"/>
      <c r="G250" s="19"/>
      <c r="H250" s="19"/>
      <c r="I250" s="19"/>
      <c r="J250" s="19"/>
      <c r="K250" s="19"/>
      <c r="L250" s="19"/>
      <c r="M250" s="19"/>
      <c r="N250" s="19"/>
      <c r="O250" s="19"/>
      <c r="P250" s="23"/>
      <c r="Q250" s="23"/>
      <c r="R250" s="23"/>
    </row>
    <row r="251" spans="1:18" ht="18" customHeight="1">
      <c r="A251" s="194"/>
      <c r="B251" s="195"/>
      <c r="C251" s="195"/>
      <c r="D251" s="195"/>
      <c r="E251" s="195"/>
      <c r="F251" s="195"/>
      <c r="G251" s="196"/>
      <c r="H251" s="196"/>
      <c r="I251" s="196"/>
      <c r="J251" s="196"/>
      <c r="K251" s="196"/>
      <c r="L251" s="196"/>
      <c r="M251" s="196"/>
      <c r="N251" s="196"/>
      <c r="O251" s="196"/>
      <c r="P251" s="195"/>
      <c r="Q251" s="195"/>
      <c r="R251" s="195"/>
    </row>
    <row r="252" spans="1:18" ht="18" customHeight="1">
      <c r="A252" s="193"/>
      <c r="B252" s="23"/>
      <c r="C252" s="23"/>
      <c r="D252" s="23"/>
      <c r="E252" s="23"/>
      <c r="F252" s="23"/>
      <c r="G252" s="19"/>
      <c r="H252" s="19"/>
      <c r="I252" s="19"/>
      <c r="J252" s="19"/>
      <c r="K252" s="19"/>
      <c r="L252" s="19"/>
      <c r="M252" s="19"/>
      <c r="N252" s="19"/>
      <c r="O252" s="19"/>
      <c r="P252" s="23"/>
      <c r="Q252" s="23"/>
      <c r="R252" s="23"/>
    </row>
    <row r="253" spans="1:18" ht="18" customHeight="1">
      <c r="A253" s="194"/>
      <c r="B253" s="195"/>
      <c r="C253" s="195"/>
      <c r="D253" s="195"/>
      <c r="E253" s="195"/>
      <c r="F253" s="195"/>
      <c r="G253" s="196"/>
      <c r="H253" s="196"/>
      <c r="I253" s="196"/>
      <c r="J253" s="196"/>
      <c r="K253" s="196"/>
      <c r="L253" s="196"/>
      <c r="M253" s="196"/>
      <c r="N253" s="196"/>
      <c r="O253" s="196"/>
      <c r="P253" s="195"/>
      <c r="Q253" s="195"/>
      <c r="R253" s="195"/>
    </row>
    <row r="254" spans="1:18" ht="18" customHeight="1">
      <c r="A254" s="193"/>
      <c r="B254" s="23"/>
      <c r="C254" s="23"/>
      <c r="D254" s="23"/>
      <c r="E254" s="23"/>
      <c r="F254" s="23"/>
      <c r="G254" s="19"/>
      <c r="H254" s="19"/>
      <c r="I254" s="19"/>
      <c r="J254" s="19"/>
      <c r="K254" s="19"/>
      <c r="L254" s="19"/>
      <c r="M254" s="19"/>
      <c r="N254" s="19"/>
      <c r="O254" s="19"/>
      <c r="P254" s="23"/>
      <c r="Q254" s="23"/>
      <c r="R254" s="23"/>
    </row>
    <row r="255" spans="1:18" ht="18" customHeight="1">
      <c r="A255" s="194"/>
      <c r="B255" s="195"/>
      <c r="C255" s="195"/>
      <c r="D255" s="195"/>
      <c r="E255" s="195"/>
      <c r="F255" s="195"/>
      <c r="G255" s="196"/>
      <c r="H255" s="196"/>
      <c r="I255" s="196"/>
      <c r="J255" s="196"/>
      <c r="K255" s="196"/>
      <c r="L255" s="196"/>
      <c r="M255" s="196"/>
      <c r="N255" s="196"/>
      <c r="O255" s="196"/>
      <c r="P255" s="195"/>
      <c r="Q255" s="195"/>
      <c r="R255" s="195"/>
    </row>
    <row r="256" spans="1:18" ht="18" customHeight="1">
      <c r="A256" s="193"/>
      <c r="B256" s="23"/>
      <c r="C256" s="23"/>
      <c r="D256" s="23"/>
      <c r="E256" s="23"/>
      <c r="F256" s="23"/>
      <c r="G256" s="19"/>
      <c r="H256" s="19"/>
      <c r="I256" s="19"/>
      <c r="J256" s="19"/>
      <c r="K256" s="19"/>
      <c r="L256" s="19"/>
      <c r="M256" s="19"/>
      <c r="N256" s="19"/>
      <c r="O256" s="19"/>
      <c r="P256" s="23"/>
      <c r="Q256" s="23"/>
      <c r="R256" s="23"/>
    </row>
    <row r="257" spans="1:18" ht="18" customHeight="1">
      <c r="A257" s="194"/>
      <c r="B257" s="195"/>
      <c r="C257" s="195"/>
      <c r="D257" s="195"/>
      <c r="E257" s="195"/>
      <c r="F257" s="195"/>
      <c r="G257" s="196"/>
      <c r="H257" s="196"/>
      <c r="I257" s="196"/>
      <c r="J257" s="196"/>
      <c r="K257" s="196"/>
      <c r="L257" s="196"/>
      <c r="M257" s="196"/>
      <c r="N257" s="196"/>
      <c r="O257" s="196"/>
      <c r="P257" s="195"/>
      <c r="Q257" s="195"/>
      <c r="R257" s="195"/>
    </row>
    <row r="258" spans="1:18" ht="18" customHeight="1">
      <c r="A258" s="193"/>
      <c r="B258" s="23"/>
      <c r="C258" s="23"/>
      <c r="D258" s="23"/>
      <c r="E258" s="23"/>
      <c r="F258" s="23"/>
      <c r="G258" s="19"/>
      <c r="H258" s="19"/>
      <c r="I258" s="19"/>
      <c r="J258" s="19"/>
      <c r="K258" s="19"/>
      <c r="L258" s="19"/>
      <c r="M258" s="19"/>
      <c r="N258" s="19"/>
      <c r="O258" s="19"/>
      <c r="P258" s="23"/>
      <c r="Q258" s="23"/>
      <c r="R258" s="23"/>
    </row>
    <row r="259" spans="1:18" ht="18" customHeight="1">
      <c r="A259" s="194"/>
      <c r="B259" s="195"/>
      <c r="C259" s="195"/>
      <c r="D259" s="195"/>
      <c r="E259" s="195"/>
      <c r="F259" s="195"/>
      <c r="G259" s="196"/>
      <c r="H259" s="196"/>
      <c r="I259" s="196"/>
      <c r="J259" s="196"/>
      <c r="K259" s="196"/>
      <c r="L259" s="196"/>
      <c r="M259" s="196"/>
      <c r="N259" s="196"/>
      <c r="O259" s="196"/>
      <c r="P259" s="195"/>
      <c r="Q259" s="195"/>
      <c r="R259" s="195"/>
    </row>
    <row r="260" spans="1:18" ht="18" customHeight="1">
      <c r="A260" s="193"/>
      <c r="B260" s="23"/>
      <c r="C260" s="23"/>
      <c r="D260" s="23"/>
      <c r="E260" s="23"/>
      <c r="F260" s="23"/>
      <c r="G260" s="19"/>
      <c r="H260" s="19"/>
      <c r="I260" s="19"/>
      <c r="J260" s="19"/>
      <c r="K260" s="19"/>
      <c r="L260" s="19"/>
      <c r="M260" s="19"/>
      <c r="N260" s="19"/>
      <c r="O260" s="19"/>
      <c r="P260" s="23"/>
      <c r="Q260" s="23"/>
      <c r="R260" s="23"/>
    </row>
    <row r="261" spans="1:18" ht="18" customHeight="1">
      <c r="A261" s="194"/>
      <c r="B261" s="195"/>
      <c r="C261" s="195"/>
      <c r="D261" s="195"/>
      <c r="E261" s="195"/>
      <c r="F261" s="195"/>
      <c r="G261" s="196"/>
      <c r="H261" s="196"/>
      <c r="I261" s="196"/>
      <c r="J261" s="196"/>
      <c r="K261" s="196"/>
      <c r="L261" s="196"/>
      <c r="M261" s="196"/>
      <c r="N261" s="196"/>
      <c r="O261" s="196"/>
      <c r="P261" s="195"/>
      <c r="Q261" s="195"/>
      <c r="R261" s="195"/>
    </row>
    <row r="262" spans="1:18" ht="18" customHeight="1">
      <c r="A262" s="193"/>
      <c r="B262" s="23"/>
      <c r="C262" s="23"/>
      <c r="D262" s="23"/>
      <c r="E262" s="23"/>
      <c r="F262" s="23"/>
      <c r="G262" s="19"/>
      <c r="H262" s="19"/>
      <c r="I262" s="19"/>
      <c r="J262" s="19"/>
      <c r="K262" s="19"/>
      <c r="L262" s="19"/>
      <c r="M262" s="19"/>
      <c r="N262" s="19"/>
      <c r="O262" s="19"/>
      <c r="P262" s="23"/>
      <c r="Q262" s="23"/>
      <c r="R262" s="23"/>
    </row>
    <row r="263" spans="1:18" ht="18" customHeight="1">
      <c r="A263" s="194"/>
      <c r="B263" s="195"/>
      <c r="C263" s="195"/>
      <c r="D263" s="195"/>
      <c r="E263" s="195"/>
      <c r="F263" s="195"/>
      <c r="G263" s="196"/>
      <c r="H263" s="196"/>
      <c r="I263" s="196"/>
      <c r="J263" s="196"/>
      <c r="K263" s="196"/>
      <c r="L263" s="196"/>
      <c r="M263" s="196"/>
      <c r="N263" s="196"/>
      <c r="O263" s="196"/>
      <c r="P263" s="195"/>
      <c r="Q263" s="195"/>
      <c r="R263" s="195"/>
    </row>
    <row r="264" spans="1:18" ht="18" customHeight="1">
      <c r="A264" s="193"/>
      <c r="B264" s="23"/>
      <c r="C264" s="23"/>
      <c r="D264" s="23"/>
      <c r="E264" s="23"/>
      <c r="F264" s="23"/>
      <c r="G264" s="19"/>
      <c r="H264" s="19"/>
      <c r="I264" s="19"/>
      <c r="J264" s="19"/>
      <c r="K264" s="19"/>
      <c r="L264" s="19"/>
      <c r="M264" s="19"/>
      <c r="N264" s="19"/>
      <c r="O264" s="19"/>
      <c r="P264" s="23"/>
      <c r="Q264" s="23"/>
      <c r="R264" s="23"/>
    </row>
    <row r="265" spans="1:18" ht="18" customHeight="1">
      <c r="A265" s="194"/>
      <c r="B265" s="195"/>
      <c r="C265" s="195"/>
      <c r="D265" s="195"/>
      <c r="E265" s="195"/>
      <c r="F265" s="195"/>
      <c r="G265" s="196"/>
      <c r="H265" s="196"/>
      <c r="I265" s="196"/>
      <c r="J265" s="196"/>
      <c r="K265" s="196"/>
      <c r="L265" s="196"/>
      <c r="M265" s="196"/>
      <c r="N265" s="196"/>
      <c r="O265" s="196"/>
      <c r="P265" s="195"/>
      <c r="Q265" s="195"/>
      <c r="R265" s="195"/>
    </row>
    <row r="266" spans="1:18" ht="18" customHeight="1">
      <c r="A266" s="193"/>
      <c r="B266" s="23"/>
      <c r="C266" s="23"/>
      <c r="D266" s="23"/>
      <c r="E266" s="23"/>
      <c r="F266" s="23"/>
      <c r="G266" s="19"/>
      <c r="H266" s="19"/>
      <c r="I266" s="19"/>
      <c r="J266" s="19"/>
      <c r="K266" s="19"/>
      <c r="L266" s="19"/>
      <c r="M266" s="19"/>
      <c r="N266" s="19"/>
      <c r="O266" s="19"/>
      <c r="P266" s="23"/>
      <c r="Q266" s="23"/>
      <c r="R266" s="23"/>
    </row>
    <row r="267" spans="1:18" ht="18" customHeight="1">
      <c r="A267" s="194"/>
      <c r="B267" s="195"/>
      <c r="C267" s="195"/>
      <c r="D267" s="195"/>
      <c r="E267" s="195"/>
      <c r="F267" s="195"/>
      <c r="G267" s="196"/>
      <c r="H267" s="196"/>
      <c r="I267" s="196"/>
      <c r="J267" s="196"/>
      <c r="K267" s="196"/>
      <c r="L267" s="196"/>
      <c r="M267" s="196"/>
      <c r="N267" s="196"/>
      <c r="O267" s="196"/>
      <c r="P267" s="195"/>
      <c r="Q267" s="195"/>
      <c r="R267" s="195"/>
    </row>
    <row r="268" spans="1:18" ht="18" customHeight="1">
      <c r="A268" s="193"/>
      <c r="B268" s="23"/>
      <c r="C268" s="23"/>
      <c r="D268" s="23"/>
      <c r="E268" s="23"/>
      <c r="F268" s="23"/>
      <c r="G268" s="19"/>
      <c r="H268" s="19"/>
      <c r="I268" s="19"/>
      <c r="J268" s="19"/>
      <c r="K268" s="19"/>
      <c r="L268" s="19"/>
      <c r="M268" s="19"/>
      <c r="N268" s="19"/>
      <c r="O268" s="19"/>
      <c r="P268" s="23"/>
      <c r="Q268" s="23"/>
      <c r="R268" s="23"/>
    </row>
    <row r="269" spans="1:18" ht="18" customHeight="1">
      <c r="A269" s="194"/>
      <c r="B269" s="195"/>
      <c r="C269" s="195"/>
      <c r="D269" s="195"/>
      <c r="E269" s="195"/>
      <c r="F269" s="195"/>
      <c r="G269" s="196"/>
      <c r="H269" s="196"/>
      <c r="I269" s="196"/>
      <c r="J269" s="196"/>
      <c r="K269" s="196"/>
      <c r="L269" s="196"/>
      <c r="M269" s="196"/>
      <c r="N269" s="196"/>
      <c r="O269" s="196"/>
      <c r="P269" s="195"/>
      <c r="Q269" s="195"/>
      <c r="R269" s="195"/>
    </row>
    <row r="270" spans="1:18" ht="18" customHeight="1">
      <c r="A270" s="193"/>
      <c r="B270" s="23"/>
      <c r="C270" s="23"/>
      <c r="D270" s="23"/>
      <c r="E270" s="23"/>
      <c r="F270" s="23"/>
      <c r="G270" s="19"/>
      <c r="H270" s="19"/>
      <c r="I270" s="19"/>
      <c r="J270" s="19"/>
      <c r="K270" s="19"/>
      <c r="L270" s="19"/>
      <c r="M270" s="19"/>
      <c r="N270" s="19"/>
      <c r="O270" s="19"/>
      <c r="P270" s="23"/>
      <c r="Q270" s="23"/>
      <c r="R270" s="23"/>
    </row>
    <row r="271" spans="1:18" ht="18" customHeight="1">
      <c r="A271" s="194"/>
      <c r="B271" s="195"/>
      <c r="C271" s="195"/>
      <c r="D271" s="195"/>
      <c r="E271" s="195"/>
      <c r="F271" s="195"/>
      <c r="G271" s="196"/>
      <c r="H271" s="196"/>
      <c r="I271" s="196"/>
      <c r="J271" s="196"/>
      <c r="K271" s="196"/>
      <c r="L271" s="196"/>
      <c r="M271" s="196"/>
      <c r="N271" s="196"/>
      <c r="O271" s="196"/>
      <c r="P271" s="195"/>
      <c r="Q271" s="195"/>
      <c r="R271" s="195"/>
    </row>
    <row r="272" spans="1:18" ht="18" customHeight="1">
      <c r="A272" s="193"/>
      <c r="B272" s="23"/>
      <c r="C272" s="23"/>
      <c r="D272" s="23"/>
      <c r="E272" s="23"/>
      <c r="F272" s="23"/>
      <c r="G272" s="19"/>
      <c r="H272" s="19"/>
      <c r="I272" s="19"/>
      <c r="J272" s="19"/>
      <c r="K272" s="19"/>
      <c r="L272" s="19"/>
      <c r="M272" s="19"/>
      <c r="N272" s="19"/>
      <c r="O272" s="19"/>
      <c r="P272" s="23"/>
      <c r="Q272" s="23"/>
      <c r="R272" s="23"/>
    </row>
    <row r="273" spans="1:18" ht="18" customHeight="1">
      <c r="A273" s="194"/>
      <c r="B273" s="195"/>
      <c r="C273" s="195"/>
      <c r="D273" s="195"/>
      <c r="E273" s="195"/>
      <c r="F273" s="195"/>
      <c r="G273" s="196"/>
      <c r="H273" s="196"/>
      <c r="I273" s="196"/>
      <c r="J273" s="196"/>
      <c r="K273" s="196"/>
      <c r="L273" s="196"/>
      <c r="M273" s="196"/>
      <c r="N273" s="196"/>
      <c r="O273" s="196"/>
      <c r="P273" s="195"/>
      <c r="Q273" s="195"/>
      <c r="R273" s="195"/>
    </row>
    <row r="274" spans="1:18" ht="18" customHeight="1">
      <c r="A274" s="193"/>
      <c r="B274" s="23"/>
      <c r="C274" s="23"/>
      <c r="D274" s="23"/>
      <c r="E274" s="23"/>
      <c r="F274" s="23"/>
      <c r="G274" s="19"/>
      <c r="H274" s="19"/>
      <c r="I274" s="19"/>
      <c r="J274" s="19"/>
      <c r="K274" s="19"/>
      <c r="L274" s="19"/>
      <c r="M274" s="19"/>
      <c r="N274" s="19"/>
      <c r="O274" s="19"/>
      <c r="P274" s="23"/>
      <c r="Q274" s="23"/>
      <c r="R274" s="23"/>
    </row>
    <row r="275" spans="1:18" ht="18" customHeight="1">
      <c r="A275" s="194"/>
      <c r="B275" s="195"/>
      <c r="C275" s="195"/>
      <c r="D275" s="195"/>
      <c r="E275" s="195"/>
      <c r="F275" s="195"/>
      <c r="G275" s="196"/>
      <c r="H275" s="196"/>
      <c r="I275" s="196"/>
      <c r="J275" s="196"/>
      <c r="K275" s="196"/>
      <c r="L275" s="196"/>
      <c r="M275" s="196"/>
      <c r="N275" s="196"/>
      <c r="O275" s="196"/>
      <c r="P275" s="195"/>
      <c r="Q275" s="195"/>
      <c r="R275" s="195"/>
    </row>
    <row r="276" spans="1:18" ht="18" customHeight="1">
      <c r="A276" s="193"/>
      <c r="B276" s="23"/>
      <c r="C276" s="23"/>
      <c r="D276" s="23"/>
      <c r="E276" s="23"/>
      <c r="F276" s="23"/>
      <c r="G276" s="19"/>
      <c r="H276" s="19"/>
      <c r="I276" s="19"/>
      <c r="J276" s="19"/>
      <c r="K276" s="19"/>
      <c r="L276" s="19"/>
      <c r="M276" s="19"/>
      <c r="N276" s="19"/>
      <c r="O276" s="19"/>
      <c r="P276" s="23"/>
      <c r="Q276" s="23"/>
      <c r="R276" s="23"/>
    </row>
    <row r="277" spans="1:18" ht="18" customHeight="1">
      <c r="A277" s="194"/>
      <c r="B277" s="195"/>
      <c r="C277" s="195"/>
      <c r="D277" s="195"/>
      <c r="E277" s="195"/>
      <c r="F277" s="195"/>
      <c r="G277" s="196"/>
      <c r="H277" s="196"/>
      <c r="I277" s="196"/>
      <c r="J277" s="196"/>
      <c r="K277" s="196"/>
      <c r="L277" s="196"/>
      <c r="M277" s="196"/>
      <c r="N277" s="196"/>
      <c r="O277" s="196"/>
      <c r="P277" s="195"/>
      <c r="Q277" s="195"/>
      <c r="R277" s="195"/>
    </row>
    <row r="278" spans="1:18" ht="18" customHeight="1">
      <c r="A278" s="193"/>
      <c r="B278" s="23"/>
      <c r="C278" s="23"/>
      <c r="D278" s="23"/>
      <c r="E278" s="23"/>
      <c r="F278" s="23"/>
      <c r="G278" s="19"/>
      <c r="H278" s="19"/>
      <c r="I278" s="19"/>
      <c r="J278" s="19"/>
      <c r="K278" s="19"/>
      <c r="L278" s="19"/>
      <c r="M278" s="19"/>
      <c r="N278" s="19"/>
      <c r="O278" s="19"/>
      <c r="P278" s="23"/>
      <c r="Q278" s="23"/>
      <c r="R278" s="23"/>
    </row>
    <row r="279" spans="1:18" ht="18" customHeight="1">
      <c r="A279" s="194"/>
      <c r="B279" s="195"/>
      <c r="C279" s="195"/>
      <c r="D279" s="195"/>
      <c r="E279" s="195"/>
      <c r="F279" s="195"/>
      <c r="G279" s="196"/>
      <c r="H279" s="196"/>
      <c r="I279" s="196"/>
      <c r="J279" s="196"/>
      <c r="K279" s="196"/>
      <c r="L279" s="196"/>
      <c r="M279" s="196"/>
      <c r="N279" s="196"/>
      <c r="O279" s="196"/>
      <c r="P279" s="195"/>
      <c r="Q279" s="195"/>
      <c r="R279" s="195"/>
    </row>
    <row r="280" spans="1:18" ht="18" customHeight="1">
      <c r="A280" s="193"/>
      <c r="B280" s="23"/>
      <c r="C280" s="23"/>
      <c r="D280" s="23"/>
      <c r="E280" s="23"/>
      <c r="F280" s="23"/>
      <c r="G280" s="19"/>
      <c r="H280" s="19"/>
      <c r="I280" s="19"/>
      <c r="J280" s="19"/>
      <c r="K280" s="19"/>
      <c r="L280" s="19"/>
      <c r="M280" s="19"/>
      <c r="N280" s="19"/>
      <c r="O280" s="19"/>
      <c r="P280" s="23"/>
      <c r="Q280" s="23"/>
      <c r="R280" s="23"/>
    </row>
    <row r="281" spans="1:18" ht="18" customHeight="1">
      <c r="A281" s="194"/>
      <c r="B281" s="195"/>
      <c r="C281" s="195"/>
      <c r="D281" s="195"/>
      <c r="E281" s="195"/>
      <c r="F281" s="195"/>
      <c r="G281" s="196"/>
      <c r="H281" s="196"/>
      <c r="I281" s="196"/>
      <c r="J281" s="196"/>
      <c r="K281" s="196"/>
      <c r="L281" s="196"/>
      <c r="M281" s="196"/>
      <c r="N281" s="196"/>
      <c r="O281" s="196"/>
      <c r="P281" s="195"/>
      <c r="Q281" s="195"/>
      <c r="R281" s="195"/>
    </row>
    <row r="282" spans="1:18" ht="18" customHeight="1">
      <c r="A282" s="193"/>
      <c r="B282" s="23"/>
      <c r="C282" s="23"/>
      <c r="D282" s="23"/>
      <c r="E282" s="23"/>
      <c r="F282" s="23"/>
      <c r="G282" s="19"/>
      <c r="H282" s="19"/>
      <c r="I282" s="19"/>
      <c r="J282" s="19"/>
      <c r="K282" s="19"/>
      <c r="L282" s="19"/>
      <c r="M282" s="19"/>
      <c r="N282" s="19"/>
      <c r="O282" s="19"/>
      <c r="P282" s="23"/>
      <c r="Q282" s="23"/>
      <c r="R282" s="23"/>
    </row>
    <row r="283" spans="1:18" ht="18" customHeight="1">
      <c r="A283" s="194"/>
      <c r="B283" s="195"/>
      <c r="C283" s="195"/>
      <c r="D283" s="195"/>
      <c r="E283" s="195"/>
      <c r="F283" s="195"/>
      <c r="G283" s="196"/>
      <c r="H283" s="196"/>
      <c r="I283" s="196"/>
      <c r="J283" s="196"/>
      <c r="K283" s="196"/>
      <c r="L283" s="196"/>
      <c r="M283" s="196"/>
      <c r="N283" s="196"/>
      <c r="O283" s="196"/>
      <c r="P283" s="195"/>
      <c r="Q283" s="195"/>
      <c r="R283" s="195"/>
    </row>
    <row r="284" spans="1:18" ht="18" customHeight="1">
      <c r="A284" s="193"/>
      <c r="B284" s="23"/>
      <c r="C284" s="23"/>
      <c r="D284" s="23"/>
      <c r="E284" s="23"/>
      <c r="F284" s="23"/>
      <c r="G284" s="19"/>
      <c r="H284" s="19"/>
      <c r="I284" s="19"/>
      <c r="J284" s="19"/>
      <c r="K284" s="19"/>
      <c r="L284" s="19"/>
      <c r="M284" s="19"/>
      <c r="N284" s="19"/>
      <c r="O284" s="19"/>
      <c r="P284" s="23"/>
      <c r="Q284" s="23"/>
      <c r="R284" s="23"/>
    </row>
    <row r="285" spans="1:18" ht="18" customHeight="1">
      <c r="A285" s="194"/>
      <c r="B285" s="195"/>
      <c r="C285" s="195"/>
      <c r="D285" s="195"/>
      <c r="E285" s="195"/>
      <c r="F285" s="195"/>
      <c r="G285" s="196"/>
      <c r="H285" s="196"/>
      <c r="I285" s="196"/>
      <c r="J285" s="196"/>
      <c r="K285" s="196"/>
      <c r="L285" s="196"/>
      <c r="M285" s="196"/>
      <c r="N285" s="196"/>
      <c r="O285" s="196"/>
      <c r="P285" s="195"/>
      <c r="Q285" s="195"/>
      <c r="R285" s="195"/>
    </row>
    <row r="286" spans="1:18" ht="18" customHeight="1">
      <c r="A286" s="193"/>
      <c r="B286" s="23"/>
      <c r="C286" s="23"/>
      <c r="D286" s="23"/>
      <c r="E286" s="23"/>
      <c r="F286" s="23"/>
      <c r="G286" s="19"/>
      <c r="H286" s="19"/>
      <c r="I286" s="19"/>
      <c r="J286" s="19"/>
      <c r="K286" s="19"/>
      <c r="L286" s="19"/>
      <c r="M286" s="19"/>
      <c r="N286" s="19"/>
      <c r="O286" s="19"/>
      <c r="P286" s="23"/>
      <c r="Q286" s="23"/>
      <c r="R286" s="23"/>
    </row>
    <row r="287" spans="1:18" ht="18" customHeight="1">
      <c r="A287" s="194"/>
      <c r="B287" s="195"/>
      <c r="C287" s="195"/>
      <c r="D287" s="195"/>
      <c r="E287" s="195"/>
      <c r="F287" s="195"/>
      <c r="G287" s="196"/>
      <c r="H287" s="196"/>
      <c r="I287" s="196"/>
      <c r="J287" s="196"/>
      <c r="K287" s="196"/>
      <c r="L287" s="196"/>
      <c r="M287" s="196"/>
      <c r="N287" s="196"/>
      <c r="O287" s="196"/>
      <c r="P287" s="195"/>
      <c r="Q287" s="195"/>
      <c r="R287" s="195"/>
    </row>
    <row r="288" spans="1:18" ht="18" customHeight="1">
      <c r="A288" s="193"/>
      <c r="B288" s="23"/>
      <c r="C288" s="23"/>
      <c r="D288" s="23"/>
      <c r="E288" s="23"/>
      <c r="F288" s="23"/>
      <c r="G288" s="19"/>
      <c r="H288" s="19"/>
      <c r="I288" s="19"/>
      <c r="J288" s="19"/>
      <c r="K288" s="19"/>
      <c r="L288" s="19"/>
      <c r="M288" s="19"/>
      <c r="N288" s="19"/>
      <c r="O288" s="19"/>
      <c r="P288" s="23"/>
      <c r="Q288" s="23"/>
      <c r="R288" s="23"/>
    </row>
    <row r="289" spans="1:18" ht="18" customHeight="1">
      <c r="A289" s="194"/>
      <c r="B289" s="195"/>
      <c r="C289" s="195"/>
      <c r="D289" s="195"/>
      <c r="E289" s="195"/>
      <c r="F289" s="195"/>
      <c r="G289" s="196"/>
      <c r="H289" s="196"/>
      <c r="I289" s="196"/>
      <c r="J289" s="196"/>
      <c r="K289" s="196"/>
      <c r="L289" s="196"/>
      <c r="M289" s="196"/>
      <c r="N289" s="196"/>
      <c r="O289" s="196"/>
      <c r="P289" s="195"/>
      <c r="Q289" s="195"/>
      <c r="R289" s="195"/>
    </row>
    <row r="290" spans="1:18" ht="18" customHeight="1">
      <c r="A290" s="193"/>
      <c r="B290" s="23"/>
      <c r="C290" s="23"/>
      <c r="D290" s="23"/>
      <c r="E290" s="23"/>
      <c r="F290" s="23"/>
      <c r="G290" s="19"/>
      <c r="H290" s="19"/>
      <c r="I290" s="19"/>
      <c r="J290" s="19"/>
      <c r="K290" s="19"/>
      <c r="L290" s="19"/>
      <c r="M290" s="19"/>
      <c r="N290" s="19"/>
      <c r="O290" s="19"/>
      <c r="P290" s="23"/>
      <c r="Q290" s="23"/>
      <c r="R290" s="23"/>
    </row>
    <row r="291" spans="1:18" ht="18" customHeight="1">
      <c r="A291" s="194"/>
      <c r="B291" s="195"/>
      <c r="C291" s="195"/>
      <c r="D291" s="195"/>
      <c r="E291" s="195"/>
      <c r="F291" s="195"/>
      <c r="G291" s="196"/>
      <c r="H291" s="196"/>
      <c r="I291" s="196"/>
      <c r="J291" s="196"/>
      <c r="K291" s="196"/>
      <c r="L291" s="196"/>
      <c r="M291" s="196"/>
      <c r="N291" s="196"/>
      <c r="O291" s="196"/>
      <c r="P291" s="195"/>
      <c r="Q291" s="195"/>
      <c r="R291" s="195"/>
    </row>
    <row r="292" spans="1:18" ht="18" customHeight="1">
      <c r="A292" s="193"/>
      <c r="B292" s="23"/>
      <c r="C292" s="23"/>
      <c r="D292" s="23"/>
      <c r="E292" s="23"/>
      <c r="F292" s="23"/>
      <c r="G292" s="19"/>
      <c r="H292" s="19"/>
      <c r="I292" s="19"/>
      <c r="J292" s="19"/>
      <c r="K292" s="19"/>
      <c r="L292" s="19"/>
      <c r="M292" s="19"/>
      <c r="N292" s="19"/>
      <c r="O292" s="19"/>
      <c r="P292" s="23"/>
      <c r="Q292" s="23"/>
      <c r="R292" s="23"/>
    </row>
    <row r="293" spans="1:18" ht="18" customHeight="1">
      <c r="A293" s="194"/>
      <c r="B293" s="195"/>
      <c r="C293" s="195"/>
      <c r="D293" s="195"/>
      <c r="E293" s="195"/>
      <c r="F293" s="195"/>
      <c r="G293" s="196"/>
      <c r="H293" s="196"/>
      <c r="I293" s="196"/>
      <c r="J293" s="196"/>
      <c r="K293" s="196"/>
      <c r="L293" s="196"/>
      <c r="M293" s="196"/>
      <c r="N293" s="196"/>
      <c r="O293" s="196"/>
      <c r="P293" s="195"/>
      <c r="Q293" s="195"/>
      <c r="R293" s="195"/>
    </row>
    <row r="294" spans="1:18" ht="18" customHeight="1">
      <c r="A294" s="193"/>
      <c r="B294" s="23"/>
      <c r="C294" s="23"/>
      <c r="D294" s="23"/>
      <c r="E294" s="23"/>
      <c r="F294" s="23"/>
      <c r="G294" s="19"/>
      <c r="H294" s="19"/>
      <c r="I294" s="19"/>
      <c r="J294" s="19"/>
      <c r="K294" s="19"/>
      <c r="L294" s="19"/>
      <c r="M294" s="19"/>
      <c r="N294" s="19"/>
      <c r="O294" s="19"/>
      <c r="P294" s="23"/>
      <c r="Q294" s="23"/>
      <c r="R294" s="23"/>
    </row>
    <row r="295" spans="1:18" ht="18" customHeight="1">
      <c r="A295" s="194"/>
      <c r="B295" s="195"/>
      <c r="C295" s="195"/>
      <c r="D295" s="195"/>
      <c r="E295" s="195"/>
      <c r="F295" s="195"/>
      <c r="G295" s="196"/>
      <c r="H295" s="196"/>
      <c r="I295" s="196"/>
      <c r="J295" s="196"/>
      <c r="K295" s="196"/>
      <c r="L295" s="196"/>
      <c r="M295" s="196"/>
      <c r="N295" s="196"/>
      <c r="O295" s="196"/>
      <c r="P295" s="195"/>
      <c r="Q295" s="195"/>
      <c r="R295" s="195"/>
    </row>
    <row r="296" spans="1:18" ht="18" customHeight="1">
      <c r="A296" s="193"/>
      <c r="B296" s="23"/>
      <c r="C296" s="23"/>
      <c r="D296" s="23"/>
      <c r="E296" s="23"/>
      <c r="F296" s="23"/>
      <c r="G296" s="19"/>
      <c r="H296" s="19"/>
      <c r="I296" s="19"/>
      <c r="J296" s="19"/>
      <c r="K296" s="19"/>
      <c r="L296" s="19"/>
      <c r="M296" s="19"/>
      <c r="N296" s="19"/>
      <c r="O296" s="19"/>
      <c r="P296" s="23"/>
      <c r="Q296" s="23"/>
      <c r="R296" s="23"/>
    </row>
    <row r="297" spans="1:18" ht="18" customHeight="1">
      <c r="A297" s="194"/>
      <c r="B297" s="195"/>
      <c r="C297" s="195"/>
      <c r="D297" s="195"/>
      <c r="E297" s="195"/>
      <c r="F297" s="195"/>
      <c r="G297" s="196"/>
      <c r="H297" s="196"/>
      <c r="I297" s="196"/>
      <c r="J297" s="196"/>
      <c r="K297" s="196"/>
      <c r="L297" s="196"/>
      <c r="M297" s="196"/>
      <c r="N297" s="196"/>
      <c r="O297" s="196"/>
      <c r="P297" s="195"/>
      <c r="Q297" s="195"/>
      <c r="R297" s="195"/>
    </row>
    <row r="298" spans="1:18" ht="18" customHeight="1">
      <c r="A298" s="193"/>
      <c r="B298" s="23"/>
      <c r="C298" s="23"/>
      <c r="D298" s="23"/>
      <c r="E298" s="23"/>
      <c r="F298" s="23"/>
      <c r="G298" s="19"/>
      <c r="H298" s="19"/>
      <c r="I298" s="19"/>
      <c r="J298" s="19"/>
      <c r="K298" s="19"/>
      <c r="L298" s="19"/>
      <c r="M298" s="19"/>
      <c r="N298" s="19"/>
      <c r="O298" s="19"/>
      <c r="P298" s="23"/>
      <c r="Q298" s="23"/>
      <c r="R298" s="23"/>
    </row>
    <row r="299" spans="1:18" ht="18" customHeight="1">
      <c r="A299" s="194"/>
      <c r="B299" s="195"/>
      <c r="C299" s="195"/>
      <c r="D299" s="195"/>
      <c r="E299" s="195"/>
      <c r="F299" s="195"/>
      <c r="G299" s="196"/>
      <c r="H299" s="196"/>
      <c r="I299" s="196"/>
      <c r="J299" s="196"/>
      <c r="K299" s="196"/>
      <c r="L299" s="196"/>
      <c r="M299" s="196"/>
      <c r="N299" s="196"/>
      <c r="O299" s="196"/>
      <c r="P299" s="195"/>
      <c r="Q299" s="195"/>
      <c r="R299" s="195"/>
    </row>
    <row r="300" spans="1:18" ht="18" customHeight="1">
      <c r="A300" s="193"/>
      <c r="B300" s="23"/>
      <c r="C300" s="23"/>
      <c r="D300" s="23"/>
      <c r="E300" s="23"/>
      <c r="F300" s="23"/>
      <c r="G300" s="19"/>
      <c r="H300" s="19"/>
      <c r="I300" s="19"/>
      <c r="J300" s="19"/>
      <c r="K300" s="19"/>
      <c r="L300" s="19"/>
      <c r="M300" s="19"/>
      <c r="N300" s="19"/>
      <c r="O300" s="19"/>
      <c r="P300" s="23"/>
      <c r="Q300" s="23"/>
      <c r="R300" s="23"/>
    </row>
    <row r="301" spans="1:18" ht="18" customHeight="1">
      <c r="A301" s="194"/>
      <c r="B301" s="195"/>
      <c r="C301" s="195"/>
      <c r="D301" s="195"/>
      <c r="E301" s="195"/>
      <c r="F301" s="195"/>
      <c r="G301" s="196"/>
      <c r="H301" s="196"/>
      <c r="I301" s="196"/>
      <c r="J301" s="196"/>
      <c r="K301" s="196"/>
      <c r="L301" s="196"/>
      <c r="M301" s="196"/>
      <c r="N301" s="196"/>
      <c r="O301" s="196"/>
      <c r="P301" s="195"/>
      <c r="Q301" s="195"/>
      <c r="R301" s="195"/>
    </row>
    <row r="302" spans="1:18" ht="18" customHeight="1">
      <c r="A302" s="193"/>
      <c r="B302" s="23"/>
      <c r="C302" s="23"/>
      <c r="D302" s="23"/>
      <c r="E302" s="23"/>
      <c r="F302" s="23"/>
      <c r="G302" s="19"/>
      <c r="H302" s="19"/>
      <c r="I302" s="19"/>
      <c r="J302" s="19"/>
      <c r="K302" s="19"/>
      <c r="L302" s="19"/>
      <c r="M302" s="19"/>
      <c r="N302" s="19"/>
      <c r="O302" s="19"/>
      <c r="P302" s="23"/>
      <c r="Q302" s="23"/>
      <c r="R302" s="23"/>
    </row>
    <row r="303" spans="1:18" ht="18" customHeight="1">
      <c r="A303" s="194"/>
      <c r="B303" s="195"/>
      <c r="C303" s="195"/>
      <c r="D303" s="195"/>
      <c r="E303" s="195"/>
      <c r="F303" s="195"/>
      <c r="G303" s="196"/>
      <c r="H303" s="196"/>
      <c r="I303" s="196"/>
      <c r="J303" s="196"/>
      <c r="K303" s="196"/>
      <c r="L303" s="196"/>
      <c r="M303" s="196"/>
      <c r="N303" s="196"/>
      <c r="O303" s="196"/>
      <c r="P303" s="195"/>
      <c r="Q303" s="195"/>
      <c r="R303" s="195"/>
    </row>
    <row r="304" spans="1:18" ht="18" customHeight="1">
      <c r="A304" s="193"/>
      <c r="B304" s="23"/>
      <c r="C304" s="23"/>
      <c r="D304" s="23"/>
      <c r="E304" s="23"/>
      <c r="F304" s="23"/>
      <c r="G304" s="19"/>
      <c r="H304" s="19"/>
      <c r="I304" s="19"/>
      <c r="J304" s="19"/>
      <c r="K304" s="19"/>
      <c r="L304" s="19"/>
      <c r="M304" s="19"/>
      <c r="N304" s="19"/>
      <c r="O304" s="19"/>
      <c r="P304" s="23"/>
      <c r="Q304" s="23"/>
      <c r="R304" s="23"/>
    </row>
    <row r="305" spans="1:18" ht="18" customHeight="1">
      <c r="A305" s="194"/>
      <c r="B305" s="195"/>
      <c r="C305" s="195"/>
      <c r="D305" s="195"/>
      <c r="E305" s="195"/>
      <c r="F305" s="195"/>
      <c r="G305" s="196"/>
      <c r="H305" s="196"/>
      <c r="I305" s="196"/>
      <c r="J305" s="196"/>
      <c r="K305" s="196"/>
      <c r="L305" s="196"/>
      <c r="M305" s="196"/>
      <c r="N305" s="196"/>
      <c r="O305" s="196"/>
      <c r="P305" s="195"/>
      <c r="Q305" s="195"/>
      <c r="R305" s="195"/>
    </row>
    <row r="306" spans="1:18" ht="18" customHeight="1">
      <c r="A306" s="193"/>
      <c r="B306" s="23"/>
      <c r="C306" s="23"/>
      <c r="D306" s="23"/>
      <c r="E306" s="23"/>
      <c r="F306" s="23"/>
      <c r="G306" s="19"/>
      <c r="H306" s="19"/>
      <c r="I306" s="19"/>
      <c r="J306" s="19"/>
      <c r="K306" s="19"/>
      <c r="L306" s="19"/>
      <c r="M306" s="19"/>
      <c r="N306" s="19"/>
      <c r="O306" s="19"/>
      <c r="P306" s="23"/>
      <c r="Q306" s="23"/>
      <c r="R306" s="23"/>
    </row>
    <row r="307" spans="1:18" ht="18" customHeight="1">
      <c r="A307" s="194"/>
      <c r="B307" s="195"/>
      <c r="C307" s="195"/>
      <c r="D307" s="195"/>
      <c r="E307" s="195"/>
      <c r="F307" s="195"/>
      <c r="G307" s="196"/>
      <c r="H307" s="196"/>
      <c r="I307" s="196"/>
      <c r="J307" s="196"/>
      <c r="K307" s="196"/>
      <c r="L307" s="196"/>
      <c r="M307" s="196"/>
      <c r="N307" s="196"/>
      <c r="O307" s="196"/>
      <c r="P307" s="195"/>
      <c r="Q307" s="195"/>
      <c r="R307" s="195"/>
    </row>
    <row r="308" spans="1:18" ht="18" customHeight="1">
      <c r="A308" s="193"/>
      <c r="B308" s="23"/>
      <c r="C308" s="23"/>
      <c r="D308" s="23"/>
      <c r="E308" s="23"/>
      <c r="F308" s="23"/>
      <c r="G308" s="19"/>
      <c r="H308" s="19"/>
      <c r="I308" s="19"/>
      <c r="J308" s="19"/>
      <c r="K308" s="19"/>
      <c r="L308" s="19"/>
      <c r="M308" s="19"/>
      <c r="N308" s="19"/>
      <c r="O308" s="19"/>
      <c r="P308" s="23"/>
      <c r="Q308" s="23"/>
      <c r="R308" s="23"/>
    </row>
    <row r="309" spans="1:18" ht="18" customHeight="1">
      <c r="A309" s="194"/>
      <c r="B309" s="195"/>
      <c r="C309" s="195"/>
      <c r="D309" s="195"/>
      <c r="E309" s="195"/>
      <c r="F309" s="195"/>
      <c r="G309" s="196"/>
      <c r="H309" s="196"/>
      <c r="I309" s="196"/>
      <c r="J309" s="196"/>
      <c r="K309" s="196"/>
      <c r="L309" s="196"/>
      <c r="M309" s="196"/>
      <c r="N309" s="196"/>
      <c r="O309" s="196"/>
      <c r="P309" s="195"/>
      <c r="Q309" s="195"/>
      <c r="R309" s="195"/>
    </row>
    <row r="310" spans="1:18" ht="18" customHeight="1">
      <c r="A310" s="193"/>
      <c r="B310" s="23"/>
      <c r="C310" s="23"/>
      <c r="D310" s="23"/>
      <c r="E310" s="23"/>
      <c r="F310" s="23"/>
      <c r="G310" s="19"/>
      <c r="H310" s="19"/>
      <c r="I310" s="19"/>
      <c r="J310" s="19"/>
      <c r="K310" s="19"/>
      <c r="L310" s="19"/>
      <c r="M310" s="19"/>
      <c r="N310" s="19"/>
      <c r="O310" s="19"/>
      <c r="P310" s="23"/>
      <c r="Q310" s="23"/>
      <c r="R310" s="23"/>
    </row>
    <row r="311" spans="1:18" ht="18" customHeight="1">
      <c r="A311" s="194"/>
      <c r="B311" s="195"/>
      <c r="C311" s="195"/>
      <c r="D311" s="195"/>
      <c r="E311" s="195"/>
      <c r="F311" s="195"/>
      <c r="G311" s="196"/>
      <c r="H311" s="196"/>
      <c r="I311" s="196"/>
      <c r="J311" s="196"/>
      <c r="K311" s="196"/>
      <c r="L311" s="196"/>
      <c r="M311" s="196"/>
      <c r="N311" s="196"/>
      <c r="O311" s="196"/>
      <c r="P311" s="195"/>
      <c r="Q311" s="195"/>
      <c r="R311" s="195"/>
    </row>
    <row r="312" spans="1:18" ht="18" customHeight="1">
      <c r="A312" s="193"/>
      <c r="B312" s="23"/>
      <c r="C312" s="23"/>
      <c r="D312" s="23"/>
      <c r="E312" s="23"/>
      <c r="F312" s="23"/>
      <c r="G312" s="19"/>
      <c r="H312" s="19"/>
      <c r="I312" s="19"/>
      <c r="J312" s="19"/>
      <c r="K312" s="19"/>
      <c r="L312" s="19"/>
      <c r="M312" s="19"/>
      <c r="N312" s="19"/>
      <c r="O312" s="19"/>
      <c r="P312" s="23"/>
      <c r="Q312" s="23"/>
      <c r="R312" s="23"/>
    </row>
    <row r="313" spans="1:18" ht="18" customHeight="1">
      <c r="A313" s="194"/>
      <c r="B313" s="195"/>
      <c r="C313" s="195"/>
      <c r="D313" s="195"/>
      <c r="E313" s="195"/>
      <c r="F313" s="195"/>
      <c r="G313" s="196"/>
      <c r="H313" s="196"/>
      <c r="I313" s="196"/>
      <c r="J313" s="196"/>
      <c r="K313" s="196"/>
      <c r="L313" s="196"/>
      <c r="M313" s="196"/>
      <c r="N313" s="196"/>
      <c r="O313" s="196"/>
      <c r="P313" s="195"/>
      <c r="Q313" s="195"/>
      <c r="R313" s="195"/>
    </row>
    <row r="314" spans="1:18" ht="18" customHeight="1">
      <c r="A314" s="193"/>
      <c r="B314" s="23"/>
      <c r="C314" s="23"/>
      <c r="D314" s="23"/>
      <c r="E314" s="23"/>
      <c r="F314" s="23"/>
      <c r="G314" s="19"/>
      <c r="H314" s="19"/>
      <c r="I314" s="19"/>
      <c r="J314" s="19"/>
      <c r="K314" s="19"/>
      <c r="L314" s="19"/>
      <c r="M314" s="19"/>
      <c r="N314" s="19"/>
      <c r="O314" s="19"/>
      <c r="P314" s="23"/>
      <c r="Q314" s="23"/>
      <c r="R314" s="23"/>
    </row>
    <row r="315" spans="1:18" ht="18" customHeight="1">
      <c r="A315" s="194"/>
      <c r="B315" s="195"/>
      <c r="C315" s="195"/>
      <c r="D315" s="195"/>
      <c r="E315" s="195"/>
      <c r="F315" s="195"/>
      <c r="G315" s="196"/>
      <c r="H315" s="196"/>
      <c r="I315" s="196"/>
      <c r="J315" s="196"/>
      <c r="K315" s="196"/>
      <c r="L315" s="196"/>
      <c r="M315" s="196"/>
      <c r="N315" s="196"/>
      <c r="O315" s="196"/>
      <c r="P315" s="195"/>
      <c r="Q315" s="195"/>
      <c r="R315" s="195"/>
    </row>
    <row r="316" spans="1:18" ht="18" customHeight="1">
      <c r="A316" s="193"/>
      <c r="B316" s="23"/>
      <c r="C316" s="23"/>
      <c r="D316" s="23"/>
      <c r="E316" s="23"/>
      <c r="F316" s="23"/>
      <c r="G316" s="19"/>
      <c r="H316" s="19"/>
      <c r="I316" s="19"/>
      <c r="J316" s="19"/>
      <c r="K316" s="19"/>
      <c r="L316" s="19"/>
      <c r="M316" s="19"/>
      <c r="N316" s="19"/>
      <c r="O316" s="19"/>
      <c r="P316" s="23"/>
      <c r="Q316" s="23"/>
      <c r="R316" s="23"/>
    </row>
    <row r="317" spans="1:18" ht="18" customHeight="1">
      <c r="A317" s="194"/>
      <c r="B317" s="195"/>
      <c r="C317" s="195"/>
      <c r="D317" s="195"/>
      <c r="E317" s="195"/>
      <c r="F317" s="195"/>
      <c r="G317" s="196"/>
      <c r="H317" s="196"/>
      <c r="I317" s="196"/>
      <c r="J317" s="196"/>
      <c r="K317" s="196"/>
      <c r="L317" s="196"/>
      <c r="M317" s="196"/>
      <c r="N317" s="196"/>
      <c r="O317" s="196"/>
      <c r="P317" s="195"/>
      <c r="Q317" s="195"/>
      <c r="R317" s="195"/>
    </row>
    <row r="318" spans="1:18" ht="18" customHeight="1">
      <c r="A318" s="193"/>
      <c r="B318" s="23"/>
      <c r="C318" s="23"/>
      <c r="D318" s="23"/>
      <c r="E318" s="23"/>
      <c r="F318" s="23"/>
      <c r="G318" s="19"/>
      <c r="H318" s="19"/>
      <c r="I318" s="19"/>
      <c r="J318" s="19"/>
      <c r="K318" s="19"/>
      <c r="L318" s="19"/>
      <c r="M318" s="19"/>
      <c r="N318" s="19"/>
      <c r="O318" s="19"/>
      <c r="P318" s="23"/>
      <c r="Q318" s="23"/>
      <c r="R318" s="23"/>
    </row>
    <row r="319" spans="1:18" ht="18" customHeight="1">
      <c r="A319" s="194"/>
      <c r="B319" s="195"/>
      <c r="C319" s="195"/>
      <c r="D319" s="195"/>
      <c r="E319" s="195"/>
      <c r="F319" s="195"/>
      <c r="G319" s="196"/>
      <c r="H319" s="196"/>
      <c r="I319" s="196"/>
      <c r="J319" s="196"/>
      <c r="K319" s="196"/>
      <c r="L319" s="196"/>
      <c r="M319" s="196"/>
      <c r="N319" s="196"/>
      <c r="O319" s="196"/>
      <c r="P319" s="195"/>
      <c r="Q319" s="195"/>
      <c r="R319" s="195"/>
    </row>
    <row r="320" spans="1:18" ht="18" customHeight="1">
      <c r="A320" s="193"/>
      <c r="B320" s="23"/>
      <c r="C320" s="23"/>
      <c r="D320" s="23"/>
      <c r="E320" s="23"/>
      <c r="F320" s="23"/>
      <c r="G320" s="19"/>
      <c r="H320" s="19"/>
      <c r="I320" s="19"/>
      <c r="J320" s="19"/>
      <c r="K320" s="19"/>
      <c r="L320" s="19"/>
      <c r="M320" s="19"/>
      <c r="N320" s="19"/>
      <c r="O320" s="19"/>
      <c r="P320" s="23"/>
      <c r="Q320" s="23"/>
      <c r="R320" s="23"/>
    </row>
    <row r="321" spans="1:18" ht="18" customHeight="1">
      <c r="A321" s="194"/>
      <c r="B321" s="195"/>
      <c r="C321" s="195"/>
      <c r="D321" s="195"/>
      <c r="E321" s="195"/>
      <c r="F321" s="195"/>
      <c r="G321" s="196"/>
      <c r="H321" s="196"/>
      <c r="I321" s="196"/>
      <c r="J321" s="196"/>
      <c r="K321" s="196"/>
      <c r="L321" s="196"/>
      <c r="M321" s="196"/>
      <c r="N321" s="196"/>
      <c r="O321" s="196"/>
      <c r="P321" s="195"/>
      <c r="Q321" s="195"/>
      <c r="R321" s="195"/>
    </row>
    <row r="322" spans="1:18" ht="18" customHeight="1">
      <c r="A322" s="193"/>
      <c r="B322" s="23"/>
      <c r="C322" s="23"/>
      <c r="D322" s="23"/>
      <c r="E322" s="23"/>
      <c r="F322" s="23"/>
      <c r="G322" s="19"/>
      <c r="H322" s="19"/>
      <c r="I322" s="19"/>
      <c r="J322" s="19"/>
      <c r="K322" s="19"/>
      <c r="L322" s="19"/>
      <c r="M322" s="19"/>
      <c r="N322" s="19"/>
      <c r="O322" s="19"/>
      <c r="P322" s="23"/>
      <c r="Q322" s="23"/>
      <c r="R322" s="23"/>
    </row>
    <row r="323" spans="1:18" ht="18" customHeight="1">
      <c r="A323" s="194"/>
      <c r="B323" s="195"/>
      <c r="C323" s="195"/>
      <c r="D323" s="195"/>
      <c r="E323" s="195"/>
      <c r="F323" s="195"/>
      <c r="G323" s="196"/>
      <c r="H323" s="196"/>
      <c r="I323" s="196"/>
      <c r="J323" s="196"/>
      <c r="K323" s="196"/>
      <c r="L323" s="196"/>
      <c r="M323" s="196"/>
      <c r="N323" s="196"/>
      <c r="O323" s="196"/>
      <c r="P323" s="195"/>
      <c r="Q323" s="195"/>
      <c r="R323" s="195"/>
    </row>
    <row r="324" spans="1:18" ht="18" customHeight="1">
      <c r="A324" s="193"/>
      <c r="B324" s="23"/>
      <c r="C324" s="23"/>
      <c r="D324" s="23"/>
      <c r="E324" s="23"/>
      <c r="F324" s="23"/>
      <c r="G324" s="19"/>
      <c r="H324" s="19"/>
      <c r="I324" s="19"/>
      <c r="J324" s="19"/>
      <c r="K324" s="19"/>
      <c r="L324" s="19"/>
      <c r="M324" s="19"/>
      <c r="N324" s="19"/>
      <c r="O324" s="19"/>
      <c r="P324" s="23"/>
      <c r="Q324" s="23"/>
      <c r="R324" s="23"/>
    </row>
    <row r="325" spans="1:18" ht="18" customHeight="1">
      <c r="A325" s="194"/>
      <c r="B325" s="195"/>
      <c r="C325" s="195"/>
      <c r="D325" s="195"/>
      <c r="E325" s="195"/>
      <c r="F325" s="195"/>
      <c r="G325" s="196"/>
      <c r="H325" s="196"/>
      <c r="I325" s="196"/>
      <c r="J325" s="196"/>
      <c r="K325" s="196"/>
      <c r="L325" s="196"/>
      <c r="M325" s="196"/>
      <c r="N325" s="196"/>
      <c r="O325" s="196"/>
      <c r="P325" s="195"/>
      <c r="Q325" s="195"/>
      <c r="R325" s="195"/>
    </row>
    <row r="326" spans="1:18" ht="18" customHeight="1">
      <c r="A326" s="193"/>
      <c r="B326" s="23"/>
      <c r="C326" s="23"/>
      <c r="D326" s="23"/>
      <c r="E326" s="23"/>
      <c r="F326" s="23"/>
      <c r="G326" s="19"/>
      <c r="H326" s="19"/>
      <c r="I326" s="19"/>
      <c r="J326" s="19"/>
      <c r="K326" s="19"/>
      <c r="L326" s="19"/>
      <c r="M326" s="19"/>
      <c r="N326" s="19"/>
      <c r="O326" s="19"/>
      <c r="P326" s="23"/>
      <c r="Q326" s="23"/>
      <c r="R326" s="23"/>
    </row>
    <row r="327" spans="1:18" ht="18" customHeight="1">
      <c r="A327" s="194"/>
      <c r="B327" s="195"/>
      <c r="C327" s="195"/>
      <c r="D327" s="195"/>
      <c r="E327" s="195"/>
      <c r="F327" s="195"/>
      <c r="G327" s="196"/>
      <c r="H327" s="196"/>
      <c r="I327" s="196"/>
      <c r="J327" s="196"/>
      <c r="K327" s="196"/>
      <c r="L327" s="196"/>
      <c r="M327" s="196"/>
      <c r="N327" s="196"/>
      <c r="O327" s="196"/>
      <c r="P327" s="195"/>
      <c r="Q327" s="195"/>
      <c r="R327" s="195"/>
    </row>
    <row r="328" spans="1:18" ht="18" customHeight="1">
      <c r="A328" s="193"/>
      <c r="B328" s="23"/>
      <c r="C328" s="23"/>
      <c r="D328" s="23"/>
      <c r="E328" s="23"/>
      <c r="F328" s="23"/>
      <c r="G328" s="19"/>
      <c r="H328" s="19"/>
      <c r="I328" s="19"/>
      <c r="J328" s="19"/>
      <c r="K328" s="19"/>
      <c r="L328" s="19"/>
      <c r="M328" s="19"/>
      <c r="N328" s="19"/>
      <c r="O328" s="19"/>
      <c r="P328" s="23"/>
      <c r="Q328" s="23"/>
      <c r="R328" s="23"/>
    </row>
    <row r="329" spans="1:18" ht="18" customHeight="1">
      <c r="A329" s="194"/>
      <c r="B329" s="195"/>
      <c r="C329" s="195"/>
      <c r="D329" s="195"/>
      <c r="E329" s="195"/>
      <c r="F329" s="195"/>
      <c r="G329" s="196"/>
      <c r="H329" s="196"/>
      <c r="I329" s="196"/>
      <c r="J329" s="196"/>
      <c r="K329" s="196"/>
      <c r="L329" s="196"/>
      <c r="M329" s="196"/>
      <c r="N329" s="196"/>
      <c r="O329" s="196"/>
      <c r="P329" s="195"/>
      <c r="Q329" s="195"/>
      <c r="R329" s="195"/>
    </row>
    <row r="330" spans="1:18" ht="18" customHeight="1">
      <c r="A330" s="193"/>
      <c r="B330" s="23"/>
      <c r="C330" s="23"/>
      <c r="D330" s="23"/>
      <c r="E330" s="23"/>
      <c r="F330" s="23"/>
      <c r="G330" s="19"/>
      <c r="H330" s="19"/>
      <c r="I330" s="19"/>
      <c r="J330" s="19"/>
      <c r="K330" s="19"/>
      <c r="L330" s="19"/>
      <c r="M330" s="19"/>
      <c r="N330" s="19"/>
      <c r="O330" s="19"/>
      <c r="P330" s="23"/>
      <c r="Q330" s="23"/>
      <c r="R330" s="23"/>
    </row>
    <row r="331" spans="1:18" ht="18" customHeight="1">
      <c r="A331" s="194"/>
      <c r="B331" s="195"/>
      <c r="C331" s="195"/>
      <c r="D331" s="195"/>
      <c r="E331" s="195"/>
      <c r="F331" s="195"/>
      <c r="G331" s="196"/>
      <c r="H331" s="196"/>
      <c r="I331" s="196"/>
      <c r="J331" s="196"/>
      <c r="K331" s="196"/>
      <c r="L331" s="196"/>
      <c r="M331" s="196"/>
      <c r="N331" s="196"/>
      <c r="O331" s="196"/>
      <c r="P331" s="195"/>
      <c r="Q331" s="195"/>
      <c r="R331" s="195"/>
    </row>
    <row r="332" spans="1:18" ht="18" customHeight="1">
      <c r="A332" s="193"/>
      <c r="B332" s="23"/>
      <c r="C332" s="23"/>
      <c r="D332" s="23"/>
      <c r="E332" s="23"/>
      <c r="F332" s="23"/>
      <c r="G332" s="19"/>
      <c r="H332" s="19"/>
      <c r="I332" s="19"/>
      <c r="J332" s="19"/>
      <c r="K332" s="19"/>
      <c r="L332" s="19"/>
      <c r="M332" s="19"/>
      <c r="N332" s="19"/>
      <c r="O332" s="19"/>
      <c r="P332" s="23"/>
      <c r="Q332" s="23"/>
      <c r="R332" s="23"/>
    </row>
    <row r="333" spans="1:18" ht="18" customHeight="1">
      <c r="A333" s="194"/>
      <c r="B333" s="195"/>
      <c r="C333" s="195"/>
      <c r="D333" s="195"/>
      <c r="E333" s="195"/>
      <c r="F333" s="195"/>
      <c r="G333" s="196"/>
      <c r="H333" s="196"/>
      <c r="I333" s="196"/>
      <c r="J333" s="196"/>
      <c r="K333" s="196"/>
      <c r="L333" s="196"/>
      <c r="M333" s="196"/>
      <c r="N333" s="196"/>
      <c r="O333" s="196"/>
      <c r="P333" s="195"/>
      <c r="Q333" s="195"/>
      <c r="R333" s="195"/>
    </row>
    <row r="334" spans="1:18" ht="18" customHeight="1">
      <c r="A334" s="193"/>
      <c r="B334" s="23"/>
      <c r="C334" s="23"/>
      <c r="D334" s="23"/>
      <c r="E334" s="23"/>
      <c r="F334" s="23"/>
      <c r="G334" s="19"/>
      <c r="H334" s="19"/>
      <c r="I334" s="19"/>
      <c r="J334" s="19"/>
      <c r="K334" s="19"/>
      <c r="L334" s="19"/>
      <c r="M334" s="19"/>
      <c r="N334" s="19"/>
      <c r="O334" s="19"/>
      <c r="P334" s="23"/>
      <c r="Q334" s="23"/>
      <c r="R334" s="23"/>
    </row>
    <row r="335" spans="1:18" ht="18" customHeight="1">
      <c r="A335" s="194"/>
      <c r="B335" s="195"/>
      <c r="C335" s="195"/>
      <c r="D335" s="195"/>
      <c r="E335" s="195"/>
      <c r="F335" s="195"/>
      <c r="G335" s="196"/>
      <c r="H335" s="196"/>
      <c r="I335" s="196"/>
      <c r="J335" s="196"/>
      <c r="K335" s="196"/>
      <c r="L335" s="196"/>
      <c r="M335" s="196"/>
      <c r="N335" s="196"/>
      <c r="O335" s="196"/>
      <c r="P335" s="195"/>
      <c r="Q335" s="195"/>
      <c r="R335" s="195"/>
    </row>
    <row r="336" spans="1:18" ht="18" customHeight="1">
      <c r="A336" s="193"/>
      <c r="B336" s="23"/>
      <c r="C336" s="23"/>
      <c r="D336" s="23"/>
      <c r="E336" s="23"/>
      <c r="F336" s="23"/>
      <c r="G336" s="19"/>
      <c r="H336" s="19"/>
      <c r="I336" s="19"/>
      <c r="J336" s="19"/>
      <c r="K336" s="19"/>
      <c r="L336" s="19"/>
      <c r="M336" s="19"/>
      <c r="N336" s="19"/>
      <c r="O336" s="19"/>
      <c r="P336" s="23"/>
      <c r="Q336" s="23"/>
      <c r="R336" s="23"/>
    </row>
    <row r="337" spans="1:18" ht="18" customHeight="1">
      <c r="A337" s="194"/>
      <c r="B337" s="195"/>
      <c r="C337" s="195"/>
      <c r="D337" s="195"/>
      <c r="E337" s="195"/>
      <c r="F337" s="195"/>
      <c r="G337" s="196"/>
      <c r="H337" s="196"/>
      <c r="I337" s="196"/>
      <c r="J337" s="196"/>
      <c r="K337" s="196"/>
      <c r="L337" s="196"/>
      <c r="M337" s="196"/>
      <c r="N337" s="196"/>
      <c r="O337" s="196"/>
      <c r="P337" s="195"/>
      <c r="Q337" s="195"/>
      <c r="R337" s="195"/>
    </row>
    <row r="338" spans="1:18" ht="18" customHeight="1">
      <c r="A338" s="193"/>
      <c r="B338" s="23"/>
      <c r="C338" s="23"/>
      <c r="D338" s="23"/>
      <c r="E338" s="23"/>
      <c r="F338" s="23"/>
      <c r="G338" s="19"/>
      <c r="H338" s="19"/>
      <c r="I338" s="19"/>
      <c r="J338" s="19"/>
      <c r="K338" s="19"/>
      <c r="L338" s="19"/>
      <c r="M338" s="19"/>
      <c r="N338" s="19"/>
      <c r="O338" s="19"/>
      <c r="P338" s="23"/>
      <c r="Q338" s="23"/>
      <c r="R338" s="23"/>
    </row>
    <row r="339" spans="1:18" ht="18" customHeight="1">
      <c r="A339" s="194"/>
      <c r="B339" s="195"/>
      <c r="C339" s="195"/>
      <c r="D339" s="195"/>
      <c r="E339" s="195"/>
      <c r="F339" s="195"/>
      <c r="G339" s="196"/>
      <c r="H339" s="196"/>
      <c r="I339" s="196"/>
      <c r="J339" s="196"/>
      <c r="K339" s="196"/>
      <c r="L339" s="196"/>
      <c r="M339" s="196"/>
      <c r="N339" s="196"/>
      <c r="O339" s="196"/>
      <c r="P339" s="195"/>
      <c r="Q339" s="195"/>
      <c r="R339" s="195"/>
    </row>
    <row r="340" spans="1:18" ht="18" customHeight="1">
      <c r="A340" s="193"/>
      <c r="B340" s="23"/>
      <c r="C340" s="23"/>
      <c r="D340" s="23"/>
      <c r="E340" s="23"/>
      <c r="F340" s="23"/>
      <c r="G340" s="19"/>
      <c r="H340" s="19"/>
      <c r="I340" s="19"/>
      <c r="J340" s="19"/>
      <c r="K340" s="19"/>
      <c r="L340" s="19"/>
      <c r="M340" s="19"/>
      <c r="N340" s="19"/>
      <c r="O340" s="19"/>
      <c r="P340" s="23"/>
      <c r="Q340" s="23"/>
      <c r="R340" s="23"/>
    </row>
    <row r="341" spans="1:18" ht="18" customHeight="1">
      <c r="A341" s="194"/>
      <c r="B341" s="195"/>
      <c r="C341" s="195"/>
      <c r="D341" s="195"/>
      <c r="E341" s="195"/>
      <c r="F341" s="195"/>
      <c r="G341" s="196"/>
      <c r="H341" s="196"/>
      <c r="I341" s="196"/>
      <c r="J341" s="196"/>
      <c r="K341" s="196"/>
      <c r="L341" s="196"/>
      <c r="M341" s="196"/>
      <c r="N341" s="196"/>
      <c r="O341" s="196"/>
      <c r="P341" s="195"/>
      <c r="Q341" s="195"/>
      <c r="R341" s="195"/>
    </row>
    <row r="342" spans="1:18" ht="18" customHeight="1">
      <c r="A342" s="193"/>
      <c r="B342" s="23"/>
      <c r="C342" s="23"/>
      <c r="D342" s="23"/>
      <c r="E342" s="23"/>
      <c r="F342" s="23"/>
      <c r="G342" s="19"/>
      <c r="H342" s="19"/>
      <c r="I342" s="19"/>
      <c r="J342" s="19"/>
      <c r="K342" s="19"/>
      <c r="L342" s="19"/>
      <c r="M342" s="19"/>
      <c r="N342" s="19"/>
      <c r="O342" s="19"/>
      <c r="P342" s="23"/>
      <c r="Q342" s="23"/>
      <c r="R342" s="23"/>
    </row>
    <row r="343" spans="1:18" ht="18" customHeight="1">
      <c r="A343" s="194"/>
      <c r="B343" s="195"/>
      <c r="C343" s="195"/>
      <c r="D343" s="195"/>
      <c r="E343" s="195"/>
      <c r="F343" s="195"/>
      <c r="G343" s="196"/>
      <c r="H343" s="196"/>
      <c r="I343" s="196"/>
      <c r="J343" s="196"/>
      <c r="K343" s="196"/>
      <c r="L343" s="196"/>
      <c r="M343" s="196"/>
      <c r="N343" s="196"/>
      <c r="O343" s="196"/>
      <c r="P343" s="195"/>
      <c r="Q343" s="195"/>
      <c r="R343" s="195"/>
    </row>
    <row r="344" spans="1:18" ht="18" customHeight="1">
      <c r="A344" s="193"/>
      <c r="B344" s="23"/>
      <c r="C344" s="23"/>
      <c r="D344" s="23"/>
      <c r="E344" s="23"/>
      <c r="F344" s="23"/>
      <c r="G344" s="19"/>
      <c r="H344" s="19"/>
      <c r="I344" s="19"/>
      <c r="J344" s="19"/>
      <c r="K344" s="19"/>
      <c r="L344" s="19"/>
      <c r="M344" s="19"/>
      <c r="N344" s="19"/>
      <c r="O344" s="19"/>
      <c r="P344" s="23"/>
      <c r="Q344" s="23"/>
      <c r="R344" s="23"/>
    </row>
    <row r="345" spans="1:18" ht="18" customHeight="1">
      <c r="A345" s="194"/>
      <c r="B345" s="195"/>
      <c r="C345" s="195"/>
      <c r="D345" s="195"/>
      <c r="E345" s="195"/>
      <c r="F345" s="195"/>
      <c r="G345" s="196"/>
      <c r="H345" s="196"/>
      <c r="I345" s="196"/>
      <c r="J345" s="196"/>
      <c r="K345" s="196"/>
      <c r="L345" s="196"/>
      <c r="M345" s="196"/>
      <c r="N345" s="196"/>
      <c r="O345" s="196"/>
      <c r="P345" s="195"/>
      <c r="Q345" s="195"/>
      <c r="R345" s="195"/>
    </row>
    <row r="346" spans="1:18" ht="18" customHeight="1">
      <c r="A346" s="193"/>
      <c r="B346" s="23"/>
      <c r="C346" s="23"/>
      <c r="D346" s="23"/>
      <c r="E346" s="23"/>
      <c r="F346" s="23"/>
      <c r="G346" s="19"/>
      <c r="H346" s="19"/>
      <c r="I346" s="19"/>
      <c r="J346" s="19"/>
      <c r="K346" s="19"/>
      <c r="L346" s="19"/>
      <c r="M346" s="19"/>
      <c r="N346" s="19"/>
      <c r="O346" s="19"/>
      <c r="P346" s="23"/>
      <c r="Q346" s="23"/>
      <c r="R346" s="23"/>
    </row>
    <row r="347" spans="1:18" ht="18" customHeight="1">
      <c r="A347" s="194"/>
      <c r="B347" s="195"/>
      <c r="C347" s="195"/>
      <c r="D347" s="195"/>
      <c r="E347" s="195"/>
      <c r="F347" s="195"/>
      <c r="G347" s="196"/>
      <c r="H347" s="196"/>
      <c r="I347" s="196"/>
      <c r="J347" s="196"/>
      <c r="K347" s="196"/>
      <c r="L347" s="196"/>
      <c r="M347" s="196"/>
      <c r="N347" s="196"/>
      <c r="O347" s="196"/>
      <c r="P347" s="195"/>
      <c r="Q347" s="195"/>
      <c r="R347" s="195"/>
    </row>
    <row r="348" spans="1:18" ht="18" customHeight="1">
      <c r="A348" s="193"/>
      <c r="B348" s="23"/>
      <c r="C348" s="23"/>
      <c r="D348" s="23"/>
      <c r="E348" s="23"/>
      <c r="F348" s="23"/>
      <c r="G348" s="19"/>
      <c r="H348" s="19"/>
      <c r="I348" s="19"/>
      <c r="J348" s="19"/>
      <c r="K348" s="19"/>
      <c r="L348" s="19"/>
      <c r="M348" s="19"/>
      <c r="N348" s="19"/>
      <c r="O348" s="19"/>
      <c r="P348" s="23"/>
      <c r="Q348" s="23"/>
      <c r="R348" s="23"/>
    </row>
    <row r="349" spans="1:18" ht="18" customHeight="1">
      <c r="A349" s="194"/>
      <c r="B349" s="195"/>
      <c r="C349" s="195"/>
      <c r="D349" s="195"/>
      <c r="E349" s="195"/>
      <c r="F349" s="195"/>
      <c r="G349" s="196"/>
      <c r="H349" s="196"/>
      <c r="I349" s="196"/>
      <c r="J349" s="196"/>
      <c r="K349" s="196"/>
      <c r="L349" s="196"/>
      <c r="M349" s="196"/>
      <c r="N349" s="196"/>
      <c r="O349" s="196"/>
      <c r="P349" s="195"/>
      <c r="Q349" s="195"/>
      <c r="R349" s="195"/>
    </row>
    <row r="350" spans="1:18" ht="18" customHeight="1">
      <c r="A350" s="193"/>
      <c r="B350" s="23"/>
      <c r="C350" s="23"/>
      <c r="D350" s="23"/>
      <c r="E350" s="23"/>
      <c r="F350" s="23"/>
      <c r="G350" s="19"/>
      <c r="H350" s="19"/>
      <c r="I350" s="19"/>
      <c r="J350" s="19"/>
      <c r="K350" s="19"/>
      <c r="L350" s="19"/>
      <c r="M350" s="19"/>
      <c r="N350" s="19"/>
      <c r="O350" s="19"/>
      <c r="P350" s="23"/>
      <c r="Q350" s="23"/>
      <c r="R350" s="23"/>
    </row>
    <row r="351" spans="1:18" ht="18" customHeight="1">
      <c r="A351" s="194"/>
      <c r="B351" s="195"/>
      <c r="C351" s="195"/>
      <c r="D351" s="195"/>
      <c r="E351" s="195"/>
      <c r="F351" s="195"/>
      <c r="G351" s="196"/>
      <c r="H351" s="196"/>
      <c r="I351" s="196"/>
      <c r="J351" s="196"/>
      <c r="K351" s="196"/>
      <c r="L351" s="196"/>
      <c r="M351" s="196"/>
      <c r="N351" s="196"/>
      <c r="O351" s="196"/>
      <c r="P351" s="195"/>
      <c r="Q351" s="195"/>
      <c r="R351" s="195"/>
    </row>
    <row r="352" spans="1:18" ht="18" customHeight="1">
      <c r="A352" s="193"/>
      <c r="B352" s="23"/>
      <c r="C352" s="23"/>
      <c r="D352" s="23"/>
      <c r="E352" s="23"/>
      <c r="F352" s="23"/>
      <c r="G352" s="19"/>
      <c r="H352" s="19"/>
      <c r="I352" s="19"/>
      <c r="J352" s="19"/>
      <c r="K352" s="19"/>
      <c r="L352" s="19"/>
      <c r="M352" s="19"/>
      <c r="N352" s="19"/>
      <c r="O352" s="19"/>
      <c r="P352" s="23"/>
      <c r="Q352" s="23"/>
      <c r="R352" s="23"/>
    </row>
    <row r="353" spans="1:18" ht="18" customHeight="1">
      <c r="A353" s="194"/>
      <c r="B353" s="195"/>
      <c r="C353" s="195"/>
      <c r="D353" s="195"/>
      <c r="E353" s="195"/>
      <c r="F353" s="195"/>
      <c r="G353" s="196"/>
      <c r="H353" s="196"/>
      <c r="I353" s="196"/>
      <c r="J353" s="196"/>
      <c r="K353" s="196"/>
      <c r="L353" s="196"/>
      <c r="M353" s="196"/>
      <c r="N353" s="196"/>
      <c r="O353" s="196"/>
      <c r="P353" s="195"/>
      <c r="Q353" s="195"/>
      <c r="R353" s="195"/>
    </row>
    <row r="354" spans="1:18" ht="18" customHeight="1">
      <c r="A354" s="193"/>
      <c r="B354" s="23"/>
      <c r="C354" s="23"/>
      <c r="D354" s="23"/>
      <c r="E354" s="23"/>
      <c r="F354" s="23"/>
      <c r="G354" s="19"/>
      <c r="H354" s="19"/>
      <c r="I354" s="19"/>
      <c r="J354" s="19"/>
      <c r="K354" s="19"/>
      <c r="L354" s="19"/>
      <c r="M354" s="19"/>
      <c r="N354" s="19"/>
      <c r="O354" s="19"/>
      <c r="P354" s="23"/>
      <c r="Q354" s="23"/>
      <c r="R354" s="23"/>
    </row>
    <row r="355" spans="1:18" ht="18" customHeight="1">
      <c r="A355" s="194"/>
      <c r="B355" s="195"/>
      <c r="C355" s="195"/>
      <c r="D355" s="195"/>
      <c r="E355" s="195"/>
      <c r="F355" s="195"/>
      <c r="G355" s="196"/>
      <c r="H355" s="196"/>
      <c r="I355" s="196"/>
      <c r="J355" s="196"/>
      <c r="K355" s="196"/>
      <c r="L355" s="196"/>
      <c r="M355" s="196"/>
      <c r="N355" s="196"/>
      <c r="O355" s="196"/>
      <c r="P355" s="195"/>
      <c r="Q355" s="195"/>
      <c r="R355" s="195"/>
    </row>
    <row r="356" spans="1:18" ht="18" customHeight="1">
      <c r="A356" s="193"/>
      <c r="B356" s="23"/>
      <c r="C356" s="23"/>
      <c r="D356" s="23"/>
      <c r="E356" s="23"/>
      <c r="F356" s="23"/>
      <c r="G356" s="19"/>
      <c r="H356" s="19"/>
      <c r="I356" s="19"/>
      <c r="J356" s="19"/>
      <c r="K356" s="19"/>
      <c r="L356" s="19"/>
      <c r="M356" s="19"/>
      <c r="N356" s="19"/>
      <c r="O356" s="19"/>
      <c r="P356" s="23"/>
      <c r="Q356" s="23"/>
      <c r="R356" s="23"/>
    </row>
    <row r="357" spans="1:18" ht="18" customHeight="1">
      <c r="A357" s="194"/>
      <c r="B357" s="195"/>
      <c r="C357" s="195"/>
      <c r="D357" s="195"/>
      <c r="E357" s="195"/>
      <c r="F357" s="195"/>
      <c r="G357" s="196"/>
      <c r="H357" s="196"/>
      <c r="I357" s="196"/>
      <c r="J357" s="196"/>
      <c r="K357" s="196"/>
      <c r="L357" s="196"/>
      <c r="M357" s="196"/>
      <c r="N357" s="196"/>
      <c r="O357" s="196"/>
      <c r="P357" s="195"/>
      <c r="Q357" s="195"/>
      <c r="R357" s="195"/>
    </row>
    <row r="358" spans="1:18" ht="18" customHeight="1">
      <c r="A358" s="193"/>
      <c r="B358" s="23"/>
      <c r="C358" s="23"/>
      <c r="D358" s="23"/>
      <c r="E358" s="23"/>
      <c r="F358" s="23"/>
      <c r="G358" s="19"/>
      <c r="H358" s="19"/>
      <c r="I358" s="19"/>
      <c r="J358" s="19"/>
      <c r="K358" s="19"/>
      <c r="L358" s="19"/>
      <c r="M358" s="19"/>
      <c r="N358" s="19"/>
      <c r="O358" s="19"/>
      <c r="P358" s="23"/>
      <c r="Q358" s="23"/>
      <c r="R358" s="23"/>
    </row>
    <row r="359" spans="1:18" ht="18" customHeight="1">
      <c r="A359" s="194"/>
      <c r="B359" s="195"/>
      <c r="C359" s="195"/>
      <c r="D359" s="195"/>
      <c r="E359" s="195"/>
      <c r="F359" s="195"/>
      <c r="G359" s="196"/>
      <c r="H359" s="196"/>
      <c r="I359" s="196"/>
      <c r="J359" s="196"/>
      <c r="K359" s="196"/>
      <c r="L359" s="196"/>
      <c r="M359" s="196"/>
      <c r="N359" s="196"/>
      <c r="O359" s="196"/>
      <c r="P359" s="195"/>
      <c r="Q359" s="195"/>
      <c r="R359" s="195"/>
    </row>
    <row r="360" spans="1:18" ht="18" customHeight="1">
      <c r="A360" s="193"/>
      <c r="B360" s="23"/>
      <c r="C360" s="23"/>
      <c r="D360" s="23"/>
      <c r="E360" s="23"/>
      <c r="F360" s="23"/>
      <c r="G360" s="19"/>
      <c r="H360" s="19"/>
      <c r="I360" s="19"/>
      <c r="J360" s="19"/>
      <c r="K360" s="19"/>
      <c r="L360" s="19"/>
      <c r="M360" s="19"/>
      <c r="N360" s="19"/>
      <c r="O360" s="19"/>
      <c r="P360" s="23"/>
      <c r="Q360" s="23"/>
      <c r="R360" s="23"/>
    </row>
    <row r="361" spans="1:18" ht="18" customHeight="1">
      <c r="A361" s="194"/>
      <c r="B361" s="195"/>
      <c r="C361" s="195"/>
      <c r="D361" s="195"/>
      <c r="E361" s="195"/>
      <c r="F361" s="195"/>
      <c r="G361" s="196"/>
      <c r="H361" s="196"/>
      <c r="I361" s="196"/>
      <c r="J361" s="196"/>
      <c r="K361" s="196"/>
      <c r="L361" s="196"/>
      <c r="M361" s="196"/>
      <c r="N361" s="196"/>
      <c r="O361" s="196"/>
      <c r="P361" s="195"/>
      <c r="Q361" s="195"/>
      <c r="R361" s="195"/>
    </row>
    <row r="362" spans="1:18" ht="18" customHeight="1">
      <c r="A362" s="193"/>
      <c r="B362" s="23"/>
      <c r="C362" s="23"/>
      <c r="D362" s="23"/>
      <c r="E362" s="23"/>
      <c r="F362" s="23"/>
      <c r="G362" s="19"/>
      <c r="H362" s="19"/>
      <c r="I362" s="19"/>
      <c r="J362" s="19"/>
      <c r="K362" s="19"/>
      <c r="L362" s="19"/>
      <c r="M362" s="19"/>
      <c r="N362" s="19"/>
      <c r="O362" s="19"/>
      <c r="P362" s="23"/>
      <c r="Q362" s="23"/>
      <c r="R362" s="23"/>
    </row>
    <row r="363" spans="1:18" ht="18" customHeight="1">
      <c r="A363" s="194"/>
      <c r="B363" s="195"/>
      <c r="C363" s="195"/>
      <c r="D363" s="195"/>
      <c r="E363" s="195"/>
      <c r="F363" s="195"/>
      <c r="G363" s="196"/>
      <c r="H363" s="196"/>
      <c r="I363" s="196"/>
      <c r="J363" s="196"/>
      <c r="K363" s="196"/>
      <c r="L363" s="196"/>
      <c r="M363" s="196"/>
      <c r="N363" s="196"/>
      <c r="O363" s="196"/>
      <c r="P363" s="195"/>
      <c r="Q363" s="195"/>
      <c r="R363" s="195"/>
    </row>
    <row r="364" spans="1:18" ht="18" customHeight="1">
      <c r="A364" s="193"/>
      <c r="B364" s="23"/>
      <c r="C364" s="23"/>
      <c r="D364" s="23"/>
      <c r="E364" s="23"/>
      <c r="F364" s="23"/>
      <c r="G364" s="19"/>
      <c r="H364" s="19"/>
      <c r="I364" s="19"/>
      <c r="J364" s="19"/>
      <c r="K364" s="19"/>
      <c r="L364" s="19"/>
      <c r="M364" s="19"/>
      <c r="N364" s="19"/>
      <c r="O364" s="19"/>
      <c r="P364" s="23"/>
      <c r="Q364" s="23"/>
      <c r="R364" s="23"/>
    </row>
    <row r="365" spans="1:18" ht="18" customHeight="1">
      <c r="A365" s="194"/>
      <c r="B365" s="195"/>
      <c r="C365" s="195"/>
      <c r="D365" s="195"/>
      <c r="E365" s="195"/>
      <c r="F365" s="195"/>
      <c r="G365" s="196"/>
      <c r="H365" s="196"/>
      <c r="I365" s="196"/>
      <c r="J365" s="196"/>
      <c r="K365" s="196"/>
      <c r="L365" s="196"/>
      <c r="M365" s="196"/>
      <c r="N365" s="196"/>
      <c r="O365" s="196"/>
      <c r="P365" s="195"/>
      <c r="Q365" s="195"/>
      <c r="R365" s="195"/>
    </row>
    <row r="366" spans="1:18" ht="18" customHeight="1">
      <c r="A366" s="193"/>
      <c r="B366" s="23"/>
      <c r="C366" s="23"/>
      <c r="D366" s="23"/>
      <c r="E366" s="23"/>
      <c r="F366" s="23"/>
      <c r="G366" s="19"/>
      <c r="H366" s="19"/>
      <c r="I366" s="19"/>
      <c r="J366" s="19"/>
      <c r="K366" s="19"/>
      <c r="L366" s="19"/>
      <c r="M366" s="19"/>
      <c r="N366" s="19"/>
      <c r="O366" s="19"/>
      <c r="P366" s="23"/>
      <c r="Q366" s="23"/>
      <c r="R366" s="23"/>
    </row>
    <row r="367" spans="1:18" ht="18" customHeight="1">
      <c r="A367" s="194"/>
      <c r="B367" s="195"/>
      <c r="C367" s="195"/>
      <c r="D367" s="195"/>
      <c r="E367" s="195"/>
      <c r="F367" s="195"/>
      <c r="G367" s="196"/>
      <c r="H367" s="196"/>
      <c r="I367" s="196"/>
      <c r="J367" s="196"/>
      <c r="K367" s="196"/>
      <c r="L367" s="196"/>
      <c r="M367" s="196"/>
      <c r="N367" s="196"/>
      <c r="O367" s="196"/>
      <c r="P367" s="195"/>
      <c r="Q367" s="195"/>
      <c r="R367" s="195"/>
    </row>
    <row r="368" spans="1:18" ht="18" customHeight="1">
      <c r="A368" s="193"/>
      <c r="B368" s="23"/>
      <c r="C368" s="23"/>
      <c r="D368" s="23"/>
      <c r="E368" s="23"/>
      <c r="F368" s="23"/>
      <c r="G368" s="19"/>
      <c r="H368" s="19"/>
      <c r="I368" s="19"/>
      <c r="J368" s="19"/>
      <c r="K368" s="19"/>
      <c r="L368" s="19"/>
      <c r="M368" s="19"/>
      <c r="N368" s="19"/>
      <c r="O368" s="19"/>
      <c r="P368" s="23"/>
      <c r="Q368" s="23"/>
      <c r="R368" s="23"/>
    </row>
    <row r="369" spans="1:18" ht="18" customHeight="1">
      <c r="A369" s="194"/>
      <c r="B369" s="195"/>
      <c r="C369" s="195"/>
      <c r="D369" s="195"/>
      <c r="E369" s="195"/>
      <c r="F369" s="195"/>
      <c r="G369" s="196"/>
      <c r="H369" s="196"/>
      <c r="I369" s="196"/>
      <c r="J369" s="196"/>
      <c r="K369" s="196"/>
      <c r="L369" s="196"/>
      <c r="M369" s="196"/>
      <c r="N369" s="196"/>
      <c r="O369" s="196"/>
      <c r="P369" s="195"/>
      <c r="Q369" s="195"/>
      <c r="R369" s="195"/>
    </row>
    <row r="370" spans="1:18" ht="18" customHeight="1">
      <c r="A370" s="193"/>
      <c r="B370" s="23"/>
      <c r="C370" s="23"/>
      <c r="D370" s="23"/>
      <c r="E370" s="23"/>
      <c r="F370" s="23"/>
      <c r="G370" s="19"/>
      <c r="H370" s="19"/>
      <c r="I370" s="19"/>
      <c r="J370" s="19"/>
      <c r="K370" s="19"/>
      <c r="L370" s="19"/>
      <c r="M370" s="19"/>
      <c r="N370" s="19"/>
      <c r="O370" s="19"/>
      <c r="P370" s="23"/>
      <c r="Q370" s="23"/>
      <c r="R370" s="23"/>
    </row>
    <row r="371" spans="1:18" ht="18" customHeight="1">
      <c r="A371" s="194"/>
      <c r="B371" s="195"/>
      <c r="C371" s="195"/>
      <c r="D371" s="195"/>
      <c r="E371" s="195"/>
      <c r="F371" s="195"/>
      <c r="G371" s="196"/>
      <c r="H371" s="196"/>
      <c r="I371" s="196"/>
      <c r="J371" s="196"/>
      <c r="K371" s="196"/>
      <c r="L371" s="196"/>
      <c r="M371" s="196"/>
      <c r="N371" s="196"/>
      <c r="O371" s="196"/>
      <c r="P371" s="195"/>
      <c r="Q371" s="195"/>
      <c r="R371" s="195"/>
    </row>
    <row r="372" spans="1:18" ht="18" customHeight="1">
      <c r="A372" s="193"/>
      <c r="B372" s="23"/>
      <c r="C372" s="23"/>
      <c r="D372" s="23"/>
      <c r="E372" s="23"/>
      <c r="F372" s="23"/>
      <c r="G372" s="19"/>
      <c r="H372" s="19"/>
      <c r="I372" s="19"/>
      <c r="J372" s="19"/>
      <c r="K372" s="19"/>
      <c r="L372" s="19"/>
      <c r="M372" s="19"/>
      <c r="N372" s="19"/>
      <c r="O372" s="19"/>
      <c r="P372" s="23"/>
      <c r="Q372" s="23"/>
      <c r="R372" s="23"/>
    </row>
    <row r="373" spans="1:18" ht="18" customHeight="1">
      <c r="A373" s="194"/>
      <c r="B373" s="195"/>
      <c r="C373" s="195"/>
      <c r="D373" s="195"/>
      <c r="E373" s="195"/>
      <c r="F373" s="195"/>
      <c r="G373" s="196"/>
      <c r="H373" s="196"/>
      <c r="I373" s="196"/>
      <c r="J373" s="196"/>
      <c r="K373" s="196"/>
      <c r="L373" s="196"/>
      <c r="M373" s="196"/>
      <c r="N373" s="196"/>
      <c r="O373" s="196"/>
      <c r="P373" s="195"/>
      <c r="Q373" s="195"/>
      <c r="R373" s="195"/>
    </row>
    <row r="374" spans="1:18" ht="18" customHeight="1">
      <c r="A374" s="193"/>
      <c r="B374" s="23"/>
      <c r="C374" s="23"/>
      <c r="D374" s="23"/>
      <c r="E374" s="23"/>
      <c r="F374" s="23"/>
      <c r="G374" s="19"/>
      <c r="H374" s="19"/>
      <c r="I374" s="19"/>
      <c r="J374" s="19"/>
      <c r="K374" s="19"/>
      <c r="L374" s="19"/>
      <c r="M374" s="19"/>
      <c r="N374" s="19"/>
      <c r="O374" s="19"/>
      <c r="P374" s="23"/>
      <c r="Q374" s="23"/>
      <c r="R374" s="23"/>
    </row>
    <row r="375" spans="1:18" ht="18" customHeight="1">
      <c r="A375" s="194"/>
      <c r="B375" s="195"/>
      <c r="C375" s="195"/>
      <c r="D375" s="195"/>
      <c r="E375" s="195"/>
      <c r="F375" s="195"/>
      <c r="G375" s="196"/>
      <c r="H375" s="196"/>
      <c r="I375" s="196"/>
      <c r="J375" s="196"/>
      <c r="K375" s="196"/>
      <c r="L375" s="196"/>
      <c r="M375" s="196"/>
      <c r="N375" s="196"/>
      <c r="O375" s="196"/>
      <c r="P375" s="195"/>
      <c r="Q375" s="195"/>
      <c r="R375" s="195"/>
    </row>
    <row r="376" spans="1:18" ht="18" customHeight="1">
      <c r="A376" s="193"/>
      <c r="B376" s="23"/>
      <c r="C376" s="23"/>
      <c r="D376" s="23"/>
      <c r="E376" s="23"/>
      <c r="F376" s="23"/>
      <c r="G376" s="19"/>
      <c r="H376" s="19"/>
      <c r="I376" s="19"/>
      <c r="J376" s="19"/>
      <c r="K376" s="19"/>
      <c r="L376" s="19"/>
      <c r="M376" s="19"/>
      <c r="N376" s="19"/>
      <c r="O376" s="19"/>
      <c r="P376" s="23"/>
      <c r="Q376" s="23"/>
      <c r="R376" s="23"/>
    </row>
    <row r="377" spans="1:18" ht="18" customHeight="1">
      <c r="A377" s="194"/>
      <c r="B377" s="195"/>
      <c r="C377" s="195"/>
      <c r="D377" s="195"/>
      <c r="E377" s="195"/>
      <c r="F377" s="195"/>
      <c r="G377" s="196"/>
      <c r="H377" s="196"/>
      <c r="I377" s="196"/>
      <c r="J377" s="196"/>
      <c r="K377" s="196"/>
      <c r="L377" s="196"/>
      <c r="M377" s="196"/>
      <c r="N377" s="196"/>
      <c r="O377" s="196"/>
      <c r="P377" s="195"/>
      <c r="Q377" s="195"/>
      <c r="R377" s="195"/>
    </row>
    <row r="378" spans="1:18" ht="18" customHeight="1">
      <c r="A378" s="193"/>
      <c r="B378" s="23"/>
      <c r="C378" s="23"/>
      <c r="D378" s="23"/>
      <c r="E378" s="23"/>
      <c r="F378" s="23"/>
      <c r="G378" s="19"/>
      <c r="H378" s="19"/>
      <c r="I378" s="19"/>
      <c r="J378" s="19"/>
      <c r="K378" s="19"/>
      <c r="L378" s="19"/>
      <c r="M378" s="19"/>
      <c r="N378" s="19"/>
      <c r="O378" s="19"/>
      <c r="P378" s="23"/>
      <c r="Q378" s="23"/>
      <c r="R378" s="23"/>
    </row>
    <row r="379" spans="1:18" ht="18" customHeight="1">
      <c r="A379" s="194"/>
      <c r="B379" s="195"/>
      <c r="C379" s="195"/>
      <c r="D379" s="195"/>
      <c r="E379" s="195"/>
      <c r="F379" s="195"/>
      <c r="G379" s="196"/>
      <c r="H379" s="196"/>
      <c r="I379" s="196"/>
      <c r="J379" s="196"/>
      <c r="K379" s="196"/>
      <c r="L379" s="196"/>
      <c r="M379" s="196"/>
      <c r="N379" s="196"/>
      <c r="O379" s="196"/>
      <c r="P379" s="195"/>
      <c r="Q379" s="195"/>
      <c r="R379" s="195"/>
    </row>
    <row r="380" spans="1:18" ht="18" customHeight="1">
      <c r="A380" s="193"/>
      <c r="B380" s="23"/>
      <c r="C380" s="23"/>
      <c r="D380" s="23"/>
      <c r="E380" s="23"/>
      <c r="F380" s="23"/>
      <c r="G380" s="19"/>
      <c r="H380" s="19"/>
      <c r="I380" s="19"/>
      <c r="J380" s="19"/>
      <c r="K380" s="19"/>
      <c r="L380" s="19"/>
      <c r="M380" s="19"/>
      <c r="N380" s="19"/>
      <c r="O380" s="19"/>
      <c r="P380" s="23"/>
      <c r="Q380" s="23"/>
      <c r="R380" s="23"/>
    </row>
    <row r="381" spans="1:18" ht="18" customHeight="1">
      <c r="A381" s="194"/>
      <c r="B381" s="195"/>
      <c r="C381" s="195"/>
      <c r="D381" s="195"/>
      <c r="E381" s="195"/>
      <c r="F381" s="195"/>
      <c r="G381" s="196"/>
      <c r="H381" s="196"/>
      <c r="I381" s="196"/>
      <c r="J381" s="196"/>
      <c r="K381" s="196"/>
      <c r="L381" s="196"/>
      <c r="M381" s="196"/>
      <c r="N381" s="196"/>
      <c r="O381" s="196"/>
      <c r="P381" s="195"/>
      <c r="Q381" s="195"/>
      <c r="R381" s="195"/>
    </row>
    <row r="382" spans="1:18" ht="18" customHeight="1">
      <c r="A382" s="193"/>
      <c r="B382" s="23"/>
      <c r="C382" s="23"/>
      <c r="D382" s="23"/>
      <c r="E382" s="23"/>
      <c r="F382" s="23"/>
      <c r="G382" s="19"/>
      <c r="H382" s="19"/>
      <c r="I382" s="19"/>
      <c r="J382" s="19"/>
      <c r="K382" s="19"/>
      <c r="L382" s="19"/>
      <c r="M382" s="19"/>
      <c r="N382" s="19"/>
      <c r="O382" s="19"/>
      <c r="P382" s="23"/>
      <c r="Q382" s="23"/>
      <c r="R382" s="23"/>
    </row>
    <row r="383" spans="1:18" ht="18" customHeight="1">
      <c r="A383" s="194"/>
      <c r="B383" s="195"/>
      <c r="C383" s="195"/>
      <c r="D383" s="195"/>
      <c r="E383" s="195"/>
      <c r="F383" s="195"/>
      <c r="G383" s="196"/>
      <c r="H383" s="196"/>
      <c r="I383" s="196"/>
      <c r="J383" s="196"/>
      <c r="K383" s="196"/>
      <c r="L383" s="196"/>
      <c r="M383" s="196"/>
      <c r="N383" s="196"/>
      <c r="O383" s="196"/>
      <c r="P383" s="195"/>
      <c r="Q383" s="195"/>
      <c r="R383" s="195"/>
    </row>
    <row r="384" spans="1:18" ht="18" customHeight="1">
      <c r="A384" s="193"/>
      <c r="B384" s="23"/>
      <c r="C384" s="23"/>
      <c r="D384" s="23"/>
      <c r="E384" s="23"/>
      <c r="F384" s="23"/>
      <c r="G384" s="19"/>
      <c r="H384" s="19"/>
      <c r="I384" s="19"/>
      <c r="J384" s="19"/>
      <c r="K384" s="19"/>
      <c r="L384" s="19"/>
      <c r="M384" s="19"/>
      <c r="N384" s="19"/>
      <c r="O384" s="19"/>
      <c r="P384" s="23"/>
      <c r="Q384" s="23"/>
      <c r="R384" s="23"/>
    </row>
    <row r="385" spans="1:18" ht="18" customHeight="1">
      <c r="A385" s="194"/>
      <c r="B385" s="195"/>
      <c r="C385" s="195"/>
      <c r="D385" s="195"/>
      <c r="E385" s="195"/>
      <c r="F385" s="195"/>
      <c r="G385" s="196"/>
      <c r="H385" s="196"/>
      <c r="I385" s="196"/>
      <c r="J385" s="196"/>
      <c r="K385" s="196"/>
      <c r="L385" s="196"/>
      <c r="M385" s="196"/>
      <c r="N385" s="196"/>
      <c r="O385" s="196"/>
      <c r="P385" s="195"/>
      <c r="Q385" s="195"/>
      <c r="R385" s="195"/>
    </row>
    <row r="386" spans="1:18" ht="18" customHeight="1">
      <c r="A386" s="193"/>
      <c r="B386" s="23"/>
      <c r="C386" s="23"/>
      <c r="D386" s="23"/>
      <c r="E386" s="23"/>
      <c r="F386" s="23"/>
      <c r="G386" s="19"/>
      <c r="H386" s="19"/>
      <c r="I386" s="19"/>
      <c r="J386" s="19"/>
      <c r="K386" s="19"/>
      <c r="L386" s="19"/>
      <c r="M386" s="19"/>
      <c r="N386" s="19"/>
      <c r="O386" s="19"/>
      <c r="P386" s="23"/>
      <c r="Q386" s="23"/>
      <c r="R386" s="23"/>
    </row>
    <row r="387" spans="1:18" ht="18" customHeight="1">
      <c r="A387" s="194"/>
      <c r="B387" s="195"/>
      <c r="C387" s="195"/>
      <c r="D387" s="195"/>
      <c r="E387" s="195"/>
      <c r="F387" s="195"/>
      <c r="G387" s="196"/>
      <c r="H387" s="196"/>
      <c r="I387" s="196"/>
      <c r="J387" s="196"/>
      <c r="K387" s="196"/>
      <c r="L387" s="196"/>
      <c r="M387" s="196"/>
      <c r="N387" s="196"/>
      <c r="O387" s="196"/>
      <c r="P387" s="195"/>
      <c r="Q387" s="195"/>
      <c r="R387" s="195"/>
    </row>
    <row r="388" spans="1:18" ht="18" customHeight="1">
      <c r="A388" s="193"/>
      <c r="B388" s="23"/>
      <c r="C388" s="23"/>
      <c r="D388" s="23"/>
      <c r="E388" s="23"/>
      <c r="F388" s="23"/>
      <c r="G388" s="19"/>
      <c r="H388" s="19"/>
      <c r="I388" s="19"/>
      <c r="J388" s="19"/>
      <c r="K388" s="19"/>
      <c r="L388" s="19"/>
      <c r="M388" s="19"/>
      <c r="N388" s="19"/>
      <c r="O388" s="19"/>
      <c r="P388" s="23"/>
      <c r="Q388" s="23"/>
      <c r="R388" s="23"/>
    </row>
    <row r="389" spans="1:18" ht="18" customHeight="1">
      <c r="A389" s="194"/>
      <c r="B389" s="195"/>
      <c r="C389" s="195"/>
      <c r="D389" s="195"/>
      <c r="E389" s="195"/>
      <c r="F389" s="195"/>
      <c r="G389" s="196"/>
      <c r="H389" s="196"/>
      <c r="I389" s="196"/>
      <c r="J389" s="196"/>
      <c r="K389" s="196"/>
      <c r="L389" s="196"/>
      <c r="M389" s="196"/>
      <c r="N389" s="196"/>
      <c r="O389" s="196"/>
      <c r="P389" s="195"/>
      <c r="Q389" s="195"/>
      <c r="R389" s="195"/>
    </row>
    <row r="390" spans="1:18" ht="18" customHeight="1">
      <c r="A390" s="193"/>
      <c r="B390" s="23"/>
      <c r="C390" s="23"/>
      <c r="D390" s="23"/>
      <c r="E390" s="23"/>
      <c r="F390" s="23"/>
      <c r="G390" s="19"/>
      <c r="H390" s="19"/>
      <c r="I390" s="19"/>
      <c r="J390" s="19"/>
      <c r="K390" s="19"/>
      <c r="L390" s="19"/>
      <c r="M390" s="19"/>
      <c r="N390" s="19"/>
      <c r="O390" s="19"/>
      <c r="P390" s="23"/>
      <c r="Q390" s="23"/>
      <c r="R390" s="23"/>
    </row>
    <row r="391" spans="1:18" ht="18" customHeight="1">
      <c r="A391" s="194"/>
      <c r="B391" s="195"/>
      <c r="C391" s="195"/>
      <c r="D391" s="195"/>
      <c r="E391" s="195"/>
      <c r="F391" s="195"/>
      <c r="G391" s="196"/>
      <c r="H391" s="196"/>
      <c r="I391" s="196"/>
      <c r="J391" s="196"/>
      <c r="K391" s="196"/>
      <c r="L391" s="196"/>
      <c r="M391" s="196"/>
      <c r="N391" s="196"/>
      <c r="O391" s="196"/>
      <c r="P391" s="195"/>
      <c r="Q391" s="195"/>
      <c r="R391" s="195"/>
    </row>
    <row r="392" spans="1:18" ht="18" customHeight="1">
      <c r="A392" s="193"/>
      <c r="B392" s="23"/>
      <c r="C392" s="23"/>
      <c r="D392" s="23"/>
      <c r="E392" s="23"/>
      <c r="F392" s="23"/>
      <c r="G392" s="19"/>
      <c r="H392" s="19"/>
      <c r="I392" s="19"/>
      <c r="J392" s="19"/>
      <c r="K392" s="19"/>
      <c r="L392" s="19"/>
      <c r="M392" s="19"/>
      <c r="N392" s="19"/>
      <c r="O392" s="19"/>
      <c r="P392" s="23"/>
      <c r="Q392" s="23"/>
      <c r="R392" s="23"/>
    </row>
    <row r="393" spans="1:18" ht="18" customHeight="1">
      <c r="A393" s="194"/>
      <c r="B393" s="195"/>
      <c r="C393" s="195"/>
      <c r="D393" s="195"/>
      <c r="E393" s="195"/>
      <c r="F393" s="195"/>
      <c r="G393" s="196"/>
      <c r="H393" s="196"/>
      <c r="I393" s="196"/>
      <c r="J393" s="196"/>
      <c r="K393" s="196"/>
      <c r="L393" s="196"/>
      <c r="M393" s="196"/>
      <c r="N393" s="196"/>
      <c r="O393" s="196"/>
      <c r="P393" s="195"/>
      <c r="Q393" s="195"/>
      <c r="R393" s="195"/>
    </row>
    <row r="394" spans="1:18" ht="18" customHeight="1">
      <c r="A394" s="193"/>
      <c r="B394" s="23"/>
      <c r="C394" s="23"/>
      <c r="D394" s="23"/>
      <c r="E394" s="23"/>
      <c r="F394" s="23"/>
      <c r="G394" s="19"/>
      <c r="H394" s="19"/>
      <c r="I394" s="19"/>
      <c r="J394" s="19"/>
      <c r="K394" s="19"/>
      <c r="L394" s="19"/>
      <c r="M394" s="19"/>
      <c r="N394" s="19"/>
      <c r="O394" s="19"/>
      <c r="P394" s="23"/>
      <c r="Q394" s="23"/>
      <c r="R394" s="23"/>
    </row>
    <row r="395" spans="1:18" ht="18" customHeight="1">
      <c r="A395" s="194"/>
      <c r="B395" s="195"/>
      <c r="C395" s="195"/>
      <c r="D395" s="195"/>
      <c r="E395" s="195"/>
      <c r="F395" s="195"/>
      <c r="G395" s="196"/>
      <c r="H395" s="196"/>
      <c r="I395" s="196"/>
      <c r="J395" s="196"/>
      <c r="K395" s="196"/>
      <c r="L395" s="196"/>
      <c r="M395" s="196"/>
      <c r="N395" s="196"/>
      <c r="O395" s="196"/>
      <c r="P395" s="195"/>
      <c r="Q395" s="195"/>
      <c r="R395" s="195"/>
    </row>
    <row r="396" spans="1:18" ht="18" customHeight="1">
      <c r="A396" s="193"/>
      <c r="B396" s="23"/>
      <c r="C396" s="23"/>
      <c r="D396" s="23"/>
      <c r="E396" s="23"/>
      <c r="F396" s="23"/>
      <c r="G396" s="19"/>
      <c r="H396" s="19"/>
      <c r="I396" s="19"/>
      <c r="J396" s="19"/>
      <c r="K396" s="19"/>
      <c r="L396" s="19"/>
      <c r="M396" s="19"/>
      <c r="N396" s="19"/>
      <c r="O396" s="19"/>
      <c r="P396" s="23"/>
      <c r="Q396" s="23"/>
      <c r="R396" s="23"/>
    </row>
    <row r="397" spans="1:18" ht="18" customHeight="1">
      <c r="A397" s="194"/>
      <c r="B397" s="195"/>
      <c r="C397" s="195"/>
      <c r="D397" s="195"/>
      <c r="E397" s="195"/>
      <c r="F397" s="195"/>
      <c r="G397" s="196"/>
      <c r="H397" s="196"/>
      <c r="I397" s="196"/>
      <c r="J397" s="196"/>
      <c r="K397" s="196"/>
      <c r="L397" s="196"/>
      <c r="M397" s="196"/>
      <c r="N397" s="196"/>
      <c r="O397" s="196"/>
      <c r="P397" s="195"/>
      <c r="Q397" s="195"/>
      <c r="R397" s="195"/>
    </row>
    <row r="398" spans="1:18" ht="18" customHeight="1">
      <c r="A398" s="193"/>
      <c r="B398" s="23"/>
      <c r="C398" s="23"/>
      <c r="D398" s="23"/>
      <c r="E398" s="23"/>
      <c r="F398" s="23"/>
      <c r="G398" s="19"/>
      <c r="H398" s="19"/>
      <c r="I398" s="19"/>
      <c r="J398" s="19"/>
      <c r="K398" s="19"/>
      <c r="L398" s="19"/>
      <c r="M398" s="19"/>
      <c r="N398" s="19"/>
      <c r="O398" s="19"/>
      <c r="P398" s="23"/>
      <c r="Q398" s="23"/>
      <c r="R398" s="23"/>
    </row>
    <row r="399" spans="1:18" ht="18" customHeight="1">
      <c r="A399" s="194"/>
      <c r="B399" s="195"/>
      <c r="C399" s="195"/>
      <c r="D399" s="195"/>
      <c r="E399" s="195"/>
      <c r="F399" s="195"/>
      <c r="G399" s="196"/>
      <c r="H399" s="196"/>
      <c r="I399" s="196"/>
      <c r="J399" s="196"/>
      <c r="K399" s="196"/>
      <c r="L399" s="196"/>
      <c r="M399" s="196"/>
      <c r="N399" s="196"/>
      <c r="O399" s="196"/>
      <c r="P399" s="195"/>
      <c r="Q399" s="195"/>
      <c r="R399" s="195"/>
    </row>
    <row r="400" spans="1:18" ht="18" customHeight="1">
      <c r="A400" s="193"/>
      <c r="B400" s="23"/>
      <c r="C400" s="23"/>
      <c r="D400" s="23"/>
      <c r="E400" s="23"/>
      <c r="F400" s="23"/>
      <c r="G400" s="19"/>
      <c r="H400" s="19"/>
      <c r="I400" s="19"/>
      <c r="J400" s="19"/>
      <c r="K400" s="19"/>
      <c r="L400" s="19"/>
      <c r="M400" s="19"/>
      <c r="N400" s="19"/>
      <c r="O400" s="19"/>
      <c r="P400" s="23"/>
      <c r="Q400" s="23"/>
      <c r="R400" s="23"/>
    </row>
    <row r="401" spans="1:18" ht="18" customHeight="1">
      <c r="A401" s="194"/>
      <c r="B401" s="195"/>
      <c r="C401" s="195"/>
      <c r="D401" s="195"/>
      <c r="E401" s="195"/>
      <c r="F401" s="195"/>
      <c r="G401" s="196"/>
      <c r="H401" s="196"/>
      <c r="I401" s="196"/>
      <c r="J401" s="196"/>
      <c r="K401" s="196"/>
      <c r="L401" s="196"/>
      <c r="M401" s="196"/>
      <c r="N401" s="196"/>
      <c r="O401" s="196"/>
      <c r="P401" s="195"/>
      <c r="Q401" s="195"/>
      <c r="R401" s="195"/>
    </row>
    <row r="402" spans="1:18" ht="18" customHeight="1">
      <c r="A402" s="193"/>
      <c r="B402" s="23"/>
      <c r="C402" s="23"/>
      <c r="D402" s="23"/>
      <c r="E402" s="23"/>
      <c r="F402" s="23"/>
      <c r="G402" s="19"/>
      <c r="H402" s="19"/>
      <c r="I402" s="19"/>
      <c r="J402" s="19"/>
      <c r="K402" s="19"/>
      <c r="L402" s="19"/>
      <c r="M402" s="19"/>
      <c r="N402" s="19"/>
      <c r="O402" s="19"/>
      <c r="P402" s="23"/>
      <c r="Q402" s="23"/>
      <c r="R402" s="23"/>
    </row>
    <row r="403" spans="1:18" ht="18" customHeight="1">
      <c r="A403" s="194"/>
      <c r="B403" s="195"/>
      <c r="C403" s="195"/>
      <c r="D403" s="195"/>
      <c r="E403" s="195"/>
      <c r="F403" s="195"/>
      <c r="G403" s="196"/>
      <c r="H403" s="196"/>
      <c r="I403" s="196"/>
      <c r="J403" s="196"/>
      <c r="K403" s="196"/>
      <c r="L403" s="196"/>
      <c r="M403" s="196"/>
      <c r="N403" s="196"/>
      <c r="O403" s="196"/>
      <c r="P403" s="195"/>
      <c r="Q403" s="195"/>
      <c r="R403" s="195"/>
    </row>
    <row r="404" spans="1:18" ht="18" customHeight="1">
      <c r="A404" s="193"/>
      <c r="B404" s="23"/>
      <c r="C404" s="23"/>
      <c r="D404" s="23"/>
      <c r="E404" s="23"/>
      <c r="F404" s="23"/>
      <c r="G404" s="19"/>
      <c r="H404" s="19"/>
      <c r="I404" s="19"/>
      <c r="J404" s="19"/>
      <c r="K404" s="19"/>
      <c r="L404" s="19"/>
      <c r="M404" s="19"/>
      <c r="N404" s="19"/>
      <c r="O404" s="19"/>
      <c r="P404" s="23"/>
      <c r="Q404" s="23"/>
      <c r="R404" s="23"/>
    </row>
    <row r="405" spans="1:18" ht="18" customHeight="1">
      <c r="A405" s="194"/>
      <c r="B405" s="195"/>
      <c r="C405" s="195"/>
      <c r="D405" s="195"/>
      <c r="E405" s="195"/>
      <c r="F405" s="195"/>
      <c r="G405" s="196"/>
      <c r="H405" s="196"/>
      <c r="I405" s="196"/>
      <c r="J405" s="196"/>
      <c r="K405" s="196"/>
      <c r="L405" s="196"/>
      <c r="M405" s="196"/>
      <c r="N405" s="196"/>
      <c r="O405" s="196"/>
      <c r="P405" s="195"/>
      <c r="Q405" s="195"/>
      <c r="R405" s="195"/>
    </row>
    <row r="406" spans="1:18" ht="18" customHeight="1">
      <c r="A406" s="193"/>
      <c r="B406" s="23"/>
      <c r="C406" s="23"/>
      <c r="D406" s="23"/>
      <c r="E406" s="23"/>
      <c r="F406" s="23"/>
      <c r="G406" s="19"/>
      <c r="H406" s="19"/>
      <c r="I406" s="19"/>
      <c r="J406" s="19"/>
      <c r="K406" s="19"/>
      <c r="L406" s="19"/>
      <c r="M406" s="19"/>
      <c r="N406" s="19"/>
      <c r="O406" s="19"/>
      <c r="P406" s="23"/>
      <c r="Q406" s="23"/>
      <c r="R406" s="23"/>
    </row>
    <row r="407" spans="1:18" ht="18" customHeight="1">
      <c r="A407" s="194"/>
      <c r="B407" s="195"/>
      <c r="C407" s="195"/>
      <c r="D407" s="195"/>
      <c r="E407" s="195"/>
      <c r="F407" s="195"/>
      <c r="G407" s="196"/>
      <c r="H407" s="196"/>
      <c r="I407" s="196"/>
      <c r="J407" s="196"/>
      <c r="K407" s="196"/>
      <c r="L407" s="196"/>
      <c r="M407" s="196"/>
      <c r="N407" s="196"/>
      <c r="O407" s="196"/>
      <c r="P407" s="195"/>
      <c r="Q407" s="195"/>
      <c r="R407" s="195"/>
    </row>
    <row r="408" spans="1:18" ht="18" customHeight="1">
      <c r="A408" s="193"/>
      <c r="B408" s="23"/>
      <c r="C408" s="23"/>
      <c r="D408" s="23"/>
      <c r="E408" s="23"/>
      <c r="F408" s="23"/>
      <c r="G408" s="19"/>
      <c r="H408" s="19"/>
      <c r="I408" s="19"/>
      <c r="J408" s="19"/>
      <c r="K408" s="19"/>
      <c r="L408" s="19"/>
      <c r="M408" s="19"/>
      <c r="N408" s="19"/>
      <c r="O408" s="19"/>
      <c r="P408" s="23"/>
      <c r="Q408" s="23"/>
      <c r="R408" s="23"/>
    </row>
    <row r="409" spans="1:18" ht="18" customHeight="1">
      <c r="A409" s="194"/>
      <c r="B409" s="195"/>
      <c r="C409" s="195"/>
      <c r="D409" s="195"/>
      <c r="E409" s="195"/>
      <c r="F409" s="195"/>
      <c r="G409" s="196"/>
      <c r="H409" s="196"/>
      <c r="I409" s="196"/>
      <c r="J409" s="196"/>
      <c r="K409" s="196"/>
      <c r="L409" s="196"/>
      <c r="M409" s="196"/>
      <c r="N409" s="196"/>
      <c r="O409" s="196"/>
      <c r="P409" s="195"/>
      <c r="Q409" s="195"/>
      <c r="R409" s="195"/>
    </row>
    <row r="410" spans="1:18" ht="18" customHeight="1">
      <c r="A410" s="193"/>
      <c r="B410" s="23"/>
      <c r="C410" s="23"/>
      <c r="D410" s="23"/>
      <c r="E410" s="23"/>
      <c r="F410" s="23"/>
      <c r="G410" s="19"/>
      <c r="H410" s="19"/>
      <c r="I410" s="19"/>
      <c r="J410" s="19"/>
      <c r="K410" s="19"/>
      <c r="L410" s="19"/>
      <c r="M410" s="19"/>
      <c r="N410" s="19"/>
      <c r="O410" s="19"/>
      <c r="P410" s="23"/>
      <c r="Q410" s="23"/>
      <c r="R410" s="23"/>
    </row>
    <row r="411" spans="1:18" ht="18" customHeight="1">
      <c r="A411" s="194"/>
      <c r="B411" s="195"/>
      <c r="C411" s="195"/>
      <c r="D411" s="195"/>
      <c r="E411" s="195"/>
      <c r="F411" s="195"/>
      <c r="G411" s="196"/>
      <c r="H411" s="196"/>
      <c r="I411" s="196"/>
      <c r="J411" s="196"/>
      <c r="K411" s="196"/>
      <c r="L411" s="196"/>
      <c r="M411" s="196"/>
      <c r="N411" s="196"/>
      <c r="O411" s="196"/>
      <c r="P411" s="195"/>
      <c r="Q411" s="195"/>
      <c r="R411" s="195"/>
    </row>
    <row r="412" spans="1:18" ht="18" customHeight="1">
      <c r="A412" s="193"/>
      <c r="B412" s="23"/>
      <c r="C412" s="23"/>
      <c r="D412" s="23"/>
      <c r="E412" s="23"/>
      <c r="F412" s="23"/>
      <c r="G412" s="19"/>
      <c r="H412" s="19"/>
      <c r="I412" s="19"/>
      <c r="J412" s="19"/>
      <c r="K412" s="19"/>
      <c r="L412" s="19"/>
      <c r="M412" s="19"/>
      <c r="N412" s="19"/>
      <c r="O412" s="19"/>
      <c r="P412" s="23"/>
      <c r="Q412" s="23"/>
      <c r="R412" s="23"/>
    </row>
    <row r="413" spans="1:18" ht="18" customHeight="1">
      <c r="A413" s="194"/>
      <c r="B413" s="195"/>
      <c r="C413" s="195"/>
      <c r="D413" s="195"/>
      <c r="E413" s="195"/>
      <c r="F413" s="195"/>
      <c r="G413" s="196"/>
      <c r="H413" s="196"/>
      <c r="I413" s="196"/>
      <c r="J413" s="196"/>
      <c r="K413" s="196"/>
      <c r="L413" s="196"/>
      <c r="M413" s="196"/>
      <c r="N413" s="196"/>
      <c r="O413" s="196"/>
      <c r="P413" s="195"/>
      <c r="Q413" s="195"/>
      <c r="R413" s="195"/>
    </row>
    <row r="414" spans="1:18" ht="18" customHeight="1">
      <c r="A414" s="193"/>
      <c r="B414" s="23"/>
      <c r="C414" s="23"/>
      <c r="D414" s="23"/>
      <c r="E414" s="23"/>
      <c r="F414" s="23"/>
      <c r="G414" s="19"/>
      <c r="H414" s="19"/>
      <c r="I414" s="19"/>
      <c r="J414" s="19"/>
      <c r="K414" s="19"/>
      <c r="L414" s="19"/>
      <c r="M414" s="19"/>
      <c r="N414" s="19"/>
      <c r="O414" s="19"/>
      <c r="P414" s="23"/>
      <c r="Q414" s="23"/>
      <c r="R414" s="23"/>
    </row>
    <row r="415" spans="1:18" ht="18" customHeight="1">
      <c r="A415" s="194"/>
      <c r="B415" s="195"/>
      <c r="C415" s="195"/>
      <c r="D415" s="195"/>
      <c r="E415" s="195"/>
      <c r="F415" s="195"/>
      <c r="G415" s="196"/>
      <c r="H415" s="196"/>
      <c r="I415" s="196"/>
      <c r="J415" s="196"/>
      <c r="K415" s="196"/>
      <c r="L415" s="196"/>
      <c r="M415" s="196"/>
      <c r="N415" s="196"/>
      <c r="O415" s="196"/>
      <c r="P415" s="195"/>
      <c r="Q415" s="195"/>
      <c r="R415" s="195"/>
    </row>
    <row r="416" spans="1:18" ht="18" customHeight="1">
      <c r="A416" s="193"/>
      <c r="B416" s="23"/>
      <c r="C416" s="23"/>
      <c r="D416" s="23"/>
      <c r="E416" s="23"/>
      <c r="F416" s="23"/>
      <c r="G416" s="19"/>
      <c r="H416" s="19"/>
      <c r="I416" s="19"/>
      <c r="J416" s="19"/>
      <c r="K416" s="19"/>
      <c r="L416" s="19"/>
      <c r="M416" s="19"/>
      <c r="N416" s="19"/>
      <c r="O416" s="19"/>
      <c r="P416" s="23"/>
      <c r="Q416" s="23"/>
      <c r="R416" s="23"/>
    </row>
    <row r="417" spans="1:18" ht="18" customHeight="1">
      <c r="A417" s="194"/>
      <c r="B417" s="195"/>
      <c r="C417" s="195"/>
      <c r="D417" s="195"/>
      <c r="E417" s="195"/>
      <c r="F417" s="195"/>
      <c r="G417" s="196"/>
      <c r="H417" s="196"/>
      <c r="I417" s="196"/>
      <c r="J417" s="196"/>
      <c r="K417" s="196"/>
      <c r="L417" s="196"/>
      <c r="M417" s="196"/>
      <c r="N417" s="196"/>
      <c r="O417" s="196"/>
      <c r="P417" s="195"/>
      <c r="Q417" s="195"/>
      <c r="R417" s="195"/>
    </row>
    <row r="418" spans="1:18" ht="18" customHeight="1">
      <c r="A418" s="193"/>
      <c r="B418" s="23"/>
      <c r="C418" s="23"/>
      <c r="D418" s="23"/>
      <c r="E418" s="23"/>
      <c r="F418" s="23"/>
      <c r="G418" s="19"/>
      <c r="H418" s="19"/>
      <c r="I418" s="19"/>
      <c r="J418" s="19"/>
      <c r="K418" s="19"/>
      <c r="L418" s="19"/>
      <c r="M418" s="19"/>
      <c r="N418" s="19"/>
      <c r="O418" s="19"/>
      <c r="P418" s="23"/>
      <c r="Q418" s="23"/>
      <c r="R418" s="23"/>
    </row>
    <row r="419" spans="1:18" ht="18" customHeight="1">
      <c r="A419" s="194"/>
      <c r="B419" s="195"/>
      <c r="C419" s="195"/>
      <c r="D419" s="195"/>
      <c r="E419" s="195"/>
      <c r="F419" s="195"/>
      <c r="G419" s="196"/>
      <c r="H419" s="196"/>
      <c r="I419" s="196"/>
      <c r="J419" s="196"/>
      <c r="K419" s="196"/>
      <c r="L419" s="196"/>
      <c r="M419" s="196"/>
      <c r="N419" s="196"/>
      <c r="O419" s="196"/>
      <c r="P419" s="195"/>
      <c r="Q419" s="195"/>
      <c r="R419" s="195"/>
    </row>
    <row r="420" spans="1:18" ht="18" customHeight="1">
      <c r="A420" s="193"/>
      <c r="B420" s="23"/>
      <c r="C420" s="23"/>
      <c r="D420" s="23"/>
      <c r="E420" s="23"/>
      <c r="F420" s="23"/>
      <c r="G420" s="19"/>
      <c r="H420" s="19"/>
      <c r="I420" s="19"/>
      <c r="J420" s="19"/>
      <c r="K420" s="19"/>
      <c r="L420" s="19"/>
      <c r="M420" s="19"/>
      <c r="N420" s="19"/>
      <c r="O420" s="19"/>
      <c r="P420" s="23"/>
      <c r="Q420" s="23"/>
      <c r="R420" s="23"/>
    </row>
    <row r="421" spans="1:18" ht="18" customHeight="1">
      <c r="A421" s="194"/>
      <c r="B421" s="195"/>
      <c r="C421" s="195"/>
      <c r="D421" s="195"/>
      <c r="E421" s="195"/>
      <c r="F421" s="195"/>
      <c r="G421" s="196"/>
      <c r="H421" s="196"/>
      <c r="I421" s="196"/>
      <c r="J421" s="196"/>
      <c r="K421" s="196"/>
      <c r="L421" s="196"/>
      <c r="M421" s="196"/>
      <c r="N421" s="196"/>
      <c r="O421" s="196"/>
      <c r="P421" s="195"/>
      <c r="Q421" s="195"/>
      <c r="R421" s="195"/>
    </row>
    <row r="422" spans="1:18" ht="18" customHeight="1">
      <c r="A422" s="193"/>
      <c r="B422" s="23"/>
      <c r="C422" s="23"/>
      <c r="D422" s="23"/>
      <c r="E422" s="23"/>
      <c r="F422" s="23"/>
      <c r="G422" s="19"/>
      <c r="H422" s="19"/>
      <c r="I422" s="19"/>
      <c r="J422" s="19"/>
      <c r="K422" s="19"/>
      <c r="L422" s="19"/>
      <c r="M422" s="19"/>
      <c r="N422" s="19"/>
      <c r="O422" s="19"/>
      <c r="P422" s="23"/>
      <c r="Q422" s="23"/>
      <c r="R422" s="23"/>
    </row>
    <row r="423" spans="1:18" ht="18" customHeight="1">
      <c r="A423" s="194"/>
      <c r="B423" s="195"/>
      <c r="C423" s="195"/>
      <c r="D423" s="195"/>
      <c r="E423" s="195"/>
      <c r="F423" s="195"/>
      <c r="G423" s="196"/>
      <c r="H423" s="196"/>
      <c r="I423" s="196"/>
      <c r="J423" s="196"/>
      <c r="K423" s="196"/>
      <c r="L423" s="196"/>
      <c r="M423" s="196"/>
      <c r="N423" s="196"/>
      <c r="O423" s="196"/>
      <c r="P423" s="195"/>
      <c r="Q423" s="195"/>
      <c r="R423" s="195"/>
    </row>
    <row r="424" spans="1:18" ht="18" customHeight="1">
      <c r="A424" s="193"/>
      <c r="B424" s="23"/>
      <c r="C424" s="23"/>
      <c r="D424" s="23"/>
      <c r="E424" s="23"/>
      <c r="F424" s="23"/>
      <c r="G424" s="19"/>
      <c r="H424" s="19"/>
      <c r="I424" s="19"/>
      <c r="J424" s="19"/>
      <c r="K424" s="19"/>
      <c r="L424" s="19"/>
      <c r="M424" s="19"/>
      <c r="N424" s="19"/>
      <c r="O424" s="19"/>
      <c r="P424" s="23"/>
      <c r="Q424" s="23"/>
      <c r="R424" s="23"/>
    </row>
    <row r="425" spans="1:18" ht="18" customHeight="1">
      <c r="A425" s="194"/>
      <c r="B425" s="195"/>
      <c r="C425" s="195"/>
      <c r="D425" s="195"/>
      <c r="E425" s="195"/>
      <c r="F425" s="195"/>
      <c r="G425" s="196"/>
      <c r="H425" s="196"/>
      <c r="I425" s="196"/>
      <c r="J425" s="196"/>
      <c r="K425" s="196"/>
      <c r="L425" s="196"/>
      <c r="M425" s="196"/>
      <c r="N425" s="196"/>
      <c r="O425" s="196"/>
      <c r="P425" s="195"/>
      <c r="Q425" s="195"/>
      <c r="R425" s="195"/>
    </row>
    <row r="426" spans="1:18" ht="18" customHeight="1">
      <c r="A426" s="193"/>
      <c r="B426" s="23"/>
      <c r="C426" s="23"/>
      <c r="D426" s="23"/>
      <c r="E426" s="23"/>
      <c r="F426" s="23"/>
      <c r="G426" s="19"/>
      <c r="H426" s="19"/>
      <c r="I426" s="19"/>
      <c r="J426" s="19"/>
      <c r="K426" s="19"/>
      <c r="L426" s="19"/>
      <c r="M426" s="19"/>
      <c r="N426" s="19"/>
      <c r="O426" s="19"/>
      <c r="P426" s="23"/>
      <c r="Q426" s="23"/>
      <c r="R426" s="23"/>
    </row>
    <row r="427" spans="1:18" ht="18" customHeight="1">
      <c r="A427" s="194"/>
      <c r="B427" s="195"/>
      <c r="C427" s="195"/>
      <c r="D427" s="195"/>
      <c r="E427" s="195"/>
      <c r="F427" s="195"/>
      <c r="G427" s="196"/>
      <c r="H427" s="196"/>
      <c r="I427" s="196"/>
      <c r="J427" s="196"/>
      <c r="K427" s="196"/>
      <c r="L427" s="196"/>
      <c r="M427" s="196"/>
      <c r="N427" s="196"/>
      <c r="O427" s="196"/>
      <c r="P427" s="195"/>
      <c r="Q427" s="195"/>
      <c r="R427" s="195"/>
    </row>
    <row r="428" spans="1:18" ht="18" customHeight="1">
      <c r="A428" s="193"/>
      <c r="B428" s="23"/>
      <c r="C428" s="23"/>
      <c r="D428" s="23"/>
      <c r="E428" s="23"/>
      <c r="F428" s="23"/>
      <c r="G428" s="19"/>
      <c r="H428" s="19"/>
      <c r="I428" s="19"/>
      <c r="J428" s="19"/>
      <c r="K428" s="19"/>
      <c r="L428" s="19"/>
      <c r="M428" s="19"/>
      <c r="N428" s="19"/>
      <c r="O428" s="19"/>
      <c r="P428" s="23"/>
      <c r="Q428" s="23"/>
      <c r="R428" s="23"/>
    </row>
    <row r="429" spans="1:18" ht="18" customHeight="1">
      <c r="A429" s="194"/>
      <c r="B429" s="195"/>
      <c r="C429" s="195"/>
      <c r="D429" s="195"/>
      <c r="E429" s="195"/>
      <c r="F429" s="195"/>
      <c r="G429" s="196"/>
      <c r="H429" s="196"/>
      <c r="I429" s="196"/>
      <c r="J429" s="196"/>
      <c r="K429" s="196"/>
      <c r="L429" s="196"/>
      <c r="M429" s="196"/>
      <c r="N429" s="196"/>
      <c r="O429" s="196"/>
      <c r="P429" s="195"/>
      <c r="Q429" s="195"/>
      <c r="R429" s="195"/>
    </row>
    <row r="430" spans="1:18" ht="18" customHeight="1">
      <c r="A430" s="193"/>
      <c r="B430" s="23"/>
      <c r="C430" s="23"/>
      <c r="D430" s="23"/>
      <c r="E430" s="23"/>
      <c r="F430" s="23"/>
      <c r="G430" s="19"/>
      <c r="H430" s="19"/>
      <c r="I430" s="19"/>
      <c r="J430" s="19"/>
      <c r="K430" s="19"/>
      <c r="L430" s="19"/>
      <c r="M430" s="19"/>
      <c r="N430" s="19"/>
      <c r="O430" s="19"/>
      <c r="P430" s="23"/>
      <c r="Q430" s="23"/>
      <c r="R430" s="23"/>
    </row>
    <row r="431" spans="1:18" ht="18" customHeight="1">
      <c r="A431" s="194"/>
      <c r="B431" s="195"/>
      <c r="C431" s="195"/>
      <c r="D431" s="195"/>
      <c r="E431" s="195"/>
      <c r="F431" s="195"/>
      <c r="G431" s="196"/>
      <c r="H431" s="196"/>
      <c r="I431" s="196"/>
      <c r="J431" s="196"/>
      <c r="K431" s="196"/>
      <c r="L431" s="196"/>
      <c r="M431" s="196"/>
      <c r="N431" s="196"/>
      <c r="O431" s="196"/>
      <c r="P431" s="195"/>
      <c r="Q431" s="195"/>
      <c r="R431" s="195"/>
    </row>
    <row r="432" spans="1:18" ht="18" customHeight="1">
      <c r="A432" s="193"/>
      <c r="B432" s="23"/>
      <c r="C432" s="23"/>
      <c r="D432" s="23"/>
      <c r="E432" s="23"/>
      <c r="F432" s="23"/>
      <c r="G432" s="19"/>
      <c r="H432" s="19"/>
      <c r="I432" s="19"/>
      <c r="J432" s="19"/>
      <c r="K432" s="19"/>
      <c r="L432" s="19"/>
      <c r="M432" s="19"/>
      <c r="N432" s="19"/>
      <c r="O432" s="19"/>
      <c r="P432" s="23"/>
      <c r="Q432" s="23"/>
      <c r="R432" s="23"/>
    </row>
    <row r="433" spans="1:18" ht="18" customHeight="1">
      <c r="A433" s="194"/>
      <c r="B433" s="195"/>
      <c r="C433" s="195"/>
      <c r="D433" s="195"/>
      <c r="E433" s="195"/>
      <c r="F433" s="195"/>
      <c r="G433" s="196"/>
      <c r="H433" s="196"/>
      <c r="I433" s="196"/>
      <c r="J433" s="196"/>
      <c r="K433" s="196"/>
      <c r="L433" s="196"/>
      <c r="M433" s="196"/>
      <c r="N433" s="196"/>
      <c r="O433" s="196"/>
      <c r="P433" s="195"/>
      <c r="Q433" s="195"/>
      <c r="R433" s="195"/>
    </row>
    <row r="434" spans="1:18" ht="18" customHeight="1">
      <c r="A434" s="193"/>
      <c r="B434" s="23"/>
      <c r="C434" s="23"/>
      <c r="D434" s="23"/>
      <c r="E434" s="23"/>
      <c r="F434" s="23"/>
      <c r="G434" s="19"/>
      <c r="H434" s="19"/>
      <c r="I434" s="19"/>
      <c r="J434" s="19"/>
      <c r="K434" s="19"/>
      <c r="L434" s="19"/>
      <c r="M434" s="19"/>
      <c r="N434" s="19"/>
      <c r="O434" s="19"/>
      <c r="P434" s="23"/>
      <c r="Q434" s="23"/>
      <c r="R434" s="23"/>
    </row>
    <row r="435" spans="1:18" ht="18" customHeight="1">
      <c r="A435" s="194"/>
      <c r="B435" s="195"/>
      <c r="C435" s="195"/>
      <c r="D435" s="195"/>
      <c r="E435" s="195"/>
      <c r="F435" s="195"/>
      <c r="G435" s="196"/>
      <c r="H435" s="196"/>
      <c r="I435" s="196"/>
      <c r="J435" s="196"/>
      <c r="K435" s="196"/>
      <c r="L435" s="196"/>
      <c r="M435" s="196"/>
      <c r="N435" s="196"/>
      <c r="O435" s="196"/>
      <c r="P435" s="195"/>
      <c r="Q435" s="195"/>
      <c r="R435" s="195"/>
    </row>
    <row r="436" spans="1:18" ht="18" customHeight="1">
      <c r="A436" s="193"/>
      <c r="B436" s="23"/>
      <c r="C436" s="23"/>
      <c r="D436" s="23"/>
      <c r="E436" s="23"/>
      <c r="F436" s="23"/>
      <c r="G436" s="19"/>
      <c r="H436" s="19"/>
      <c r="I436" s="19"/>
      <c r="J436" s="19"/>
      <c r="K436" s="19"/>
      <c r="L436" s="19"/>
      <c r="M436" s="19"/>
      <c r="N436" s="19"/>
      <c r="O436" s="19"/>
      <c r="P436" s="23"/>
      <c r="Q436" s="23"/>
      <c r="R436" s="23"/>
    </row>
    <row r="437" spans="1:18" ht="18" customHeight="1">
      <c r="A437" s="194"/>
      <c r="B437" s="195"/>
      <c r="C437" s="195"/>
      <c r="D437" s="195"/>
      <c r="E437" s="195"/>
      <c r="F437" s="195"/>
      <c r="G437" s="196"/>
      <c r="H437" s="196"/>
      <c r="I437" s="196"/>
      <c r="J437" s="196"/>
      <c r="K437" s="196"/>
      <c r="L437" s="196"/>
      <c r="M437" s="196"/>
      <c r="N437" s="196"/>
      <c r="O437" s="196"/>
      <c r="P437" s="195"/>
      <c r="Q437" s="195"/>
      <c r="R437" s="195"/>
    </row>
    <row r="438" spans="1:18" ht="18" customHeight="1">
      <c r="A438" s="193"/>
      <c r="B438" s="23"/>
      <c r="C438" s="23"/>
      <c r="D438" s="23"/>
      <c r="E438" s="23"/>
      <c r="F438" s="23"/>
      <c r="G438" s="19"/>
      <c r="H438" s="19"/>
      <c r="I438" s="19"/>
      <c r="J438" s="19"/>
      <c r="K438" s="19"/>
      <c r="L438" s="19"/>
      <c r="M438" s="19"/>
      <c r="N438" s="19"/>
      <c r="O438" s="19"/>
      <c r="P438" s="23"/>
      <c r="Q438" s="23"/>
      <c r="R438" s="23"/>
    </row>
    <row r="439" spans="1:18" ht="18" customHeight="1">
      <c r="A439" s="194"/>
      <c r="B439" s="195"/>
      <c r="C439" s="195"/>
      <c r="D439" s="195"/>
      <c r="E439" s="195"/>
      <c r="F439" s="195"/>
      <c r="G439" s="196"/>
      <c r="H439" s="196"/>
      <c r="I439" s="196"/>
      <c r="J439" s="196"/>
      <c r="K439" s="196"/>
      <c r="L439" s="196"/>
      <c r="M439" s="196"/>
      <c r="N439" s="196"/>
      <c r="O439" s="196"/>
      <c r="P439" s="195"/>
      <c r="Q439" s="195"/>
      <c r="R439" s="195"/>
    </row>
    <row r="440" spans="1:18" ht="18" customHeight="1">
      <c r="A440" s="193"/>
      <c r="B440" s="23"/>
      <c r="C440" s="23"/>
      <c r="D440" s="23"/>
      <c r="E440" s="23"/>
      <c r="F440" s="23"/>
      <c r="G440" s="19"/>
      <c r="H440" s="19"/>
      <c r="I440" s="19"/>
      <c r="J440" s="19"/>
      <c r="K440" s="19"/>
      <c r="L440" s="19"/>
      <c r="M440" s="19"/>
      <c r="N440" s="19"/>
      <c r="O440" s="19"/>
      <c r="P440" s="23"/>
      <c r="Q440" s="23"/>
      <c r="R440" s="23"/>
    </row>
    <row r="441" spans="1:18" ht="18" customHeight="1">
      <c r="A441" s="194"/>
      <c r="B441" s="195"/>
      <c r="C441" s="195"/>
      <c r="D441" s="195"/>
      <c r="E441" s="195"/>
      <c r="F441" s="195"/>
      <c r="G441" s="196"/>
      <c r="H441" s="196"/>
      <c r="I441" s="196"/>
      <c r="J441" s="196"/>
      <c r="K441" s="196"/>
      <c r="L441" s="196"/>
      <c r="M441" s="196"/>
      <c r="N441" s="196"/>
      <c r="O441" s="196"/>
      <c r="P441" s="195"/>
      <c r="Q441" s="195"/>
      <c r="R441" s="195"/>
    </row>
    <row r="442" spans="1:18" ht="18" customHeight="1">
      <c r="A442" s="193"/>
      <c r="B442" s="23"/>
      <c r="C442" s="23"/>
      <c r="D442" s="23"/>
      <c r="E442" s="23"/>
      <c r="F442" s="23"/>
      <c r="G442" s="19"/>
      <c r="H442" s="19"/>
      <c r="I442" s="19"/>
      <c r="J442" s="19"/>
      <c r="K442" s="19"/>
      <c r="L442" s="19"/>
      <c r="M442" s="19"/>
      <c r="N442" s="19"/>
      <c r="O442" s="19"/>
      <c r="P442" s="23"/>
      <c r="Q442" s="23"/>
      <c r="R442" s="23"/>
    </row>
    <row r="443" spans="1:18" ht="18" customHeight="1">
      <c r="A443" s="194"/>
      <c r="B443" s="195"/>
      <c r="C443" s="195"/>
      <c r="D443" s="195"/>
      <c r="E443" s="195"/>
      <c r="F443" s="195"/>
      <c r="G443" s="196"/>
      <c r="H443" s="196"/>
      <c r="I443" s="196"/>
      <c r="J443" s="196"/>
      <c r="K443" s="196"/>
      <c r="L443" s="196"/>
      <c r="M443" s="196"/>
      <c r="N443" s="196"/>
      <c r="O443" s="196"/>
      <c r="P443" s="195"/>
      <c r="Q443" s="195"/>
      <c r="R443" s="195"/>
    </row>
    <row r="444" spans="1:18" ht="18" customHeight="1">
      <c r="A444" s="193"/>
      <c r="B444" s="23"/>
      <c r="C444" s="23"/>
      <c r="D444" s="23"/>
      <c r="E444" s="23"/>
      <c r="F444" s="23"/>
      <c r="G444" s="19"/>
      <c r="H444" s="19"/>
      <c r="I444" s="19"/>
      <c r="J444" s="19"/>
      <c r="K444" s="19"/>
      <c r="L444" s="19"/>
      <c r="M444" s="19"/>
      <c r="N444" s="19"/>
      <c r="O444" s="19"/>
      <c r="P444" s="23"/>
      <c r="Q444" s="23"/>
      <c r="R444" s="23"/>
    </row>
    <row r="445" spans="1:18" ht="18" customHeight="1">
      <c r="A445" s="194"/>
      <c r="B445" s="195"/>
      <c r="C445" s="195"/>
      <c r="D445" s="195"/>
      <c r="E445" s="195"/>
      <c r="F445" s="195"/>
      <c r="G445" s="196"/>
      <c r="H445" s="196"/>
      <c r="I445" s="196"/>
      <c r="J445" s="196"/>
      <c r="K445" s="196"/>
      <c r="L445" s="196"/>
      <c r="M445" s="196"/>
      <c r="N445" s="196"/>
      <c r="O445" s="196"/>
      <c r="P445" s="195"/>
      <c r="Q445" s="195"/>
      <c r="R445" s="195"/>
    </row>
    <row r="446" spans="1:18" ht="18" customHeight="1">
      <c r="A446" s="193"/>
      <c r="B446" s="23"/>
      <c r="C446" s="23"/>
      <c r="D446" s="23"/>
      <c r="E446" s="23"/>
      <c r="F446" s="23"/>
      <c r="G446" s="19"/>
      <c r="H446" s="19"/>
      <c r="I446" s="19"/>
      <c r="J446" s="19"/>
      <c r="K446" s="19"/>
      <c r="L446" s="19"/>
      <c r="M446" s="19"/>
      <c r="N446" s="19"/>
      <c r="O446" s="19"/>
      <c r="P446" s="23"/>
      <c r="Q446" s="23"/>
      <c r="R446" s="23"/>
    </row>
    <row r="447" spans="1:18" ht="18" customHeight="1">
      <c r="A447" s="194"/>
      <c r="B447" s="195"/>
      <c r="C447" s="195"/>
      <c r="D447" s="195"/>
      <c r="E447" s="195"/>
      <c r="F447" s="195"/>
      <c r="G447" s="196"/>
      <c r="H447" s="196"/>
      <c r="I447" s="196"/>
      <c r="J447" s="196"/>
      <c r="K447" s="196"/>
      <c r="L447" s="196"/>
      <c r="M447" s="196"/>
      <c r="N447" s="196"/>
      <c r="O447" s="196"/>
      <c r="P447" s="195"/>
      <c r="Q447" s="195"/>
      <c r="R447" s="195"/>
    </row>
    <row r="448" spans="1:18" ht="18" customHeight="1">
      <c r="A448" s="193"/>
      <c r="B448" s="23"/>
      <c r="C448" s="23"/>
      <c r="D448" s="23"/>
      <c r="E448" s="23"/>
      <c r="F448" s="23"/>
      <c r="G448" s="19"/>
      <c r="H448" s="19"/>
      <c r="I448" s="19"/>
      <c r="J448" s="19"/>
      <c r="K448" s="19"/>
      <c r="L448" s="19"/>
      <c r="M448" s="19"/>
      <c r="N448" s="19"/>
      <c r="O448" s="19"/>
      <c r="P448" s="23"/>
      <c r="Q448" s="23"/>
      <c r="R448" s="23"/>
    </row>
    <row r="449" spans="1:18" ht="18" customHeight="1">
      <c r="A449" s="194"/>
      <c r="B449" s="195"/>
      <c r="C449" s="195"/>
      <c r="D449" s="195"/>
      <c r="E449" s="195"/>
      <c r="F449" s="195"/>
      <c r="G449" s="196"/>
      <c r="H449" s="196"/>
      <c r="I449" s="196"/>
      <c r="J449" s="196"/>
      <c r="K449" s="196"/>
      <c r="L449" s="196"/>
      <c r="M449" s="196"/>
      <c r="N449" s="196"/>
      <c r="O449" s="196"/>
      <c r="P449" s="195"/>
      <c r="Q449" s="195"/>
      <c r="R449" s="195"/>
    </row>
    <row r="450" spans="1:18" ht="18" customHeight="1">
      <c r="A450" s="193"/>
      <c r="B450" s="23"/>
      <c r="C450" s="23"/>
      <c r="D450" s="23"/>
      <c r="E450" s="23"/>
      <c r="F450" s="23"/>
      <c r="G450" s="19"/>
      <c r="H450" s="19"/>
      <c r="I450" s="19"/>
      <c r="J450" s="19"/>
      <c r="K450" s="19"/>
      <c r="L450" s="19"/>
      <c r="M450" s="19"/>
      <c r="N450" s="19"/>
      <c r="O450" s="19"/>
      <c r="P450" s="23"/>
      <c r="Q450" s="23"/>
      <c r="R450" s="23"/>
    </row>
    <row r="451" spans="1:18" ht="18" customHeight="1">
      <c r="A451" s="194"/>
      <c r="B451" s="195"/>
      <c r="C451" s="195"/>
      <c r="D451" s="195"/>
      <c r="E451" s="195"/>
      <c r="F451" s="195"/>
      <c r="G451" s="196"/>
      <c r="H451" s="196"/>
      <c r="I451" s="196"/>
      <c r="J451" s="196"/>
      <c r="K451" s="196"/>
      <c r="L451" s="196"/>
      <c r="M451" s="196"/>
      <c r="N451" s="196"/>
      <c r="O451" s="196"/>
      <c r="P451" s="195"/>
      <c r="Q451" s="195"/>
      <c r="R451" s="195"/>
    </row>
    <row r="452" spans="1:18" ht="18" customHeight="1">
      <c r="A452" s="193"/>
      <c r="B452" s="23"/>
      <c r="C452" s="23"/>
      <c r="D452" s="23"/>
      <c r="E452" s="23"/>
      <c r="F452" s="23"/>
      <c r="G452" s="19"/>
      <c r="H452" s="19"/>
      <c r="I452" s="19"/>
      <c r="J452" s="19"/>
      <c r="K452" s="19"/>
      <c r="L452" s="19"/>
      <c r="M452" s="19"/>
      <c r="N452" s="19"/>
      <c r="O452" s="19"/>
      <c r="P452" s="23"/>
      <c r="Q452" s="23"/>
      <c r="R452" s="23"/>
    </row>
    <row r="453" spans="1:18" ht="18" customHeight="1">
      <c r="A453" s="194"/>
      <c r="B453" s="195"/>
      <c r="C453" s="195"/>
      <c r="D453" s="195"/>
      <c r="E453" s="195"/>
      <c r="F453" s="195"/>
      <c r="G453" s="196"/>
      <c r="H453" s="196"/>
      <c r="I453" s="196"/>
      <c r="J453" s="196"/>
      <c r="K453" s="196"/>
      <c r="L453" s="196"/>
      <c r="M453" s="196"/>
      <c r="N453" s="196"/>
      <c r="O453" s="196"/>
      <c r="P453" s="195"/>
      <c r="Q453" s="195"/>
      <c r="R453" s="195"/>
    </row>
    <row r="454" spans="1:18" ht="18" customHeight="1">
      <c r="A454" s="193"/>
      <c r="B454" s="23"/>
      <c r="C454" s="23"/>
      <c r="D454" s="23"/>
      <c r="E454" s="23"/>
      <c r="F454" s="23"/>
      <c r="G454" s="19"/>
      <c r="H454" s="19"/>
      <c r="I454" s="19"/>
      <c r="J454" s="19"/>
      <c r="K454" s="19"/>
      <c r="L454" s="19"/>
      <c r="M454" s="19"/>
      <c r="N454" s="19"/>
      <c r="O454" s="19"/>
      <c r="P454" s="23"/>
      <c r="Q454" s="23"/>
      <c r="R454" s="23"/>
    </row>
    <row r="455" spans="1:18" ht="18" customHeight="1">
      <c r="A455" s="194"/>
      <c r="B455" s="195"/>
      <c r="C455" s="195"/>
      <c r="D455" s="195"/>
      <c r="E455" s="195"/>
      <c r="F455" s="195"/>
      <c r="G455" s="196"/>
      <c r="H455" s="196"/>
      <c r="I455" s="196"/>
      <c r="J455" s="196"/>
      <c r="K455" s="196"/>
      <c r="L455" s="196"/>
      <c r="M455" s="196"/>
      <c r="N455" s="196"/>
      <c r="O455" s="196"/>
      <c r="P455" s="195"/>
      <c r="Q455" s="195"/>
      <c r="R455" s="195"/>
    </row>
    <row r="456" spans="1:18" ht="18" customHeight="1">
      <c r="A456" s="193"/>
      <c r="B456" s="23"/>
      <c r="C456" s="23"/>
      <c r="D456" s="23"/>
      <c r="E456" s="23"/>
      <c r="F456" s="23"/>
      <c r="G456" s="19"/>
      <c r="H456" s="19"/>
      <c r="I456" s="19"/>
      <c r="J456" s="19"/>
      <c r="K456" s="19"/>
      <c r="L456" s="19"/>
      <c r="M456" s="19"/>
      <c r="N456" s="19"/>
      <c r="O456" s="19"/>
      <c r="P456" s="23"/>
      <c r="Q456" s="23"/>
      <c r="R456" s="23"/>
    </row>
    <row r="457" spans="1:18" ht="18" customHeight="1">
      <c r="A457" s="194"/>
      <c r="B457" s="195"/>
      <c r="C457" s="195"/>
      <c r="D457" s="195"/>
      <c r="E457" s="195"/>
      <c r="F457" s="195"/>
      <c r="G457" s="196"/>
      <c r="H457" s="196"/>
      <c r="I457" s="196"/>
      <c r="J457" s="196"/>
      <c r="K457" s="196"/>
      <c r="L457" s="196"/>
      <c r="M457" s="196"/>
      <c r="N457" s="196"/>
      <c r="O457" s="196"/>
      <c r="P457" s="195"/>
      <c r="Q457" s="195"/>
      <c r="R457" s="195"/>
    </row>
    <row r="458" spans="1:18" ht="18" customHeight="1">
      <c r="A458" s="193"/>
      <c r="B458" s="23"/>
      <c r="C458" s="23"/>
      <c r="D458" s="23"/>
      <c r="E458" s="23"/>
      <c r="F458" s="23"/>
      <c r="G458" s="19"/>
      <c r="H458" s="19"/>
      <c r="I458" s="19"/>
      <c r="J458" s="19"/>
      <c r="K458" s="19"/>
      <c r="L458" s="19"/>
      <c r="M458" s="19"/>
      <c r="N458" s="19"/>
      <c r="O458" s="19"/>
      <c r="P458" s="23"/>
      <c r="Q458" s="23"/>
      <c r="R458" s="23"/>
    </row>
    <row r="459" spans="1:18" ht="18" customHeight="1">
      <c r="A459" s="194"/>
      <c r="B459" s="195"/>
      <c r="C459" s="195"/>
      <c r="D459" s="195"/>
      <c r="E459" s="195"/>
      <c r="F459" s="195"/>
      <c r="G459" s="196"/>
      <c r="H459" s="196"/>
      <c r="I459" s="196"/>
      <c r="J459" s="196"/>
      <c r="K459" s="196"/>
      <c r="L459" s="196"/>
      <c r="M459" s="196"/>
      <c r="N459" s="196"/>
      <c r="O459" s="196"/>
      <c r="P459" s="195"/>
      <c r="Q459" s="195"/>
      <c r="R459" s="195"/>
    </row>
    <row r="460" spans="1:18" ht="18" customHeight="1">
      <c r="A460" s="193"/>
      <c r="B460" s="23"/>
      <c r="C460" s="23"/>
      <c r="D460" s="23"/>
      <c r="E460" s="23"/>
      <c r="F460" s="23"/>
      <c r="G460" s="19"/>
      <c r="H460" s="19"/>
      <c r="I460" s="19"/>
      <c r="J460" s="19"/>
      <c r="K460" s="19"/>
      <c r="L460" s="19"/>
      <c r="M460" s="19"/>
      <c r="N460" s="19"/>
      <c r="O460" s="19"/>
      <c r="P460" s="23"/>
      <c r="Q460" s="23"/>
      <c r="R460" s="23"/>
    </row>
    <row r="461" spans="1:18" ht="18" customHeight="1">
      <c r="A461" s="194"/>
      <c r="B461" s="195"/>
      <c r="C461" s="195"/>
      <c r="D461" s="195"/>
      <c r="E461" s="195"/>
      <c r="F461" s="195"/>
      <c r="G461" s="196"/>
      <c r="H461" s="196"/>
      <c r="I461" s="196"/>
      <c r="J461" s="196"/>
      <c r="K461" s="196"/>
      <c r="L461" s="196"/>
      <c r="M461" s="196"/>
      <c r="N461" s="196"/>
      <c r="O461" s="196"/>
      <c r="P461" s="195"/>
      <c r="Q461" s="195"/>
      <c r="R461" s="195"/>
    </row>
    <row r="462" spans="1:18" ht="18" customHeight="1">
      <c r="A462" s="193"/>
      <c r="B462" s="23"/>
      <c r="C462" s="23"/>
      <c r="D462" s="23"/>
      <c r="E462" s="23"/>
      <c r="F462" s="23"/>
      <c r="G462" s="19"/>
      <c r="H462" s="19"/>
      <c r="I462" s="19"/>
      <c r="J462" s="19"/>
      <c r="K462" s="19"/>
      <c r="L462" s="19"/>
      <c r="M462" s="19"/>
      <c r="N462" s="19"/>
      <c r="O462" s="19"/>
      <c r="P462" s="23"/>
      <c r="Q462" s="23"/>
      <c r="R462" s="23"/>
    </row>
    <row r="463" spans="1:18" ht="18" customHeight="1">
      <c r="A463" s="194"/>
      <c r="B463" s="195"/>
      <c r="C463" s="195"/>
      <c r="D463" s="195"/>
      <c r="E463" s="195"/>
      <c r="F463" s="195"/>
      <c r="G463" s="196"/>
      <c r="H463" s="196"/>
      <c r="I463" s="196"/>
      <c r="J463" s="196"/>
      <c r="K463" s="196"/>
      <c r="L463" s="196"/>
      <c r="M463" s="196"/>
      <c r="N463" s="196"/>
      <c r="O463" s="196"/>
      <c r="P463" s="195"/>
      <c r="Q463" s="195"/>
      <c r="R463" s="195"/>
    </row>
    <row r="464" spans="1:18" ht="18" customHeight="1">
      <c r="A464" s="193"/>
      <c r="B464" s="23"/>
      <c r="C464" s="23"/>
      <c r="D464" s="23"/>
      <c r="E464" s="23"/>
      <c r="F464" s="23"/>
      <c r="G464" s="19"/>
      <c r="H464" s="19"/>
      <c r="I464" s="19"/>
      <c r="J464" s="19"/>
      <c r="K464" s="19"/>
      <c r="L464" s="19"/>
      <c r="M464" s="19"/>
      <c r="N464" s="19"/>
      <c r="O464" s="19"/>
      <c r="P464" s="23"/>
      <c r="Q464" s="23"/>
      <c r="R464" s="23"/>
    </row>
    <row r="465" spans="1:18" ht="18" customHeight="1">
      <c r="A465" s="194"/>
      <c r="B465" s="195"/>
      <c r="C465" s="195"/>
      <c r="D465" s="195"/>
      <c r="E465" s="195"/>
      <c r="F465" s="195"/>
      <c r="G465" s="196"/>
      <c r="H465" s="196"/>
      <c r="I465" s="196"/>
      <c r="J465" s="196"/>
      <c r="K465" s="196"/>
      <c r="L465" s="196"/>
      <c r="M465" s="196"/>
      <c r="N465" s="196"/>
      <c r="O465" s="196"/>
      <c r="P465" s="195"/>
      <c r="Q465" s="195"/>
      <c r="R465" s="195"/>
    </row>
    <row r="466" spans="1:18" ht="18" customHeight="1">
      <c r="A466" s="193"/>
      <c r="B466" s="23"/>
      <c r="C466" s="23"/>
      <c r="D466" s="23"/>
      <c r="E466" s="23"/>
      <c r="F466" s="23"/>
      <c r="G466" s="19"/>
      <c r="H466" s="19"/>
      <c r="I466" s="19"/>
      <c r="J466" s="19"/>
      <c r="K466" s="19"/>
      <c r="L466" s="19"/>
      <c r="M466" s="19"/>
      <c r="N466" s="19"/>
      <c r="O466" s="19"/>
      <c r="P466" s="23"/>
      <c r="Q466" s="23"/>
      <c r="R466" s="23"/>
    </row>
    <row r="467" spans="1:18" ht="18" customHeight="1">
      <c r="A467" s="194"/>
      <c r="B467" s="195"/>
      <c r="C467" s="195"/>
      <c r="D467" s="195"/>
      <c r="E467" s="195"/>
      <c r="F467" s="195"/>
      <c r="G467" s="196"/>
      <c r="H467" s="196"/>
      <c r="I467" s="196"/>
      <c r="J467" s="196"/>
      <c r="K467" s="196"/>
      <c r="L467" s="196"/>
      <c r="M467" s="196"/>
      <c r="N467" s="196"/>
      <c r="O467" s="196"/>
      <c r="P467" s="195"/>
      <c r="Q467" s="195"/>
      <c r="R467" s="195"/>
    </row>
    <row r="468" spans="1:18" ht="18" customHeight="1">
      <c r="A468" s="193"/>
      <c r="B468" s="23"/>
      <c r="C468" s="23"/>
      <c r="D468" s="23"/>
      <c r="E468" s="23"/>
      <c r="F468" s="23"/>
      <c r="G468" s="19"/>
      <c r="H468" s="19"/>
      <c r="I468" s="19"/>
      <c r="J468" s="19"/>
      <c r="K468" s="19"/>
      <c r="L468" s="19"/>
      <c r="M468" s="19"/>
      <c r="N468" s="19"/>
      <c r="O468" s="19"/>
      <c r="P468" s="23"/>
      <c r="Q468" s="23"/>
      <c r="R468" s="23"/>
    </row>
    <row r="469" spans="1:18" ht="18" customHeight="1">
      <c r="A469" s="194"/>
      <c r="B469" s="195"/>
      <c r="C469" s="195"/>
      <c r="D469" s="195"/>
      <c r="E469" s="195"/>
      <c r="F469" s="195"/>
      <c r="G469" s="196"/>
      <c r="H469" s="196"/>
      <c r="I469" s="196"/>
      <c r="J469" s="196"/>
      <c r="K469" s="196"/>
      <c r="L469" s="196"/>
      <c r="M469" s="196"/>
      <c r="N469" s="196"/>
      <c r="O469" s="196"/>
      <c r="P469" s="195"/>
      <c r="Q469" s="195"/>
      <c r="R469" s="195"/>
    </row>
    <row r="470" spans="1:18" ht="18" customHeight="1">
      <c r="A470" s="193"/>
      <c r="B470" s="23"/>
      <c r="C470" s="23"/>
      <c r="D470" s="23"/>
      <c r="E470" s="23"/>
      <c r="F470" s="23"/>
      <c r="G470" s="19"/>
      <c r="H470" s="19"/>
      <c r="I470" s="19"/>
      <c r="J470" s="19"/>
      <c r="K470" s="19"/>
      <c r="L470" s="19"/>
      <c r="M470" s="19"/>
      <c r="N470" s="19"/>
      <c r="O470" s="19"/>
      <c r="P470" s="23"/>
      <c r="Q470" s="23"/>
      <c r="R470" s="23"/>
    </row>
    <row r="471" spans="1:18" ht="18" customHeight="1">
      <c r="A471" s="194"/>
      <c r="B471" s="195"/>
      <c r="C471" s="195"/>
      <c r="D471" s="195"/>
      <c r="E471" s="195"/>
      <c r="F471" s="195"/>
      <c r="G471" s="196"/>
      <c r="H471" s="196"/>
      <c r="I471" s="196"/>
      <c r="J471" s="196"/>
      <c r="K471" s="196"/>
      <c r="L471" s="196"/>
      <c r="M471" s="196"/>
      <c r="N471" s="196"/>
      <c r="O471" s="196"/>
      <c r="P471" s="195"/>
      <c r="Q471" s="195"/>
      <c r="R471" s="195"/>
    </row>
    <row r="472" spans="1:18" ht="18" customHeight="1">
      <c r="A472" s="193"/>
      <c r="B472" s="23"/>
      <c r="C472" s="23"/>
      <c r="D472" s="23"/>
      <c r="E472" s="23"/>
      <c r="F472" s="23"/>
      <c r="G472" s="19"/>
      <c r="H472" s="19"/>
      <c r="I472" s="19"/>
      <c r="J472" s="19"/>
      <c r="K472" s="19"/>
      <c r="L472" s="19"/>
      <c r="M472" s="19"/>
      <c r="N472" s="19"/>
      <c r="O472" s="19"/>
      <c r="P472" s="23"/>
      <c r="Q472" s="23"/>
      <c r="R472" s="23"/>
    </row>
    <row r="473" spans="1:18" ht="18" customHeight="1">
      <c r="A473" s="194"/>
      <c r="B473" s="195"/>
      <c r="C473" s="195"/>
      <c r="D473" s="195"/>
      <c r="E473" s="195"/>
      <c r="F473" s="195"/>
      <c r="G473" s="196"/>
      <c r="H473" s="196"/>
      <c r="I473" s="196"/>
      <c r="J473" s="196"/>
      <c r="K473" s="196"/>
      <c r="L473" s="196"/>
      <c r="M473" s="196"/>
      <c r="N473" s="196"/>
      <c r="O473" s="196"/>
      <c r="P473" s="195"/>
      <c r="Q473" s="195"/>
      <c r="R473" s="195"/>
    </row>
    <row r="474" spans="1:18" ht="18" customHeight="1">
      <c r="A474" s="193"/>
      <c r="B474" s="23"/>
      <c r="C474" s="23"/>
      <c r="D474" s="23"/>
      <c r="E474" s="23"/>
      <c r="F474" s="23"/>
      <c r="G474" s="19"/>
      <c r="H474" s="19"/>
      <c r="I474" s="19"/>
      <c r="J474" s="19"/>
      <c r="K474" s="19"/>
      <c r="L474" s="19"/>
      <c r="M474" s="19"/>
      <c r="N474" s="19"/>
      <c r="O474" s="19"/>
      <c r="P474" s="23"/>
      <c r="Q474" s="23"/>
      <c r="R474" s="23"/>
    </row>
    <row r="475" spans="1:18" ht="18" customHeight="1">
      <c r="A475" s="194"/>
      <c r="B475" s="195"/>
      <c r="C475" s="195"/>
      <c r="D475" s="195"/>
      <c r="E475" s="195"/>
      <c r="F475" s="195"/>
      <c r="G475" s="196"/>
      <c r="H475" s="196"/>
      <c r="I475" s="196"/>
      <c r="J475" s="196"/>
      <c r="K475" s="196"/>
      <c r="L475" s="196"/>
      <c r="M475" s="196"/>
      <c r="N475" s="196"/>
      <c r="O475" s="196"/>
      <c r="P475" s="195"/>
      <c r="Q475" s="195"/>
      <c r="R475" s="195"/>
    </row>
    <row r="476" spans="1:18" ht="18" customHeight="1">
      <c r="A476" s="193"/>
      <c r="B476" s="23"/>
      <c r="C476" s="23"/>
      <c r="D476" s="23"/>
      <c r="E476" s="23"/>
      <c r="F476" s="23"/>
      <c r="G476" s="19"/>
      <c r="H476" s="19"/>
      <c r="I476" s="19"/>
      <c r="J476" s="19"/>
      <c r="K476" s="19"/>
      <c r="L476" s="19"/>
      <c r="M476" s="19"/>
      <c r="N476" s="19"/>
      <c r="O476" s="19"/>
      <c r="P476" s="23"/>
      <c r="Q476" s="23"/>
      <c r="R476" s="23"/>
    </row>
    <row r="477" spans="1:18" ht="18" customHeight="1">
      <c r="A477" s="194"/>
      <c r="B477" s="195"/>
      <c r="C477" s="195"/>
      <c r="D477" s="195"/>
      <c r="E477" s="195"/>
      <c r="F477" s="195"/>
      <c r="G477" s="196"/>
      <c r="H477" s="196"/>
      <c r="I477" s="196"/>
      <c r="J477" s="196"/>
      <c r="K477" s="196"/>
      <c r="L477" s="196"/>
      <c r="M477" s="196"/>
      <c r="N477" s="196"/>
      <c r="O477" s="196"/>
      <c r="P477" s="195"/>
      <c r="Q477" s="195"/>
      <c r="R477" s="195"/>
    </row>
    <row r="478" spans="1:18" ht="18" customHeight="1">
      <c r="A478" s="193"/>
      <c r="B478" s="23"/>
      <c r="C478" s="23"/>
      <c r="D478" s="23"/>
      <c r="E478" s="23"/>
      <c r="F478" s="23"/>
      <c r="G478" s="19"/>
      <c r="H478" s="19"/>
      <c r="I478" s="19"/>
      <c r="J478" s="19"/>
      <c r="K478" s="19"/>
      <c r="L478" s="19"/>
      <c r="M478" s="19"/>
      <c r="N478" s="19"/>
      <c r="O478" s="19"/>
      <c r="P478" s="23"/>
      <c r="Q478" s="23"/>
      <c r="R478" s="23"/>
    </row>
    <row r="479" spans="1:18" ht="18" customHeight="1">
      <c r="A479" s="194"/>
      <c r="B479" s="195"/>
      <c r="C479" s="195"/>
      <c r="D479" s="195"/>
      <c r="E479" s="195"/>
      <c r="F479" s="195"/>
      <c r="G479" s="196"/>
      <c r="H479" s="196"/>
      <c r="I479" s="196"/>
      <c r="J479" s="196"/>
      <c r="K479" s="196"/>
      <c r="L479" s="196"/>
      <c r="M479" s="196"/>
      <c r="N479" s="196"/>
      <c r="O479" s="196"/>
      <c r="P479" s="195"/>
      <c r="Q479" s="195"/>
      <c r="R479" s="195"/>
    </row>
    <row r="480" spans="1:18" ht="18" customHeight="1">
      <c r="A480" s="193"/>
      <c r="B480" s="23"/>
      <c r="C480" s="23"/>
      <c r="D480" s="23"/>
      <c r="E480" s="23"/>
      <c r="F480" s="23"/>
      <c r="G480" s="19"/>
      <c r="H480" s="19"/>
      <c r="I480" s="19"/>
      <c r="J480" s="19"/>
      <c r="K480" s="19"/>
      <c r="L480" s="19"/>
      <c r="M480" s="19"/>
      <c r="N480" s="19"/>
      <c r="O480" s="19"/>
      <c r="P480" s="23"/>
      <c r="Q480" s="23"/>
      <c r="R480" s="23"/>
    </row>
    <row r="481" spans="1:18" ht="18" customHeight="1">
      <c r="A481" s="194"/>
      <c r="B481" s="195"/>
      <c r="C481" s="195"/>
      <c r="D481" s="195"/>
      <c r="E481" s="195"/>
      <c r="F481" s="195"/>
      <c r="G481" s="196"/>
      <c r="H481" s="196"/>
      <c r="I481" s="196"/>
      <c r="J481" s="196"/>
      <c r="K481" s="196"/>
      <c r="L481" s="196"/>
      <c r="M481" s="196"/>
      <c r="N481" s="196"/>
      <c r="O481" s="196"/>
      <c r="P481" s="195"/>
      <c r="Q481" s="195"/>
      <c r="R481" s="195"/>
    </row>
    <row r="482" spans="1:18" ht="18" customHeight="1">
      <c r="A482" s="193"/>
      <c r="B482" s="23"/>
      <c r="C482" s="23"/>
      <c r="D482" s="23"/>
      <c r="E482" s="23"/>
      <c r="F482" s="23"/>
      <c r="G482" s="19"/>
      <c r="H482" s="19"/>
      <c r="I482" s="19"/>
      <c r="J482" s="19"/>
      <c r="K482" s="19"/>
      <c r="L482" s="19"/>
      <c r="M482" s="19"/>
      <c r="N482" s="19"/>
      <c r="O482" s="19"/>
      <c r="P482" s="23"/>
      <c r="Q482" s="23"/>
      <c r="R482" s="23"/>
    </row>
    <row r="483" spans="1:18" ht="18" customHeight="1">
      <c r="A483" s="194"/>
      <c r="B483" s="195"/>
      <c r="C483" s="195"/>
      <c r="D483" s="195"/>
      <c r="E483" s="195"/>
      <c r="F483" s="195"/>
      <c r="G483" s="196"/>
      <c r="H483" s="196"/>
      <c r="I483" s="196"/>
      <c r="J483" s="196"/>
      <c r="K483" s="196"/>
      <c r="L483" s="196"/>
      <c r="M483" s="196"/>
      <c r="N483" s="196"/>
      <c r="O483" s="196"/>
      <c r="P483" s="195"/>
      <c r="Q483" s="195"/>
      <c r="R483" s="195"/>
    </row>
    <row r="484" spans="1:18" ht="18" customHeight="1">
      <c r="A484" s="193"/>
      <c r="B484" s="23"/>
      <c r="C484" s="23"/>
      <c r="D484" s="23"/>
      <c r="E484" s="23"/>
      <c r="F484" s="23"/>
      <c r="G484" s="19"/>
      <c r="H484" s="19"/>
      <c r="I484" s="19"/>
      <c r="J484" s="19"/>
      <c r="K484" s="19"/>
      <c r="L484" s="19"/>
      <c r="M484" s="19"/>
      <c r="N484" s="19"/>
      <c r="O484" s="19"/>
      <c r="P484" s="23"/>
      <c r="Q484" s="23"/>
      <c r="R484" s="23"/>
    </row>
    <row r="485" spans="1:18" ht="18" customHeight="1">
      <c r="A485" s="194"/>
      <c r="B485" s="195"/>
      <c r="C485" s="195"/>
      <c r="D485" s="195"/>
      <c r="E485" s="195"/>
      <c r="F485" s="195"/>
      <c r="G485" s="196"/>
      <c r="H485" s="196"/>
      <c r="I485" s="196"/>
      <c r="J485" s="196"/>
      <c r="K485" s="196"/>
      <c r="L485" s="196"/>
      <c r="M485" s="196"/>
      <c r="N485" s="196"/>
      <c r="O485" s="196"/>
      <c r="P485" s="195"/>
      <c r="Q485" s="195"/>
      <c r="R485" s="195"/>
    </row>
    <row r="486" spans="1:18" ht="18" customHeight="1">
      <c r="A486" s="193"/>
      <c r="B486" s="23"/>
      <c r="C486" s="23"/>
      <c r="D486" s="23"/>
      <c r="E486" s="23"/>
      <c r="F486" s="23"/>
      <c r="G486" s="19"/>
      <c r="H486" s="19"/>
      <c r="I486" s="19"/>
      <c r="J486" s="19"/>
      <c r="K486" s="19"/>
      <c r="L486" s="19"/>
      <c r="M486" s="19"/>
      <c r="N486" s="19"/>
      <c r="O486" s="19"/>
      <c r="P486" s="23"/>
      <c r="Q486" s="23"/>
      <c r="R486" s="23"/>
    </row>
    <row r="487" spans="1:18" ht="18" customHeight="1">
      <c r="A487" s="194"/>
      <c r="B487" s="195"/>
      <c r="C487" s="195"/>
      <c r="D487" s="195"/>
      <c r="E487" s="195"/>
      <c r="F487" s="195"/>
      <c r="G487" s="196"/>
      <c r="H487" s="196"/>
      <c r="I487" s="196"/>
      <c r="J487" s="196"/>
      <c r="K487" s="196"/>
      <c r="L487" s="196"/>
      <c r="M487" s="196"/>
      <c r="N487" s="196"/>
      <c r="O487" s="196"/>
      <c r="P487" s="195"/>
      <c r="Q487" s="195"/>
      <c r="R487" s="195"/>
    </row>
    <row r="488" spans="1:18" ht="18" customHeight="1">
      <c r="A488" s="193"/>
      <c r="B488" s="23"/>
      <c r="C488" s="23"/>
      <c r="D488" s="23"/>
      <c r="E488" s="23"/>
      <c r="F488" s="23"/>
      <c r="G488" s="19"/>
      <c r="H488" s="19"/>
      <c r="I488" s="19"/>
      <c r="J488" s="19"/>
      <c r="K488" s="19"/>
      <c r="L488" s="19"/>
      <c r="M488" s="19"/>
      <c r="N488" s="19"/>
      <c r="O488" s="19"/>
      <c r="P488" s="23"/>
      <c r="Q488" s="23"/>
      <c r="R488" s="23"/>
    </row>
    <row r="489" spans="1:18" ht="18" customHeight="1">
      <c r="A489" s="194"/>
      <c r="B489" s="195"/>
      <c r="C489" s="195"/>
      <c r="D489" s="195"/>
      <c r="E489" s="195"/>
      <c r="F489" s="195"/>
      <c r="G489" s="196"/>
      <c r="H489" s="196"/>
      <c r="I489" s="196"/>
      <c r="J489" s="196"/>
      <c r="K489" s="196"/>
      <c r="L489" s="196"/>
      <c r="M489" s="196"/>
      <c r="N489" s="196"/>
      <c r="O489" s="196"/>
      <c r="P489" s="195"/>
      <c r="Q489" s="195"/>
      <c r="R489" s="195"/>
    </row>
    <row r="490" spans="1:18" ht="18" customHeight="1">
      <c r="A490" s="193"/>
      <c r="B490" s="23"/>
      <c r="C490" s="23"/>
      <c r="D490" s="23"/>
      <c r="E490" s="23"/>
      <c r="F490" s="23"/>
      <c r="G490" s="19"/>
      <c r="H490" s="19"/>
      <c r="I490" s="19"/>
      <c r="J490" s="19"/>
      <c r="K490" s="19"/>
      <c r="L490" s="19"/>
      <c r="M490" s="19"/>
      <c r="N490" s="19"/>
      <c r="O490" s="19"/>
      <c r="P490" s="23"/>
      <c r="Q490" s="23"/>
      <c r="R490" s="23"/>
    </row>
    <row r="491" spans="1:18" ht="18" customHeight="1">
      <c r="A491" s="194"/>
      <c r="B491" s="195"/>
      <c r="C491" s="195"/>
      <c r="D491" s="195"/>
      <c r="E491" s="195"/>
      <c r="F491" s="195"/>
      <c r="G491" s="196"/>
      <c r="H491" s="196"/>
      <c r="I491" s="196"/>
      <c r="J491" s="196"/>
      <c r="K491" s="196"/>
      <c r="L491" s="196"/>
      <c r="M491" s="196"/>
      <c r="N491" s="196"/>
      <c r="O491" s="196"/>
      <c r="P491" s="195"/>
      <c r="Q491" s="195"/>
      <c r="R491" s="195"/>
    </row>
    <row r="492" spans="1:18" ht="18" customHeight="1">
      <c r="A492" s="193"/>
      <c r="B492" s="23"/>
      <c r="C492" s="23"/>
      <c r="D492" s="23"/>
      <c r="E492" s="23"/>
      <c r="F492" s="23"/>
      <c r="G492" s="19"/>
      <c r="H492" s="19"/>
      <c r="I492" s="19"/>
      <c r="J492" s="19"/>
      <c r="K492" s="19"/>
      <c r="L492" s="19"/>
      <c r="M492" s="19"/>
      <c r="N492" s="19"/>
      <c r="O492" s="19"/>
      <c r="P492" s="23"/>
      <c r="Q492" s="23"/>
      <c r="R492" s="23"/>
    </row>
    <row r="493" spans="1:18" ht="18" customHeight="1">
      <c r="A493" s="194"/>
      <c r="B493" s="195"/>
      <c r="C493" s="195"/>
      <c r="D493" s="195"/>
      <c r="E493" s="195"/>
      <c r="F493" s="195"/>
      <c r="G493" s="196"/>
      <c r="H493" s="196"/>
      <c r="I493" s="196"/>
      <c r="J493" s="196"/>
      <c r="K493" s="196"/>
      <c r="L493" s="196"/>
      <c r="M493" s="196"/>
      <c r="N493" s="196"/>
      <c r="O493" s="196"/>
      <c r="P493" s="195"/>
      <c r="Q493" s="195"/>
      <c r="R493" s="195"/>
    </row>
    <row r="494" spans="1:18" ht="18" customHeight="1">
      <c r="A494" s="193"/>
      <c r="B494" s="23"/>
      <c r="C494" s="23"/>
      <c r="D494" s="23"/>
      <c r="E494" s="23"/>
      <c r="F494" s="23"/>
      <c r="G494" s="19"/>
      <c r="H494" s="19"/>
      <c r="I494" s="19"/>
      <c r="J494" s="19"/>
      <c r="K494" s="19"/>
      <c r="L494" s="19"/>
      <c r="M494" s="19"/>
      <c r="N494" s="19"/>
      <c r="O494" s="19"/>
      <c r="P494" s="23"/>
      <c r="Q494" s="23"/>
      <c r="R494" s="23"/>
    </row>
    <row r="495" spans="1:18" ht="18" customHeight="1">
      <c r="A495" s="194"/>
      <c r="B495" s="195"/>
      <c r="C495" s="195"/>
      <c r="D495" s="195"/>
      <c r="E495" s="195"/>
      <c r="F495" s="195"/>
      <c r="G495" s="196"/>
      <c r="H495" s="196"/>
      <c r="I495" s="196"/>
      <c r="J495" s="196"/>
      <c r="K495" s="196"/>
      <c r="L495" s="196"/>
      <c r="M495" s="196"/>
      <c r="N495" s="196"/>
      <c r="O495" s="196"/>
      <c r="P495" s="195"/>
      <c r="Q495" s="195"/>
      <c r="R495" s="195"/>
    </row>
    <row r="496" spans="1:18" ht="18" customHeight="1">
      <c r="A496" s="193"/>
      <c r="B496" s="23"/>
      <c r="C496" s="23"/>
      <c r="D496" s="23"/>
      <c r="E496" s="23"/>
      <c r="F496" s="23"/>
      <c r="G496" s="19"/>
      <c r="H496" s="19"/>
      <c r="I496" s="19"/>
      <c r="J496" s="19"/>
      <c r="K496" s="19"/>
      <c r="L496" s="19"/>
      <c r="M496" s="19"/>
      <c r="N496" s="19"/>
      <c r="O496" s="19"/>
      <c r="P496" s="23"/>
      <c r="Q496" s="23"/>
      <c r="R496" s="23"/>
    </row>
    <row r="497" spans="1:18" ht="18" customHeight="1">
      <c r="A497" s="194"/>
      <c r="B497" s="195"/>
      <c r="C497" s="195"/>
      <c r="D497" s="195"/>
      <c r="E497" s="195"/>
      <c r="F497" s="195"/>
      <c r="G497" s="196"/>
      <c r="H497" s="196"/>
      <c r="I497" s="196"/>
      <c r="J497" s="196"/>
      <c r="K497" s="196"/>
      <c r="L497" s="196"/>
      <c r="M497" s="196"/>
      <c r="N497" s="196"/>
      <c r="O497" s="196"/>
      <c r="P497" s="195"/>
      <c r="Q497" s="195"/>
      <c r="R497" s="195"/>
    </row>
    <row r="498" spans="1:18" ht="18" customHeight="1">
      <c r="A498" s="193"/>
      <c r="B498" s="23"/>
      <c r="C498" s="23"/>
      <c r="D498" s="23"/>
      <c r="E498" s="23"/>
      <c r="F498" s="23"/>
      <c r="G498" s="19"/>
      <c r="H498" s="19"/>
      <c r="I498" s="19"/>
      <c r="J498" s="19"/>
      <c r="K498" s="19"/>
      <c r="L498" s="19"/>
      <c r="M498" s="19"/>
      <c r="N498" s="19"/>
      <c r="O498" s="19"/>
      <c r="P498" s="23"/>
      <c r="Q498" s="23"/>
      <c r="R498" s="23"/>
    </row>
    <row r="499" spans="1:18" ht="18" customHeight="1">
      <c r="A499" s="194"/>
      <c r="B499" s="195"/>
      <c r="C499" s="195"/>
      <c r="D499" s="195"/>
      <c r="E499" s="195"/>
      <c r="F499" s="195"/>
      <c r="G499" s="196"/>
      <c r="H499" s="196"/>
      <c r="I499" s="196"/>
      <c r="J499" s="196"/>
      <c r="K499" s="196"/>
      <c r="L499" s="196"/>
      <c r="M499" s="196"/>
      <c r="N499" s="196"/>
      <c r="O499" s="196"/>
      <c r="P499" s="195"/>
      <c r="Q499" s="195"/>
      <c r="R499" s="195"/>
    </row>
    <row r="500" spans="1:18" ht="18" customHeight="1">
      <c r="A500" s="193"/>
      <c r="B500" s="23"/>
      <c r="C500" s="23"/>
      <c r="D500" s="23"/>
      <c r="E500" s="23"/>
      <c r="F500" s="23"/>
      <c r="G500" s="19"/>
      <c r="H500" s="19"/>
      <c r="I500" s="19"/>
      <c r="J500" s="19"/>
      <c r="K500" s="19"/>
      <c r="L500" s="19"/>
      <c r="M500" s="19"/>
      <c r="N500" s="19"/>
      <c r="O500" s="19"/>
      <c r="P500" s="23"/>
      <c r="Q500" s="23"/>
      <c r="R500" s="23"/>
    </row>
    <row r="501" spans="1:18" ht="18" customHeight="1">
      <c r="A501" s="194"/>
      <c r="B501" s="195"/>
      <c r="C501" s="195"/>
      <c r="D501" s="195"/>
      <c r="E501" s="195"/>
      <c r="F501" s="195"/>
      <c r="G501" s="196"/>
      <c r="H501" s="196"/>
      <c r="I501" s="196"/>
      <c r="J501" s="196"/>
      <c r="K501" s="196"/>
      <c r="L501" s="196"/>
      <c r="M501" s="196"/>
      <c r="N501" s="196"/>
      <c r="O501" s="196"/>
      <c r="P501" s="195"/>
      <c r="Q501" s="195"/>
      <c r="R501" s="195"/>
    </row>
    <row r="502" spans="1:18" ht="18" customHeight="1">
      <c r="A502" s="193"/>
      <c r="B502" s="23"/>
      <c r="C502" s="23"/>
      <c r="D502" s="23"/>
      <c r="E502" s="23"/>
      <c r="F502" s="23"/>
      <c r="G502" s="19"/>
      <c r="H502" s="19"/>
      <c r="I502" s="19"/>
      <c r="J502" s="19"/>
      <c r="K502" s="19"/>
      <c r="L502" s="19"/>
      <c r="M502" s="19"/>
      <c r="N502" s="19"/>
      <c r="O502" s="19"/>
      <c r="P502" s="23"/>
      <c r="Q502" s="23"/>
      <c r="R502" s="23"/>
    </row>
    <row r="503" spans="1:18" ht="18" customHeight="1">
      <c r="A503" s="194"/>
      <c r="B503" s="195"/>
      <c r="C503" s="195"/>
      <c r="D503" s="195"/>
      <c r="E503" s="195"/>
      <c r="F503" s="195"/>
      <c r="G503" s="196"/>
      <c r="H503" s="196"/>
      <c r="I503" s="196"/>
      <c r="J503" s="196"/>
      <c r="K503" s="196"/>
      <c r="L503" s="196"/>
      <c r="M503" s="196"/>
      <c r="N503" s="196"/>
      <c r="O503" s="196"/>
      <c r="P503" s="195"/>
      <c r="Q503" s="195"/>
      <c r="R503" s="195"/>
    </row>
  </sheetData>
  <autoFilter ref="A3:R503" xr:uid="{00000000-0009-0000-0000-000003000000}"/>
  <mergeCells count="2">
    <mergeCell ref="A1:R1"/>
    <mergeCell ref="A2:R2"/>
  </mergeCells>
  <conditionalFormatting sqref="P4:P503">
    <cfRule type="expression" dxfId="3" priority="2">
      <formula>AND(P4&lt;&gt;"",P4&lt;&gt;0)</formula>
    </cfRule>
    <cfRule type="expression" dxfId="2" priority="3">
      <formula>AND(P4&lt;&gt;"",P4=0)</formula>
    </cfRule>
  </conditionalFormatting>
  <conditionalFormatting sqref="R4:R503">
    <cfRule type="expression" dxfId="1" priority="4">
      <formula>R4="⚠️ ต่ำ"</formula>
    </cfRule>
    <cfRule type="expression" dxfId="0" priority="5">
      <formula>R4="✓ ปกติ"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showGridLines="0" zoomScaleNormal="100" workbookViewId="0"/>
  </sheetViews>
  <sheetFormatPr baseColWidth="10" defaultColWidth="8.83203125" defaultRowHeight="15"/>
  <cols>
    <col min="1" max="1" width="70" customWidth="1"/>
    <col min="2" max="2" width="20" customWidth="1"/>
  </cols>
  <sheetData>
    <row r="1" spans="1:4" ht="27.75" customHeight="1">
      <c r="A1" s="6" t="s">
        <v>8933</v>
      </c>
      <c r="B1" s="6"/>
      <c r="C1" s="6"/>
      <c r="D1" s="6"/>
    </row>
    <row r="2" spans="1:4" ht="18" customHeight="1">
      <c r="A2" s="197"/>
    </row>
    <row r="3" spans="1:4" ht="18" customHeight="1">
      <c r="A3" s="198" t="s">
        <v>8934</v>
      </c>
    </row>
    <row r="4" spans="1:4" ht="18" customHeight="1">
      <c r="A4" s="199" t="s">
        <v>8935</v>
      </c>
    </row>
    <row r="5" spans="1:4" ht="18" customHeight="1">
      <c r="A5" s="199" t="s">
        <v>8936</v>
      </c>
    </row>
    <row r="6" spans="1:4" ht="18" customHeight="1">
      <c r="A6" s="199" t="s">
        <v>8937</v>
      </c>
    </row>
    <row r="7" spans="1:4" ht="18" customHeight="1">
      <c r="A7" s="199" t="s">
        <v>8938</v>
      </c>
    </row>
    <row r="8" spans="1:4" ht="18" customHeight="1">
      <c r="A8" s="199" t="s">
        <v>8939</v>
      </c>
    </row>
    <row r="9" spans="1:4" ht="18" customHeight="1">
      <c r="A9" s="197"/>
    </row>
    <row r="10" spans="1:4" ht="18" customHeight="1">
      <c r="A10" s="198" t="s">
        <v>8940</v>
      </c>
    </row>
    <row r="11" spans="1:4" ht="18" customHeight="1">
      <c r="A11" s="199" t="s">
        <v>8941</v>
      </c>
    </row>
    <row r="12" spans="1:4" ht="18" customHeight="1">
      <c r="A12" s="199" t="s">
        <v>8942</v>
      </c>
    </row>
    <row r="13" spans="1:4" ht="18" customHeight="1">
      <c r="A13" s="197"/>
    </row>
    <row r="14" spans="1:4" ht="18" customHeight="1">
      <c r="A14" s="198" t="s">
        <v>8943</v>
      </c>
    </row>
    <row r="15" spans="1:4" ht="18" customHeight="1">
      <c r="A15" s="199" t="s">
        <v>8944</v>
      </c>
    </row>
    <row r="16" spans="1:4" ht="18" customHeight="1">
      <c r="A16" s="199" t="s">
        <v>8945</v>
      </c>
    </row>
    <row r="17" spans="1:1" ht="18" customHeight="1">
      <c r="A17" s="197"/>
    </row>
    <row r="18" spans="1:1" ht="18" customHeight="1">
      <c r="A18" s="198" t="s">
        <v>8946</v>
      </c>
    </row>
    <row r="19" spans="1:1" ht="18" customHeight="1">
      <c r="A19" s="199" t="s">
        <v>8947</v>
      </c>
    </row>
    <row r="20" spans="1:1" ht="18" customHeight="1">
      <c r="A20" s="197"/>
    </row>
    <row r="21" spans="1:1" ht="18" customHeight="1">
      <c r="A21" s="198" t="s">
        <v>8948</v>
      </c>
    </row>
    <row r="22" spans="1:1" ht="18" customHeight="1">
      <c r="A22" s="199" t="s">
        <v>8949</v>
      </c>
    </row>
    <row r="23" spans="1:1" ht="18" customHeight="1">
      <c r="A23" s="199" t="s">
        <v>8950</v>
      </c>
    </row>
    <row r="24" spans="1:1" ht="18" customHeight="1">
      <c r="A24" s="199" t="s">
        <v>8951</v>
      </c>
    </row>
    <row r="25" spans="1:1" ht="18" customHeight="1">
      <c r="A25" s="197"/>
    </row>
    <row r="26" spans="1:1" ht="18" customHeight="1">
      <c r="A26" s="198" t="s">
        <v>8952</v>
      </c>
    </row>
    <row r="27" spans="1:1" ht="18" customHeight="1">
      <c r="A27" s="199" t="s">
        <v>8953</v>
      </c>
    </row>
    <row r="28" spans="1:1" ht="18" customHeight="1">
      <c r="A28" s="199" t="s">
        <v>8954</v>
      </c>
    </row>
    <row r="29" spans="1:1" ht="18" customHeight="1">
      <c r="A29" s="197"/>
    </row>
    <row r="30" spans="1:1" ht="18" customHeight="1">
      <c r="A30" s="198" t="s">
        <v>8955</v>
      </c>
    </row>
    <row r="31" spans="1:1" ht="18" customHeight="1">
      <c r="A31" s="199" t="s">
        <v>8956</v>
      </c>
    </row>
    <row r="32" spans="1:1" ht="18" customHeight="1">
      <c r="A32" s="199" t="s">
        <v>8957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บันทึกสต็อครายวัน</vt:lpstr>
      <vt:lpstr>📝 กรอกข้อมูล</vt:lpstr>
      <vt:lpstr>บันทึกยอดขาย</vt:lpstr>
      <vt:lpstr>ฐานข้อมูลสะสม</vt:lpstr>
      <vt:lpstr>คู่มือการใช้งาน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Praee Phitphisarn</cp:lastModifiedBy>
  <cp:revision>0</cp:revision>
  <dcterms:created xsi:type="dcterms:W3CDTF">2026-06-28T17:05:00Z</dcterms:created>
  <dcterms:modified xsi:type="dcterms:W3CDTF">2026-07-14T14:05:09Z</dcterms:modified>
  <dc:language>en-US</dc:language>
</cp:coreProperties>
</file>